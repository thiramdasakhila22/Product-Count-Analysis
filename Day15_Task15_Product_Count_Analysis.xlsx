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ramdas Akhila\Downloads\"/>
    </mc:Choice>
  </mc:AlternateContent>
  <xr:revisionPtr revIDLastSave="0" documentId="8_{3A17438C-A964-4077-8458-7F3DE73649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1" r:id="rId1"/>
    <sheet name="Sales_Summary" sheetId="2" r:id="rId2"/>
    <sheet name="Product_Count_Analysis" sheetId="4" r:id="rId3"/>
    <sheet name="Task_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2" i="4"/>
  <c r="B6" i="4"/>
  <c r="B3" i="4"/>
  <c r="B4" i="4"/>
  <c r="B2" i="4"/>
  <c r="B16" i="2"/>
  <c r="B15" i="2"/>
  <c r="B14" i="2"/>
  <c r="B13" i="2"/>
  <c r="B9" i="2"/>
  <c r="B8" i="2"/>
  <c r="B7" i="2"/>
  <c r="C15" i="2"/>
  <c r="C14" i="2"/>
  <c r="C13" i="2"/>
  <c r="K5" i="2"/>
  <c r="H5" i="2"/>
  <c r="E5" i="2"/>
  <c r="D4" i="2"/>
</calcChain>
</file>

<file path=xl/sharedStrings.xml><?xml version="1.0" encoding="utf-8"?>
<sst xmlns="http://schemas.openxmlformats.org/spreadsheetml/2006/main" count="79878" uniqueCount="665">
  <si>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</si>
  <si>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</si>
  <si>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</si>
  <si>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</si>
  <si>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</si>
  <si>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</si>
  <si>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</si>
  <si>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</si>
  <si>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</si>
  <si>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</si>
  <si>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</si>
  <si>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</si>
  <si>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</si>
  <si>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</si>
  <si>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</si>
  <si>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</si>
  <si>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</si>
  <si>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</si>
  <si>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</si>
  <si>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</si>
  <si>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</si>
  <si>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</si>
  <si>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</si>
  <si>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</si>
  <si>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</si>
  <si>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</si>
  <si>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</si>
  <si>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</si>
  <si>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</si>
  <si>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</si>
  <si>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</si>
  <si>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</si>
  <si>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</si>
  <si>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</si>
  <si>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</si>
  <si>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</si>
  <si>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</si>
  <si>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</si>
  <si>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</si>
  <si>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</si>
  <si>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</si>
  <si>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</si>
  <si>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</si>
  <si>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</si>
  <si>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</si>
  <si>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</si>
  <si>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</si>
  <si>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</si>
  <si>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</si>
  <si>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</si>
  <si>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</si>
  <si>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</si>
  <si>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</si>
  <si>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</si>
  <si>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</si>
  <si>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</si>
  <si>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</si>
  <si>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</si>
  <si>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</si>
  <si>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</si>
  <si>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</si>
  <si>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</si>
  <si>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</si>
  <si>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</si>
  <si>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</si>
  <si>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</si>
  <si>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</si>
  <si>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</si>
  <si>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</si>
  <si>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</si>
  <si>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</si>
  <si>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</si>
  <si>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</si>
  <si>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</si>
  <si>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</si>
  <si>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</si>
  <si>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</si>
  <si>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</si>
  <si>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</si>
  <si>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</si>
  <si>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</si>
  <si>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</si>
  <si>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</si>
  <si>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</si>
  <si>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</si>
  <si>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</si>
  <si>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</si>
  <si>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</si>
  <si>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</si>
  <si>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</si>
  <si>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</si>
  <si>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</si>
  <si>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</si>
  <si>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</si>
  <si>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</si>
  <si>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</si>
  <si>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</si>
  <si>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</si>
  <si>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</si>
  <si>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</si>
  <si>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</si>
  <si>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</si>
  <si>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</si>
  <si>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</si>
  <si>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</si>
  <si>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</si>
  <si>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</si>
  <si>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</si>
  <si>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</si>
  <si>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</si>
  <si>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</si>
  <si>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</si>
  <si>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</si>
  <si>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</si>
  <si>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</si>
  <si>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</si>
  <si>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</si>
  <si>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</si>
  <si>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</si>
  <si>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</si>
  <si>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</si>
  <si>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</si>
  <si>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</si>
  <si>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</si>
  <si>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</si>
  <si>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</si>
  <si>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</si>
  <si>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</si>
  <si>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</si>
  <si>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</si>
  <si>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</si>
  <si>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</si>
  <si>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</si>
  <si>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</si>
  <si>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</si>
  <si>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</si>
  <si>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</si>
  <si>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</si>
  <si>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</si>
  <si>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</si>
  <si>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</si>
  <si>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</si>
  <si>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</si>
  <si>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</si>
  <si>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</si>
  <si>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</si>
  <si>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</si>
  <si>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</si>
  <si>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</si>
  <si>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</si>
  <si>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</si>
  <si>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</si>
  <si>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</si>
  <si>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</si>
  <si>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</si>
  <si>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</si>
  <si>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</si>
  <si>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</si>
  <si>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</si>
  <si>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</si>
  <si>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</si>
  <si>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</si>
  <si>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</si>
  <si>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</si>
  <si>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</si>
  <si>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</si>
  <si>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</si>
  <si>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</si>
  <si>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</si>
  <si>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</si>
  <si>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</si>
  <si>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</si>
  <si>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</si>
  <si>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</si>
  <si>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</si>
  <si>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</si>
  <si>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</si>
  <si>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</si>
  <si>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</si>
  <si>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</si>
  <si>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</si>
  <si>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</si>
  <si>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</si>
  <si>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</si>
  <si>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</si>
  <si>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</si>
  <si>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</si>
  <si>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</si>
  <si>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</si>
  <si>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</si>
  <si>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</si>
  <si>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</si>
  <si>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</si>
  <si>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</si>
  <si>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</si>
  <si>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</si>
  <si>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</si>
  <si>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</si>
  <si>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</si>
  <si>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</si>
  <si>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</si>
  <si>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</si>
  <si>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</si>
  <si>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</si>
  <si>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</si>
  <si>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</si>
  <si>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</si>
  <si>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</si>
  <si>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</si>
  <si>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</si>
  <si>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</si>
  <si>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</si>
  <si>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</si>
  <si>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</si>
  <si>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</si>
  <si>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</si>
  <si>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</si>
  <si>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</si>
  <si>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</si>
  <si>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</si>
  <si>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</si>
  <si>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</si>
  <si>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</si>
  <si>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</si>
  <si>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</si>
  <si>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</si>
  <si>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</si>
  <si>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</si>
  <si>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</si>
  <si>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</si>
  <si>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</si>
  <si>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</si>
  <si>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</si>
  <si>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</si>
  <si>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</si>
  <si>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</si>
  <si>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</si>
  <si>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</si>
  <si>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</si>
  <si>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</si>
  <si>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</si>
  <si>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</si>
  <si>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</si>
  <si>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</si>
  <si>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</si>
  <si>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</si>
  <si>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</si>
  <si>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</si>
  <si>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</si>
  <si>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</si>
  <si>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</si>
  <si>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</si>
  <si>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</si>
  <si>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</si>
  <si>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</si>
  <si>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</si>
  <si>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</si>
  <si>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</si>
  <si>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</si>
  <si>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</si>
  <si>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</si>
  <si>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</si>
  <si>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</si>
  <si>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</si>
  <si>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</si>
  <si>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</si>
  <si>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</si>
  <si>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</si>
  <si>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</si>
  <si>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</si>
  <si>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</si>
  <si>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</si>
  <si>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</si>
  <si>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</si>
  <si>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</si>
  <si>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</si>
  <si>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</si>
  <si>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</si>
  <si>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</si>
  <si>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</si>
  <si>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</si>
  <si>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</si>
  <si>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</si>
  <si>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</si>
  <si>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</si>
  <si>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</si>
  <si>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</si>
  <si>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</si>
  <si>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</si>
  <si>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</si>
  <si>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</si>
  <si>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</si>
  <si>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</si>
  <si>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</si>
  <si>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</si>
  <si>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</si>
  <si>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</si>
  <si>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</si>
  <si>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</si>
  <si>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</si>
  <si>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</si>
  <si>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</si>
  <si>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</si>
  <si>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</si>
  <si>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</si>
  <si>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</si>
  <si>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</si>
  <si>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</si>
  <si>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</si>
  <si>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</si>
  <si>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</si>
  <si>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</si>
  <si>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</si>
  <si>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</si>
  <si>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</si>
  <si>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</si>
  <si>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</si>
  <si>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</si>
  <si>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</si>
  <si>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</si>
  <si>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</si>
  <si>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</si>
  <si>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</si>
  <si>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</si>
  <si>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</si>
  <si>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</si>
  <si>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</si>
  <si>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</si>
  <si>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</si>
  <si>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</si>
  <si>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</si>
  <si>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</si>
  <si>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</si>
  <si>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</si>
  <si>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</si>
  <si>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</si>
  <si>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</si>
  <si>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</si>
  <si>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</si>
  <si>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</si>
  <si>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</si>
  <si>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</si>
  <si>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</si>
  <si>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</si>
  <si>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</si>
  <si>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</si>
  <si>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</si>
  <si>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</si>
  <si>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</si>
  <si>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</si>
  <si>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</si>
  <si>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</si>
  <si>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</si>
  <si>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</si>
  <si>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</si>
  <si>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</si>
  <si>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</si>
  <si>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</si>
  <si>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</si>
  <si>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</si>
  <si>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</si>
  <si>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</si>
  <si>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</si>
  <si>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</si>
  <si>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</si>
  <si>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</si>
  <si>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</si>
  <si>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</si>
  <si>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</si>
  <si>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</si>
  <si>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</si>
  <si>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</si>
  <si>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</si>
  <si>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</si>
  <si>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</si>
  <si>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</si>
  <si>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</si>
  <si>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</si>
  <si>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</si>
  <si>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</si>
  <si>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</si>
  <si>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</si>
  <si>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</si>
  <si>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</si>
  <si>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</si>
  <si>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</si>
  <si>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</si>
  <si>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</si>
  <si>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</si>
  <si>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</si>
  <si>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</si>
  <si>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</si>
  <si>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</si>
  <si>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</si>
  <si>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</si>
  <si>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</si>
  <si>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</si>
  <si>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</si>
  <si>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</si>
  <si>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</si>
  <si>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</si>
  <si>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</si>
  <si>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</si>
  <si>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</si>
  <si>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</si>
  <si>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</si>
  <si>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</si>
  <si>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</si>
  <si>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</si>
  <si>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</si>
  <si>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</si>
  <si>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</si>
  <si>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</si>
  <si>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</si>
  <si>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</si>
  <si>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</si>
  <si>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</si>
  <si>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</si>
  <si>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</si>
  <si>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</si>
  <si>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</si>
  <si>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</si>
  <si>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</si>
  <si>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</si>
  <si>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</si>
  <si>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</si>
  <si>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</si>
  <si>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</si>
  <si>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</si>
  <si>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</si>
  <si>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</si>
  <si>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</si>
  <si>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</si>
  <si>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</si>
  <si>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</si>
  <si>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</si>
  <si>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</si>
  <si>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</si>
  <si>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</si>
  <si>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</si>
  <si>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</si>
  <si>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</si>
  <si>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</si>
  <si>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</si>
  <si>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</si>
  <si>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</si>
  <si>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</si>
  <si>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</si>
  <si>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</si>
  <si>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</si>
  <si>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</si>
  <si>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</si>
  <si>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</si>
  <si>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</si>
  <si>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</si>
  <si>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</si>
  <si>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</si>
  <si>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</si>
  <si>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</si>
  <si>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</si>
  <si>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</si>
  <si>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</si>
  <si>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</si>
  <si>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</si>
  <si>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</si>
  <si>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</si>
  <si>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</si>
  <si>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</si>
  <si>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</si>
  <si>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</si>
  <si>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</si>
  <si>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</si>
  <si>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</si>
  <si>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</si>
  <si>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</si>
  <si>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</si>
  <si>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</si>
  <si>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</si>
  <si>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</si>
  <si>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</si>
  <si>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</si>
  <si>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</si>
  <si>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</si>
  <si>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</si>
  <si>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</si>
  <si>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</si>
  <si>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</si>
  <si>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</si>
  <si>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</si>
  <si>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</si>
  <si>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</si>
  <si>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</si>
  <si>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</si>
  <si>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</si>
  <si>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</si>
  <si>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</si>
  <si>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</si>
  <si>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</si>
  <si>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</si>
  <si>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</si>
  <si>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</si>
  <si>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</si>
  <si>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</si>
  <si>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</si>
  <si>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</si>
  <si>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</si>
  <si>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</si>
  <si>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</si>
  <si>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</si>
  <si>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</si>
  <si>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</si>
  <si>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</si>
  <si>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</si>
  <si>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</si>
  <si>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</si>
  <si>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</si>
  <si>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</si>
  <si>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</si>
  <si>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</si>
  <si>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</si>
  <si>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</si>
  <si>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</si>
  <si>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</si>
  <si>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</si>
  <si>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</si>
  <si>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</si>
  <si>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</si>
  <si>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</si>
  <si>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</si>
  <si>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</si>
  <si>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</si>
  <si>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</si>
  <si>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</si>
  <si>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</si>
  <si>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</si>
  <si>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</si>
  <si>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</si>
  <si>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</si>
  <si>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</si>
  <si>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</si>
  <si>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</si>
  <si>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</si>
  <si>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</si>
  <si>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</si>
  <si>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</si>
  <si>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</si>
  <si>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</si>
  <si>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</si>
  <si>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</si>
  <si>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</si>
  <si>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</si>
  <si>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</si>
  <si>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</si>
  <si>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</si>
  <si>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</si>
  <si>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</si>
  <si>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</si>
  <si>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</si>
  <si>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</si>
  <si>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</si>
  <si>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</si>
  <si>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</si>
  <si>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</si>
  <si>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</si>
  <si>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</si>
  <si>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</si>
  <si>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</si>
  <si>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</si>
  <si>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</si>
  <si>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</si>
  <si>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</si>
  <si>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</si>
  <si>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</si>
  <si>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</si>
  <si>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</si>
  <si>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</si>
  <si>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</si>
  <si>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</si>
  <si>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</si>
  <si>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</si>
  <si>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</si>
  <si>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</si>
  <si>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</si>
  <si>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</si>
  <si>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</si>
  <si>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</si>
  <si>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</si>
  <si>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</si>
  <si>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</si>
  <si>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</si>
  <si>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</si>
  <si>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</si>
  <si>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</si>
  <si>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</si>
  <si>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</si>
  <si>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</si>
  <si>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</si>
  <si>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</si>
  <si>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</si>
  <si>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</si>
  <si>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</si>
  <si>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</si>
  <si>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</si>
  <si>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</si>
  <si>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</si>
  <si>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</si>
  <si>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</si>
  <si>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</si>
  <si>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</si>
  <si>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</si>
  <si>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</si>
  <si>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</si>
  <si>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</si>
  <si>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</si>
  <si>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</si>
  <si>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</si>
  <si>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</si>
  <si>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</si>
  <si>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</si>
  <si>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</si>
  <si>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</si>
  <si>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</si>
  <si>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</si>
  <si>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</si>
  <si>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BASIC SALES SUMMARY</t>
  </si>
  <si>
    <t>Veda Technology | Day 14 | Task 14 | Data Analytics Track</t>
  </si>
  <si>
    <t>Dataset</t>
  </si>
  <si>
    <t>Superstore</t>
  </si>
  <si>
    <t>Transactions</t>
  </si>
  <si>
    <t>KPI</t>
  </si>
  <si>
    <t>VALUE</t>
  </si>
  <si>
    <t>FORMULA / CHECK</t>
  </si>
  <si>
    <t>Total Sales</t>
  </si>
  <si>
    <t>SUM(Sales_Data!Sales)</t>
  </si>
  <si>
    <t>Average Sales</t>
  </si>
  <si>
    <t>AVERAGE(Sales_Data!Sales)</t>
  </si>
  <si>
    <t>Transaction Count</t>
  </si>
  <si>
    <t>COUNT(Sales_Data!Sales)</t>
  </si>
  <si>
    <t>VERIFICATION</t>
  </si>
  <si>
    <t>Sales Records Checked</t>
  </si>
  <si>
    <t>Missing Sales Values</t>
  </si>
  <si>
    <t>Minimum Sale</t>
  </si>
  <si>
    <t>Maximum Sale</t>
  </si>
  <si>
    <t>BUSINESS INTERPRETATION</t>
  </si>
  <si>
    <t>Overall revenue generated across all recorded transactions.</t>
  </si>
  <si>
    <t>Average revenue generated per transaction.</t>
  </si>
  <si>
    <t>Total number of sales transactions recorded in the dataset.</t>
  </si>
  <si>
    <t>Veda Technology - Day 14 - Task 14</t>
  </si>
  <si>
    <t>Objective</t>
  </si>
  <si>
    <t>Calculate total sales, average sales, and transaction count.</t>
  </si>
  <si>
    <t>Tool</t>
  </si>
  <si>
    <t>Microsoft Excel</t>
  </si>
  <si>
    <t>Superstore cleaned dataset</t>
  </si>
  <si>
    <t>Deliverables</t>
  </si>
  <si>
    <t>Summary sheet and 3 KPIs</t>
  </si>
  <si>
    <t>Quality Checks</t>
  </si>
  <si>
    <t>Verified sales count, missing sales values, minimum sale, and maximum sale.</t>
  </si>
  <si>
    <t>TOTAL SALES</t>
  </si>
  <si>
    <t>AVERAGE SALES</t>
  </si>
  <si>
    <t>TRANSACTION COUNT</t>
  </si>
  <si>
    <t>Product Count</t>
  </si>
  <si>
    <t>Largest Category</t>
  </si>
  <si>
    <t>% of Total</t>
  </si>
  <si>
    <t>Key Insight</t>
  </si>
  <si>
    <t>Office Supplies has the highest product count with 6,012 records, representing approximately 60% of the total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</si>
</sst>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name val="Calibri"/>
    </font>
    <font>
      <b/>
      <sz val="11"/>
      <name val="Calibri"/>
    </font>
    <font>
      <b/>
      <sz val="14"/>
      <color rgb="FFFFFFFF"/>
      <name val="Calibri"/>
    </font>
    <font>
      <b/>
      <sz val="16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0" borderId="0" xfId="0" applyFont="1"/>
    <xf numFmtId="0" fontId="4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166" fontId="0" fillId="0" borderId="0" xfId="0" applyNumberFormat="1" applyAlignment="1">
      <alignment vertical="center" wrapText="1"/>
    </xf>
    <xf numFmtId="0" fontId="8" fillId="0" borderId="0" xfId="0" applyFont="1"/>
    <xf numFmtId="9" fontId="0" fillId="0" borderId="0" xfId="1" applyFont="1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KPI Overview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Sales_Summary!$A$7:$A$8</c:f>
              <c:strCache>
                <c:ptCount val="2"/>
                <c:pt idx="0">
                  <c:v>Total Sales</c:v>
                </c:pt>
                <c:pt idx="1">
                  <c:v>Average Sales</c:v>
                </c:pt>
              </c:strCache>
            </c:strRef>
          </c:cat>
          <c:val>
            <c:numRef>
              <c:f>Sales_Summary!$B$7:$B$8</c:f>
              <c:numCache>
                <c:formatCode>\$#,##0.00</c:formatCode>
                <c:ptCount val="2"/>
                <c:pt idx="0">
                  <c:v>2296195.5902999551</c:v>
                </c:pt>
                <c:pt idx="1">
                  <c:v>230.14890150345346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C-4511-B3D6-692249410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KPI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Count By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87874890638670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Product_Count_Analysis!$B$1</c:f>
              <c:strCache>
                <c:ptCount val="1"/>
                <c:pt idx="0">
                  <c:v>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Product_Count_Analysis!$A$2:$A$4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Product_Count_Analysis!$B$2:$B$4</c:f>
              <c:numCache>
                <c:formatCode>General</c:formatCode>
                <c:ptCount val="3"/>
                <c:pt idx="0">
                  <c:v>2118</c:v>
                </c:pt>
                <c:pt idx="1">
                  <c:v>6012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F-4872-A61A-1A9B724EF3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0492608"/>
        <c:axId val="832109680"/>
      </c:barChart>
      <c:catAx>
        <c:axId val="9604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09680"/>
        <c:crosses val="autoZero"/>
        <c:auto val="1"/>
        <c:lblAlgn val="ctr"/>
        <c:lblOffset val="100"/>
        <c:noMultiLvlLbl val="0"/>
      </c:catAx>
      <c:valAx>
        <c:axId val="8321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9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320000" cy="2520000"/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5</xdr:row>
      <xdr:rowOff>110490</xdr:rowOff>
    </xdr:from>
    <xdr:to>
      <xdr:col>17</xdr:col>
      <xdr:colOff>220980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11465-C781-72BA-7631-91F701BAE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979"/>
  <sheetViews>
    <sheetView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6" customWidth="1"/>
    <col min="2" max="2" width="13" customWidth="1"/>
    <col min="3" max="3" width="15" customWidth="1"/>
    <col min="4" max="4" width="18" customWidth="1"/>
    <col min="5" max="5" width="16" customWidth="1"/>
    <col min="6" max="6" width="13" customWidth="1"/>
    <col min="7" max="7" width="12" customWidth="1"/>
    <col min="8" max="8" width="17" customWidth="1"/>
    <col min="9" max="9" width="14" customWidth="1"/>
    <col min="10" max="13" width="12" customWidth="1"/>
  </cols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20</v>
      </c>
      <c r="J3">
        <v>261.95999999999998</v>
      </c>
      <c r="K3">
        <v>2</v>
      </c>
      <c r="L3">
        <v>0</v>
      </c>
      <c r="M3">
        <v>41.913600000000002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42420</v>
      </c>
      <c r="G4" t="s">
        <v>18</v>
      </c>
      <c r="H4" t="s">
        <v>19</v>
      </c>
      <c r="I4" t="s">
        <v>21</v>
      </c>
      <c r="J4">
        <v>731.94</v>
      </c>
      <c r="K4">
        <v>3</v>
      </c>
      <c r="L4">
        <v>0</v>
      </c>
      <c r="M4">
        <v>219.58199999999999</v>
      </c>
    </row>
    <row r="5" spans="1:13" x14ac:dyDescent="0.3">
      <c r="A5" t="s">
        <v>13</v>
      </c>
      <c r="B5" t="s">
        <v>22</v>
      </c>
      <c r="C5" t="s">
        <v>15</v>
      </c>
      <c r="D5" t="s">
        <v>23</v>
      </c>
      <c r="E5" t="s">
        <v>24</v>
      </c>
      <c r="F5">
        <v>90036</v>
      </c>
      <c r="G5" t="s">
        <v>25</v>
      </c>
      <c r="H5" t="s">
        <v>26</v>
      </c>
      <c r="I5" t="s">
        <v>27</v>
      </c>
      <c r="J5">
        <v>14.62</v>
      </c>
      <c r="K5">
        <v>2</v>
      </c>
      <c r="L5">
        <v>0</v>
      </c>
      <c r="M5">
        <v>6.8714000000000004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19</v>
      </c>
      <c r="I6" t="s">
        <v>31</v>
      </c>
      <c r="J6">
        <v>957.57749999999999</v>
      </c>
      <c r="K6">
        <v>5</v>
      </c>
      <c r="L6">
        <v>0.45</v>
      </c>
      <c r="M6">
        <v>-383.03100000000001</v>
      </c>
    </row>
    <row r="7" spans="1:13" x14ac:dyDescent="0.3">
      <c r="A7" t="s">
        <v>28</v>
      </c>
      <c r="B7" t="s">
        <v>14</v>
      </c>
      <c r="C7" t="s">
        <v>15</v>
      </c>
      <c r="D7" t="s">
        <v>29</v>
      </c>
      <c r="E7" t="s">
        <v>30</v>
      </c>
      <c r="F7">
        <v>33311</v>
      </c>
      <c r="G7" t="s">
        <v>18</v>
      </c>
      <c r="H7" t="s">
        <v>26</v>
      </c>
      <c r="I7" t="s">
        <v>32</v>
      </c>
      <c r="J7">
        <v>22.367999999999999</v>
      </c>
      <c r="K7">
        <v>2</v>
      </c>
      <c r="L7">
        <v>0.2</v>
      </c>
      <c r="M7">
        <v>2.5164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19</v>
      </c>
      <c r="I8" t="s">
        <v>33</v>
      </c>
      <c r="J8">
        <v>48.86</v>
      </c>
      <c r="K8">
        <v>7</v>
      </c>
      <c r="L8">
        <v>0</v>
      </c>
      <c r="M8">
        <v>14.1694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26</v>
      </c>
      <c r="I9" t="s">
        <v>34</v>
      </c>
      <c r="J9">
        <v>7.28</v>
      </c>
      <c r="K9">
        <v>4</v>
      </c>
      <c r="L9">
        <v>0</v>
      </c>
      <c r="M9">
        <v>1.9656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35</v>
      </c>
      <c r="I10" t="s">
        <v>36</v>
      </c>
      <c r="J10">
        <v>907.15200000000004</v>
      </c>
      <c r="K10">
        <v>6</v>
      </c>
      <c r="L10">
        <v>0.2</v>
      </c>
      <c r="M10">
        <v>90.715199999999996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37</v>
      </c>
      <c r="J11">
        <v>18.504000000000001</v>
      </c>
      <c r="K11">
        <v>3</v>
      </c>
      <c r="L11">
        <v>0.2</v>
      </c>
      <c r="M11">
        <v>5.7824999999999998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26</v>
      </c>
      <c r="I12" t="s">
        <v>38</v>
      </c>
      <c r="J12">
        <v>114.9</v>
      </c>
      <c r="K12">
        <v>5</v>
      </c>
      <c r="L12">
        <v>0</v>
      </c>
      <c r="M12">
        <v>34.47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19</v>
      </c>
      <c r="I13" t="s">
        <v>31</v>
      </c>
      <c r="J13">
        <v>1706.184</v>
      </c>
      <c r="K13">
        <v>9</v>
      </c>
      <c r="L13">
        <v>0.2</v>
      </c>
      <c r="M13">
        <v>85.309200000000004</v>
      </c>
    </row>
    <row r="14" spans="1:13" x14ac:dyDescent="0.3">
      <c r="A14" t="s">
        <v>28</v>
      </c>
      <c r="B14" t="s">
        <v>14</v>
      </c>
      <c r="C14" t="s">
        <v>15</v>
      </c>
      <c r="D14" t="s">
        <v>23</v>
      </c>
      <c r="E14" t="s">
        <v>24</v>
      </c>
      <c r="F14">
        <v>90032</v>
      </c>
      <c r="G14" t="s">
        <v>25</v>
      </c>
      <c r="H14" t="s">
        <v>35</v>
      </c>
      <c r="I14" t="s">
        <v>36</v>
      </c>
      <c r="J14">
        <v>911.42399999999998</v>
      </c>
      <c r="K14">
        <v>4</v>
      </c>
      <c r="L14">
        <v>0.2</v>
      </c>
      <c r="M14">
        <v>68.356800000000007</v>
      </c>
    </row>
    <row r="15" spans="1:13" x14ac:dyDescent="0.3">
      <c r="A15" t="s">
        <v>28</v>
      </c>
      <c r="B15" t="s">
        <v>14</v>
      </c>
      <c r="C15" t="s">
        <v>15</v>
      </c>
      <c r="D15" t="s">
        <v>39</v>
      </c>
      <c r="E15" t="s">
        <v>40</v>
      </c>
      <c r="F15">
        <v>28027</v>
      </c>
      <c r="G15" t="s">
        <v>18</v>
      </c>
      <c r="H15" t="s">
        <v>26</v>
      </c>
      <c r="I15" t="s">
        <v>41</v>
      </c>
      <c r="J15">
        <v>15.552</v>
      </c>
      <c r="K15">
        <v>3</v>
      </c>
      <c r="L15">
        <v>0.2</v>
      </c>
      <c r="M15">
        <v>5.4432</v>
      </c>
    </row>
    <row r="16" spans="1:13" x14ac:dyDescent="0.3">
      <c r="A16" t="s">
        <v>28</v>
      </c>
      <c r="B16" t="s">
        <v>14</v>
      </c>
      <c r="C16" t="s">
        <v>15</v>
      </c>
      <c r="D16" t="s">
        <v>42</v>
      </c>
      <c r="E16" t="s">
        <v>43</v>
      </c>
      <c r="F16">
        <v>98103</v>
      </c>
      <c r="G16" t="s">
        <v>25</v>
      </c>
      <c r="H16" t="s">
        <v>26</v>
      </c>
      <c r="I16" t="s">
        <v>37</v>
      </c>
      <c r="J16">
        <v>407.976</v>
      </c>
      <c r="K16">
        <v>3</v>
      </c>
      <c r="L16">
        <v>0.2</v>
      </c>
      <c r="M16">
        <v>132.59219999999999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38</v>
      </c>
      <c r="J17">
        <v>68.81</v>
      </c>
      <c r="K17">
        <v>5</v>
      </c>
      <c r="L17">
        <v>0.8</v>
      </c>
      <c r="M17">
        <v>-123.858</v>
      </c>
    </row>
    <row r="18" spans="1:13" x14ac:dyDescent="0.3">
      <c r="A18" t="s">
        <v>28</v>
      </c>
      <c r="B18" t="s">
        <v>44</v>
      </c>
      <c r="C18" t="s">
        <v>15</v>
      </c>
      <c r="D18" t="s">
        <v>45</v>
      </c>
      <c r="E18" t="s">
        <v>46</v>
      </c>
      <c r="F18">
        <v>76106</v>
      </c>
      <c r="G18" t="s">
        <v>47</v>
      </c>
      <c r="H18" t="s">
        <v>26</v>
      </c>
      <c r="I18" t="s">
        <v>37</v>
      </c>
      <c r="J18">
        <v>2.544</v>
      </c>
      <c r="K18">
        <v>3</v>
      </c>
      <c r="L18">
        <v>0.8</v>
      </c>
      <c r="M18">
        <v>-3.8159999999999998</v>
      </c>
    </row>
    <row r="19" spans="1:13" x14ac:dyDescent="0.3">
      <c r="A19" t="s">
        <v>28</v>
      </c>
      <c r="B19" t="s">
        <v>14</v>
      </c>
      <c r="C19" t="s">
        <v>15</v>
      </c>
      <c r="D19" t="s">
        <v>48</v>
      </c>
      <c r="E19" t="s">
        <v>49</v>
      </c>
      <c r="F19">
        <v>53711</v>
      </c>
      <c r="G19" t="s">
        <v>47</v>
      </c>
      <c r="H19" t="s">
        <v>26</v>
      </c>
      <c r="I19" t="s">
        <v>32</v>
      </c>
      <c r="J19">
        <v>665.88</v>
      </c>
      <c r="K19">
        <v>6</v>
      </c>
      <c r="L19">
        <v>0</v>
      </c>
      <c r="M19">
        <v>13.317600000000001</v>
      </c>
    </row>
    <row r="20" spans="1:13" x14ac:dyDescent="0.3">
      <c r="A20" t="s">
        <v>13</v>
      </c>
      <c r="B20" t="s">
        <v>14</v>
      </c>
      <c r="C20" t="s">
        <v>15</v>
      </c>
      <c r="D20" t="s">
        <v>50</v>
      </c>
      <c r="E20" t="s">
        <v>51</v>
      </c>
      <c r="F20">
        <v>84084</v>
      </c>
      <c r="G20" t="s">
        <v>25</v>
      </c>
      <c r="H20" t="s">
        <v>26</v>
      </c>
      <c r="I20" t="s">
        <v>32</v>
      </c>
      <c r="J20">
        <v>55.5</v>
      </c>
      <c r="K20">
        <v>2</v>
      </c>
      <c r="L20">
        <v>0</v>
      </c>
      <c r="M20">
        <v>9.99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26</v>
      </c>
      <c r="I21" t="s">
        <v>34</v>
      </c>
      <c r="J21">
        <v>8.56</v>
      </c>
      <c r="K21">
        <v>2</v>
      </c>
      <c r="L21">
        <v>0</v>
      </c>
      <c r="M21">
        <v>2.4824000000000002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35</v>
      </c>
      <c r="I22" t="s">
        <v>36</v>
      </c>
      <c r="J22">
        <v>213.48</v>
      </c>
      <c r="K22">
        <v>3</v>
      </c>
      <c r="L22">
        <v>0.2</v>
      </c>
      <c r="M22">
        <v>16.010999999999999</v>
      </c>
    </row>
    <row r="23" spans="1:13" x14ac:dyDescent="0.3">
      <c r="A23" t="s">
        <v>13</v>
      </c>
      <c r="B23" t="s">
        <v>14</v>
      </c>
      <c r="C23" t="s">
        <v>15</v>
      </c>
      <c r="D23" t="s">
        <v>52</v>
      </c>
      <c r="E23" t="s">
        <v>24</v>
      </c>
      <c r="F23">
        <v>94109</v>
      </c>
      <c r="G23" t="s">
        <v>25</v>
      </c>
      <c r="H23" t="s">
        <v>26</v>
      </c>
      <c r="I23" t="s">
        <v>37</v>
      </c>
      <c r="J23">
        <v>22.72</v>
      </c>
      <c r="K23">
        <v>4</v>
      </c>
      <c r="L23">
        <v>0.2</v>
      </c>
      <c r="M23">
        <v>7.3840000000000003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34</v>
      </c>
      <c r="J24">
        <v>19.46</v>
      </c>
      <c r="K24">
        <v>7</v>
      </c>
      <c r="L24">
        <v>0</v>
      </c>
      <c r="M24">
        <v>5.0595999999999997</v>
      </c>
    </row>
    <row r="25" spans="1:13" x14ac:dyDescent="0.3">
      <c r="A25" t="s">
        <v>28</v>
      </c>
      <c r="B25" t="s">
        <v>22</v>
      </c>
      <c r="C25" t="s">
        <v>15</v>
      </c>
      <c r="D25" t="s">
        <v>53</v>
      </c>
      <c r="E25" t="s">
        <v>54</v>
      </c>
      <c r="F25">
        <v>68025</v>
      </c>
      <c r="G25" t="s">
        <v>47</v>
      </c>
      <c r="H25" t="s">
        <v>26</v>
      </c>
      <c r="I25" t="s">
        <v>38</v>
      </c>
      <c r="J25">
        <v>60.34</v>
      </c>
      <c r="K25">
        <v>7</v>
      </c>
      <c r="L25">
        <v>0</v>
      </c>
      <c r="M25">
        <v>15.6884</v>
      </c>
    </row>
    <row r="26" spans="1:13" x14ac:dyDescent="0.3">
      <c r="A26" t="s">
        <v>13</v>
      </c>
      <c r="B26" t="s">
        <v>14</v>
      </c>
      <c r="C26" t="s">
        <v>15</v>
      </c>
      <c r="D26" t="s">
        <v>55</v>
      </c>
      <c r="E26" t="s">
        <v>56</v>
      </c>
      <c r="F26">
        <v>19140</v>
      </c>
      <c r="G26" t="s">
        <v>57</v>
      </c>
      <c r="H26" t="s">
        <v>19</v>
      </c>
      <c r="I26" t="s">
        <v>21</v>
      </c>
      <c r="J26">
        <v>71.372</v>
      </c>
      <c r="K26">
        <v>2</v>
      </c>
      <c r="L26">
        <v>0.3</v>
      </c>
      <c r="M26">
        <v>-1.0196000000000001</v>
      </c>
    </row>
    <row r="27" spans="1:13" x14ac:dyDescent="0.3">
      <c r="A27" t="s">
        <v>28</v>
      </c>
      <c r="B27" t="s">
        <v>14</v>
      </c>
      <c r="C27" t="s">
        <v>15</v>
      </c>
      <c r="D27" t="s">
        <v>58</v>
      </c>
      <c r="E27" t="s">
        <v>51</v>
      </c>
      <c r="F27">
        <v>84057</v>
      </c>
      <c r="G27" t="s">
        <v>25</v>
      </c>
      <c r="H27" t="s">
        <v>19</v>
      </c>
      <c r="I27" t="s">
        <v>31</v>
      </c>
      <c r="J27">
        <v>1044.6300000000001</v>
      </c>
      <c r="K27">
        <v>3</v>
      </c>
      <c r="L27">
        <v>0</v>
      </c>
      <c r="M27">
        <v>240.26490000000001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26</v>
      </c>
      <c r="I28" t="s">
        <v>37</v>
      </c>
      <c r="J28">
        <v>11.648</v>
      </c>
      <c r="K28">
        <v>2</v>
      </c>
      <c r="L28">
        <v>0.2</v>
      </c>
      <c r="M28">
        <v>4.2224000000000004</v>
      </c>
    </row>
    <row r="29" spans="1:13" x14ac:dyDescent="0.3">
      <c r="A29" t="s">
        <v>13</v>
      </c>
      <c r="B29" t="s">
        <v>14</v>
      </c>
      <c r="C29" t="s">
        <v>15</v>
      </c>
      <c r="D29" t="s">
        <v>23</v>
      </c>
      <c r="E29" t="s">
        <v>24</v>
      </c>
      <c r="F29">
        <v>90049</v>
      </c>
      <c r="G29" t="s">
        <v>25</v>
      </c>
      <c r="H29" t="s">
        <v>35</v>
      </c>
      <c r="I29" t="s">
        <v>59</v>
      </c>
      <c r="J29">
        <v>90.57</v>
      </c>
      <c r="K29">
        <v>3</v>
      </c>
      <c r="L29">
        <v>0</v>
      </c>
      <c r="M29">
        <v>11.774100000000001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19</v>
      </c>
      <c r="I30" t="s">
        <v>20</v>
      </c>
      <c r="J30">
        <v>3083.43</v>
      </c>
      <c r="K30">
        <v>7</v>
      </c>
      <c r="L30">
        <v>0.5</v>
      </c>
      <c r="M30">
        <v>-1665.0522000000001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26</v>
      </c>
      <c r="I31" t="s">
        <v>37</v>
      </c>
      <c r="J31">
        <v>9.6180000000000003</v>
      </c>
      <c r="K31">
        <v>2</v>
      </c>
      <c r="L31">
        <v>0.7</v>
      </c>
      <c r="M31">
        <v>-7.0532000000000004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19</v>
      </c>
      <c r="I32" t="s">
        <v>33</v>
      </c>
      <c r="J32">
        <v>124.2</v>
      </c>
      <c r="K32">
        <v>3</v>
      </c>
      <c r="L32">
        <v>0.2</v>
      </c>
      <c r="M32">
        <v>15.525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60</v>
      </c>
      <c r="J33">
        <v>3.2639999999999998</v>
      </c>
      <c r="K33">
        <v>2</v>
      </c>
      <c r="L33">
        <v>0.2</v>
      </c>
      <c r="M33">
        <v>1.1015999999999999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34</v>
      </c>
      <c r="J34">
        <v>86.304000000000002</v>
      </c>
      <c r="K34">
        <v>6</v>
      </c>
      <c r="L34">
        <v>0.2</v>
      </c>
      <c r="M34">
        <v>9.7091999999999992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37</v>
      </c>
      <c r="J35">
        <v>6.8579999999999997</v>
      </c>
      <c r="K35">
        <v>6</v>
      </c>
      <c r="L35">
        <v>0.7</v>
      </c>
      <c r="M35">
        <v>-5.7149999999999999</v>
      </c>
    </row>
    <row r="36" spans="1:13" x14ac:dyDescent="0.3">
      <c r="A36" t="s">
        <v>28</v>
      </c>
      <c r="B36" t="s">
        <v>14</v>
      </c>
      <c r="C36" t="s">
        <v>15</v>
      </c>
      <c r="D36" t="s">
        <v>55</v>
      </c>
      <c r="E36" t="s">
        <v>56</v>
      </c>
      <c r="F36">
        <v>19140</v>
      </c>
      <c r="G36" t="s">
        <v>57</v>
      </c>
      <c r="H36" t="s">
        <v>26</v>
      </c>
      <c r="I36" t="s">
        <v>34</v>
      </c>
      <c r="J36">
        <v>15.76</v>
      </c>
      <c r="K36">
        <v>2</v>
      </c>
      <c r="L36">
        <v>0.2</v>
      </c>
      <c r="M36">
        <v>3.5459999999999998</v>
      </c>
    </row>
    <row r="37" spans="1:13" x14ac:dyDescent="0.3">
      <c r="A37" t="s">
        <v>13</v>
      </c>
      <c r="B37" t="s">
        <v>44</v>
      </c>
      <c r="C37" t="s">
        <v>15</v>
      </c>
      <c r="D37" t="s">
        <v>61</v>
      </c>
      <c r="E37" t="s">
        <v>46</v>
      </c>
      <c r="F37">
        <v>77095</v>
      </c>
      <c r="G37" t="s">
        <v>47</v>
      </c>
      <c r="H37" t="s">
        <v>26</v>
      </c>
      <c r="I37" t="s">
        <v>41</v>
      </c>
      <c r="J37">
        <v>29.472000000000001</v>
      </c>
      <c r="K37">
        <v>3</v>
      </c>
      <c r="L37">
        <v>0.2</v>
      </c>
      <c r="M37">
        <v>9.9467999999999996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35</v>
      </c>
      <c r="I38" t="s">
        <v>36</v>
      </c>
      <c r="J38">
        <v>1097.5440000000001</v>
      </c>
      <c r="K38">
        <v>7</v>
      </c>
      <c r="L38">
        <v>0.2</v>
      </c>
      <c r="M38">
        <v>123.47369999999999</v>
      </c>
    </row>
    <row r="39" spans="1:13" x14ac:dyDescent="0.3">
      <c r="A39" t="s">
        <v>62</v>
      </c>
      <c r="B39" t="s">
        <v>22</v>
      </c>
      <c r="C39" t="s">
        <v>15</v>
      </c>
      <c r="D39" t="s">
        <v>63</v>
      </c>
      <c r="E39" t="s">
        <v>46</v>
      </c>
      <c r="F39">
        <v>75080</v>
      </c>
      <c r="G39" t="s">
        <v>47</v>
      </c>
      <c r="H39" t="s">
        <v>19</v>
      </c>
      <c r="I39" t="s">
        <v>33</v>
      </c>
      <c r="J39">
        <v>190.92</v>
      </c>
      <c r="K39">
        <v>5</v>
      </c>
      <c r="L39">
        <v>0.6</v>
      </c>
      <c r="M39">
        <v>-147.96299999999999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26</v>
      </c>
      <c r="I40" t="s">
        <v>60</v>
      </c>
      <c r="J40">
        <v>113.328</v>
      </c>
      <c r="K40">
        <v>9</v>
      </c>
      <c r="L40">
        <v>0.2</v>
      </c>
      <c r="M40">
        <v>35.414999999999999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20</v>
      </c>
      <c r="J41">
        <v>532.39919999999995</v>
      </c>
      <c r="K41">
        <v>3</v>
      </c>
      <c r="L41">
        <v>0.32</v>
      </c>
      <c r="M41">
        <v>-46.976399999999998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19</v>
      </c>
      <c r="I42" t="s">
        <v>21</v>
      </c>
      <c r="J42">
        <v>212.05799999999999</v>
      </c>
      <c r="K42">
        <v>3</v>
      </c>
      <c r="L42">
        <v>0.3</v>
      </c>
      <c r="M42">
        <v>-15.147</v>
      </c>
    </row>
    <row r="43" spans="1:13" x14ac:dyDescent="0.3">
      <c r="A43" t="s">
        <v>28</v>
      </c>
      <c r="B43" t="s">
        <v>44</v>
      </c>
      <c r="C43" t="s">
        <v>15</v>
      </c>
      <c r="D43" t="s">
        <v>61</v>
      </c>
      <c r="E43" t="s">
        <v>46</v>
      </c>
      <c r="F43">
        <v>77041</v>
      </c>
      <c r="G43" t="s">
        <v>47</v>
      </c>
      <c r="H43" t="s">
        <v>35</v>
      </c>
      <c r="I43" t="s">
        <v>36</v>
      </c>
      <c r="J43">
        <v>371.16800000000001</v>
      </c>
      <c r="K43">
        <v>4</v>
      </c>
      <c r="L43">
        <v>0.2</v>
      </c>
      <c r="M43">
        <v>41.756399999999999</v>
      </c>
    </row>
    <row r="44" spans="1:13" x14ac:dyDescent="0.3">
      <c r="A44" t="s">
        <v>28</v>
      </c>
      <c r="B44" t="s">
        <v>22</v>
      </c>
      <c r="C44" t="s">
        <v>15</v>
      </c>
      <c r="D44" t="s">
        <v>64</v>
      </c>
      <c r="E44" t="s">
        <v>65</v>
      </c>
      <c r="F44">
        <v>60540</v>
      </c>
      <c r="G44" t="s">
        <v>47</v>
      </c>
      <c r="H44" t="s">
        <v>35</v>
      </c>
      <c r="I44" t="s">
        <v>36</v>
      </c>
      <c r="J44">
        <v>147.16800000000001</v>
      </c>
      <c r="K44">
        <v>4</v>
      </c>
      <c r="L44">
        <v>0.2</v>
      </c>
      <c r="M44">
        <v>16.5564</v>
      </c>
    </row>
    <row r="45" spans="1:13" x14ac:dyDescent="0.3">
      <c r="A45" t="s">
        <v>28</v>
      </c>
      <c r="B45" t="s">
        <v>22</v>
      </c>
      <c r="C45" t="s">
        <v>15</v>
      </c>
      <c r="D45" t="s">
        <v>23</v>
      </c>
      <c r="E45" t="s">
        <v>24</v>
      </c>
      <c r="F45">
        <v>90049</v>
      </c>
      <c r="G45" t="s">
        <v>25</v>
      </c>
      <c r="H45" t="s">
        <v>26</v>
      </c>
      <c r="I45" t="s">
        <v>32</v>
      </c>
      <c r="J45">
        <v>77.88</v>
      </c>
      <c r="K45">
        <v>2</v>
      </c>
      <c r="L45">
        <v>0</v>
      </c>
      <c r="M45">
        <v>3.8940000000000001</v>
      </c>
    </row>
    <row r="46" spans="1:13" x14ac:dyDescent="0.3">
      <c r="A46" t="s">
        <v>28</v>
      </c>
      <c r="B46" t="s">
        <v>22</v>
      </c>
      <c r="C46" t="s">
        <v>15</v>
      </c>
      <c r="D46" t="s">
        <v>66</v>
      </c>
      <c r="E46" t="s">
        <v>30</v>
      </c>
      <c r="F46">
        <v>32935</v>
      </c>
      <c r="G46" t="s">
        <v>18</v>
      </c>
      <c r="H46" t="s">
        <v>26</v>
      </c>
      <c r="I46" t="s">
        <v>32</v>
      </c>
      <c r="J46">
        <v>95.616</v>
      </c>
      <c r="K46">
        <v>2</v>
      </c>
      <c r="L46">
        <v>0.2</v>
      </c>
      <c r="M46">
        <v>9.5616000000000003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35</v>
      </c>
      <c r="I47" t="s">
        <v>59</v>
      </c>
      <c r="J47">
        <v>45.98</v>
      </c>
      <c r="K47">
        <v>2</v>
      </c>
      <c r="L47">
        <v>0</v>
      </c>
      <c r="M47">
        <v>19.7714</v>
      </c>
    </row>
    <row r="48" spans="1:13" x14ac:dyDescent="0.3">
      <c r="A48" t="s">
        <v>62</v>
      </c>
      <c r="B48" t="s">
        <v>22</v>
      </c>
      <c r="C48" t="s">
        <v>15</v>
      </c>
      <c r="D48" t="s">
        <v>67</v>
      </c>
      <c r="E48" t="s">
        <v>68</v>
      </c>
      <c r="F48">
        <v>55122</v>
      </c>
      <c r="G48" t="s">
        <v>47</v>
      </c>
      <c r="H48" t="s">
        <v>26</v>
      </c>
      <c r="I48" t="s">
        <v>37</v>
      </c>
      <c r="J48">
        <v>17.46</v>
      </c>
      <c r="K48">
        <v>2</v>
      </c>
      <c r="L48">
        <v>0</v>
      </c>
      <c r="M48">
        <v>8.2062000000000008</v>
      </c>
    </row>
    <row r="49" spans="1:13" x14ac:dyDescent="0.3">
      <c r="A49" t="s">
        <v>13</v>
      </c>
      <c r="B49" t="s">
        <v>14</v>
      </c>
      <c r="C49" t="s">
        <v>15</v>
      </c>
      <c r="D49" t="s">
        <v>69</v>
      </c>
      <c r="E49" t="s">
        <v>70</v>
      </c>
      <c r="F49">
        <v>48185</v>
      </c>
      <c r="G49" t="s">
        <v>47</v>
      </c>
      <c r="H49" t="s">
        <v>26</v>
      </c>
      <c r="I49" t="s">
        <v>32</v>
      </c>
      <c r="J49">
        <v>211.96</v>
      </c>
      <c r="K49">
        <v>4</v>
      </c>
      <c r="L49">
        <v>0</v>
      </c>
      <c r="M49">
        <v>8.4784000000000006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59</v>
      </c>
      <c r="J50">
        <v>45</v>
      </c>
      <c r="K50">
        <v>3</v>
      </c>
      <c r="L50">
        <v>0</v>
      </c>
      <c r="M50">
        <v>4.95</v>
      </c>
    </row>
    <row r="51" spans="1:13" x14ac:dyDescent="0.3">
      <c r="A51" t="s">
        <v>28</v>
      </c>
      <c r="B51" t="s">
        <v>14</v>
      </c>
      <c r="C51" t="s">
        <v>15</v>
      </c>
      <c r="D51" t="s">
        <v>71</v>
      </c>
      <c r="E51" t="s">
        <v>72</v>
      </c>
      <c r="F51">
        <v>19901</v>
      </c>
      <c r="G51" t="s">
        <v>57</v>
      </c>
      <c r="H51" t="s">
        <v>35</v>
      </c>
      <c r="I51" t="s">
        <v>36</v>
      </c>
      <c r="J51">
        <v>21.8</v>
      </c>
      <c r="K51">
        <v>2</v>
      </c>
      <c r="L51">
        <v>0</v>
      </c>
      <c r="M51">
        <v>6.1040000000000001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37</v>
      </c>
      <c r="J52">
        <v>38.22</v>
      </c>
      <c r="K52">
        <v>6</v>
      </c>
      <c r="L52">
        <v>0</v>
      </c>
      <c r="M52">
        <v>17.9634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26</v>
      </c>
      <c r="I53" t="s">
        <v>27</v>
      </c>
      <c r="J53">
        <v>75.180000000000007</v>
      </c>
      <c r="K53">
        <v>6</v>
      </c>
      <c r="L53">
        <v>0</v>
      </c>
      <c r="M53">
        <v>35.334600000000002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33</v>
      </c>
      <c r="J54">
        <v>6.16</v>
      </c>
      <c r="K54">
        <v>2</v>
      </c>
      <c r="L54">
        <v>0</v>
      </c>
      <c r="M54">
        <v>2.9567999999999999</v>
      </c>
    </row>
    <row r="55" spans="1:13" x14ac:dyDescent="0.3">
      <c r="A55" t="s">
        <v>28</v>
      </c>
      <c r="B55" t="s">
        <v>14</v>
      </c>
      <c r="C55" t="s">
        <v>15</v>
      </c>
      <c r="D55" t="s">
        <v>73</v>
      </c>
      <c r="E55" t="s">
        <v>74</v>
      </c>
      <c r="F55">
        <v>47150</v>
      </c>
      <c r="G55" t="s">
        <v>47</v>
      </c>
      <c r="H55" t="s">
        <v>19</v>
      </c>
      <c r="I55" t="s">
        <v>21</v>
      </c>
      <c r="J55">
        <v>89.99</v>
      </c>
      <c r="K55">
        <v>1</v>
      </c>
      <c r="L55">
        <v>0</v>
      </c>
      <c r="M55">
        <v>17.098099999999999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26</v>
      </c>
      <c r="I56" t="s">
        <v>77</v>
      </c>
      <c r="J56">
        <v>15.26</v>
      </c>
      <c r="K56">
        <v>7</v>
      </c>
      <c r="L56">
        <v>0</v>
      </c>
      <c r="M56">
        <v>6.2565999999999997</v>
      </c>
    </row>
    <row r="57" spans="1:13" x14ac:dyDescent="0.3">
      <c r="A57" t="s">
        <v>28</v>
      </c>
      <c r="B57" t="s">
        <v>22</v>
      </c>
      <c r="C57" t="s">
        <v>15</v>
      </c>
      <c r="D57" t="s">
        <v>75</v>
      </c>
      <c r="E57" t="s">
        <v>76</v>
      </c>
      <c r="F57">
        <v>10024</v>
      </c>
      <c r="G57" t="s">
        <v>57</v>
      </c>
      <c r="H57" t="s">
        <v>35</v>
      </c>
      <c r="I57" t="s">
        <v>36</v>
      </c>
      <c r="J57">
        <v>1029.95</v>
      </c>
      <c r="K57">
        <v>5</v>
      </c>
      <c r="L57">
        <v>0</v>
      </c>
      <c r="M57">
        <v>298.68549999999999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32</v>
      </c>
      <c r="J58">
        <v>208.56</v>
      </c>
      <c r="K58">
        <v>6</v>
      </c>
      <c r="L58">
        <v>0</v>
      </c>
      <c r="M58">
        <v>52.14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26</v>
      </c>
      <c r="I59" t="s">
        <v>41</v>
      </c>
      <c r="J59">
        <v>32.4</v>
      </c>
      <c r="K59">
        <v>5</v>
      </c>
      <c r="L59">
        <v>0</v>
      </c>
      <c r="M59">
        <v>15.552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19</v>
      </c>
      <c r="I60" t="s">
        <v>21</v>
      </c>
      <c r="J60">
        <v>319.41000000000003</v>
      </c>
      <c r="K60">
        <v>5</v>
      </c>
      <c r="L60">
        <v>0.1</v>
      </c>
      <c r="M60">
        <v>7.0979999999999999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26</v>
      </c>
      <c r="I61" t="s">
        <v>41</v>
      </c>
      <c r="J61">
        <v>14.56</v>
      </c>
      <c r="K61">
        <v>2</v>
      </c>
      <c r="L61">
        <v>0</v>
      </c>
      <c r="M61">
        <v>6.9888000000000003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35</v>
      </c>
      <c r="I62" t="s">
        <v>59</v>
      </c>
      <c r="J62">
        <v>30</v>
      </c>
      <c r="K62">
        <v>2</v>
      </c>
      <c r="L62">
        <v>0</v>
      </c>
      <c r="M62">
        <v>3.3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37</v>
      </c>
      <c r="J63">
        <v>48.48</v>
      </c>
      <c r="K63">
        <v>4</v>
      </c>
      <c r="L63">
        <v>0.2</v>
      </c>
      <c r="M63">
        <v>16.361999999999998</v>
      </c>
    </row>
    <row r="64" spans="1:13" x14ac:dyDescent="0.3">
      <c r="A64" t="s">
        <v>62</v>
      </c>
      <c r="B64" t="s">
        <v>14</v>
      </c>
      <c r="C64" t="s">
        <v>15</v>
      </c>
      <c r="D64" t="s">
        <v>78</v>
      </c>
      <c r="E64" t="s">
        <v>76</v>
      </c>
      <c r="F64">
        <v>12180</v>
      </c>
      <c r="G64" t="s">
        <v>57</v>
      </c>
      <c r="H64" t="s">
        <v>26</v>
      </c>
      <c r="I64" t="s">
        <v>34</v>
      </c>
      <c r="J64">
        <v>1.68</v>
      </c>
      <c r="K64">
        <v>1</v>
      </c>
      <c r="L64">
        <v>0</v>
      </c>
      <c r="M64">
        <v>0.84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35</v>
      </c>
      <c r="I65" t="s">
        <v>59</v>
      </c>
      <c r="J65">
        <v>13.98</v>
      </c>
      <c r="K65">
        <v>2</v>
      </c>
      <c r="L65">
        <v>0</v>
      </c>
      <c r="M65">
        <v>6.1512000000000002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37</v>
      </c>
      <c r="J66">
        <v>25.824000000000002</v>
      </c>
      <c r="K66">
        <v>6</v>
      </c>
      <c r="L66">
        <v>0.2</v>
      </c>
      <c r="M66">
        <v>9.3612000000000002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26</v>
      </c>
      <c r="I67" t="s">
        <v>41</v>
      </c>
      <c r="J67">
        <v>146.72999999999999</v>
      </c>
      <c r="K67">
        <v>3</v>
      </c>
      <c r="L67">
        <v>0</v>
      </c>
      <c r="M67">
        <v>68.963099999999997</v>
      </c>
    </row>
    <row r="68" spans="1:13" x14ac:dyDescent="0.3">
      <c r="A68" t="s">
        <v>28</v>
      </c>
      <c r="B68" t="s">
        <v>14</v>
      </c>
      <c r="C68" t="s">
        <v>15</v>
      </c>
      <c r="D68" t="s">
        <v>23</v>
      </c>
      <c r="E68" t="s">
        <v>24</v>
      </c>
      <c r="F68">
        <v>90004</v>
      </c>
      <c r="G68" t="s">
        <v>25</v>
      </c>
      <c r="H68" t="s">
        <v>19</v>
      </c>
      <c r="I68" t="s">
        <v>33</v>
      </c>
      <c r="J68">
        <v>79.760000000000005</v>
      </c>
      <c r="K68">
        <v>4</v>
      </c>
      <c r="L68">
        <v>0</v>
      </c>
      <c r="M68">
        <v>22.332799999999999</v>
      </c>
    </row>
    <row r="69" spans="1:13" x14ac:dyDescent="0.3">
      <c r="A69" t="s">
        <v>28</v>
      </c>
      <c r="B69" t="s">
        <v>44</v>
      </c>
      <c r="C69" t="s">
        <v>15</v>
      </c>
      <c r="D69" t="s">
        <v>79</v>
      </c>
      <c r="E69" t="s">
        <v>65</v>
      </c>
      <c r="F69">
        <v>60610</v>
      </c>
      <c r="G69" t="s">
        <v>47</v>
      </c>
      <c r="H69" t="s">
        <v>19</v>
      </c>
      <c r="I69" t="s">
        <v>21</v>
      </c>
      <c r="J69">
        <v>213.11500000000001</v>
      </c>
      <c r="K69">
        <v>5</v>
      </c>
      <c r="L69">
        <v>0.3</v>
      </c>
      <c r="M69">
        <v>-15.2225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26</v>
      </c>
      <c r="I70" t="s">
        <v>34</v>
      </c>
      <c r="J70">
        <v>1113.0239999999999</v>
      </c>
      <c r="K70">
        <v>8</v>
      </c>
      <c r="L70">
        <v>0.2</v>
      </c>
      <c r="M70">
        <v>111.30240000000001</v>
      </c>
    </row>
    <row r="71" spans="1:13" x14ac:dyDescent="0.3">
      <c r="A71" t="s">
        <v>28</v>
      </c>
      <c r="B71" t="s">
        <v>22</v>
      </c>
      <c r="C71" t="s">
        <v>15</v>
      </c>
      <c r="D71" t="s">
        <v>80</v>
      </c>
      <c r="E71" t="s">
        <v>81</v>
      </c>
      <c r="F71">
        <v>85234</v>
      </c>
      <c r="G71" t="s">
        <v>25</v>
      </c>
      <c r="H71" t="s">
        <v>35</v>
      </c>
      <c r="I71" t="s">
        <v>36</v>
      </c>
      <c r="J71">
        <v>167.96799999999999</v>
      </c>
      <c r="K71">
        <v>4</v>
      </c>
      <c r="L71">
        <v>0.2</v>
      </c>
      <c r="M71">
        <v>62.988</v>
      </c>
    </row>
    <row r="72" spans="1:13" x14ac:dyDescent="0.3">
      <c r="A72" t="s">
        <v>62</v>
      </c>
      <c r="B72" t="s">
        <v>14</v>
      </c>
      <c r="C72" t="s">
        <v>15</v>
      </c>
      <c r="D72" t="s">
        <v>82</v>
      </c>
      <c r="E72" t="s">
        <v>83</v>
      </c>
      <c r="F72">
        <v>22153</v>
      </c>
      <c r="G72" t="s">
        <v>18</v>
      </c>
      <c r="H72" t="s">
        <v>26</v>
      </c>
      <c r="I72" t="s">
        <v>41</v>
      </c>
      <c r="J72">
        <v>75.88</v>
      </c>
      <c r="K72">
        <v>2</v>
      </c>
      <c r="L72">
        <v>0</v>
      </c>
      <c r="M72">
        <v>35.663600000000002</v>
      </c>
    </row>
    <row r="73" spans="1:13" x14ac:dyDescent="0.3">
      <c r="A73" t="s">
        <v>28</v>
      </c>
      <c r="B73" t="s">
        <v>14</v>
      </c>
      <c r="C73" t="s">
        <v>15</v>
      </c>
      <c r="D73" t="s">
        <v>75</v>
      </c>
      <c r="E73" t="s">
        <v>76</v>
      </c>
      <c r="F73">
        <v>10009</v>
      </c>
      <c r="G73" t="s">
        <v>57</v>
      </c>
      <c r="H73" t="s">
        <v>26</v>
      </c>
      <c r="I73" t="s">
        <v>37</v>
      </c>
      <c r="J73">
        <v>4.6159999999999997</v>
      </c>
      <c r="K73">
        <v>1</v>
      </c>
      <c r="L73">
        <v>0.2</v>
      </c>
      <c r="M73">
        <v>1.7310000000000001</v>
      </c>
    </row>
    <row r="74" spans="1:13" x14ac:dyDescent="0.3">
      <c r="A74" t="s">
        <v>13</v>
      </c>
      <c r="B74" t="s">
        <v>14</v>
      </c>
      <c r="C74" t="s">
        <v>15</v>
      </c>
      <c r="D74" t="s">
        <v>84</v>
      </c>
      <c r="E74" t="s">
        <v>70</v>
      </c>
      <c r="F74">
        <v>49201</v>
      </c>
      <c r="G74" t="s">
        <v>47</v>
      </c>
      <c r="H74" t="s">
        <v>26</v>
      </c>
      <c r="I74" t="s">
        <v>41</v>
      </c>
      <c r="J74">
        <v>19.05</v>
      </c>
      <c r="K74">
        <v>3</v>
      </c>
      <c r="L74">
        <v>0</v>
      </c>
      <c r="M74">
        <v>8.7629999999999999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21</v>
      </c>
      <c r="J75">
        <v>831.93600000000004</v>
      </c>
      <c r="K75">
        <v>8</v>
      </c>
      <c r="L75">
        <v>0.2</v>
      </c>
      <c r="M75">
        <v>-114.3912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19</v>
      </c>
      <c r="I76" t="s">
        <v>33</v>
      </c>
      <c r="J76">
        <v>97.04</v>
      </c>
      <c r="K76">
        <v>2</v>
      </c>
      <c r="L76">
        <v>0.2</v>
      </c>
      <c r="M76">
        <v>1.2130000000000001</v>
      </c>
    </row>
    <row r="77" spans="1:13" x14ac:dyDescent="0.3">
      <c r="A77" t="s">
        <v>28</v>
      </c>
      <c r="B77" t="s">
        <v>14</v>
      </c>
      <c r="C77" t="s">
        <v>15</v>
      </c>
      <c r="D77" t="s">
        <v>85</v>
      </c>
      <c r="E77" t="s">
        <v>86</v>
      </c>
      <c r="F77">
        <v>38109</v>
      </c>
      <c r="G77" t="s">
        <v>18</v>
      </c>
      <c r="H77" t="s">
        <v>26</v>
      </c>
      <c r="I77" t="s">
        <v>32</v>
      </c>
      <c r="J77">
        <v>72.784000000000006</v>
      </c>
      <c r="K77">
        <v>1</v>
      </c>
      <c r="L77">
        <v>0.2</v>
      </c>
      <c r="M77">
        <v>-18.196000000000002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26</v>
      </c>
      <c r="I78" t="s">
        <v>37</v>
      </c>
      <c r="J78">
        <v>1.248</v>
      </c>
      <c r="K78">
        <v>3</v>
      </c>
      <c r="L78">
        <v>0.8</v>
      </c>
      <c r="M78">
        <v>-1.9343999999999999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19</v>
      </c>
      <c r="I79" t="s">
        <v>33</v>
      </c>
      <c r="J79">
        <v>9.7080000000000002</v>
      </c>
      <c r="K79">
        <v>3</v>
      </c>
      <c r="L79">
        <v>0.6</v>
      </c>
      <c r="M79">
        <v>-5.8247999999999998</v>
      </c>
    </row>
    <row r="80" spans="1:13" x14ac:dyDescent="0.3">
      <c r="A80" t="s">
        <v>62</v>
      </c>
      <c r="B80" t="s">
        <v>22</v>
      </c>
      <c r="C80" t="s">
        <v>15</v>
      </c>
      <c r="D80" t="s">
        <v>61</v>
      </c>
      <c r="E80" t="s">
        <v>46</v>
      </c>
      <c r="F80">
        <v>77041</v>
      </c>
      <c r="G80" t="s">
        <v>47</v>
      </c>
      <c r="H80" t="s">
        <v>26</v>
      </c>
      <c r="I80" t="s">
        <v>32</v>
      </c>
      <c r="J80">
        <v>27.24</v>
      </c>
      <c r="K80">
        <v>3</v>
      </c>
      <c r="L80">
        <v>0.2</v>
      </c>
      <c r="M80">
        <v>2.7240000000000002</v>
      </c>
    </row>
    <row r="81" spans="1:13" x14ac:dyDescent="0.3">
      <c r="A81" t="s">
        <v>13</v>
      </c>
      <c r="B81" t="s">
        <v>14</v>
      </c>
      <c r="C81" t="s">
        <v>15</v>
      </c>
      <c r="D81" t="s">
        <v>61</v>
      </c>
      <c r="E81" t="s">
        <v>46</v>
      </c>
      <c r="F81">
        <v>77070</v>
      </c>
      <c r="G81" t="s">
        <v>47</v>
      </c>
      <c r="H81" t="s">
        <v>19</v>
      </c>
      <c r="I81" t="s">
        <v>33</v>
      </c>
      <c r="J81">
        <v>19.3</v>
      </c>
      <c r="K81">
        <v>5</v>
      </c>
      <c r="L81">
        <v>0.6</v>
      </c>
      <c r="M81">
        <v>-14.475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38</v>
      </c>
      <c r="J82">
        <v>208.16</v>
      </c>
      <c r="K82">
        <v>1</v>
      </c>
      <c r="L82">
        <v>0</v>
      </c>
      <c r="M82">
        <v>56.203200000000002</v>
      </c>
    </row>
    <row r="83" spans="1:13" x14ac:dyDescent="0.3">
      <c r="A83" t="s">
        <v>62</v>
      </c>
      <c r="B83" t="s">
        <v>22</v>
      </c>
      <c r="C83" t="s">
        <v>15</v>
      </c>
      <c r="D83" t="s">
        <v>87</v>
      </c>
      <c r="E83" t="s">
        <v>88</v>
      </c>
      <c r="F83">
        <v>35601</v>
      </c>
      <c r="G83" t="s">
        <v>18</v>
      </c>
      <c r="H83" t="s">
        <v>26</v>
      </c>
      <c r="I83" t="s">
        <v>37</v>
      </c>
      <c r="J83">
        <v>16.739999999999998</v>
      </c>
      <c r="K83">
        <v>3</v>
      </c>
      <c r="L83">
        <v>0</v>
      </c>
      <c r="M83">
        <v>8.0351999999999997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34</v>
      </c>
      <c r="J84">
        <v>14.9</v>
      </c>
      <c r="K84">
        <v>5</v>
      </c>
      <c r="L84">
        <v>0</v>
      </c>
      <c r="M84">
        <v>4.1719999999999997</v>
      </c>
    </row>
    <row r="85" spans="1:13" x14ac:dyDescent="0.3">
      <c r="A85" t="s">
        <v>28</v>
      </c>
      <c r="B85" t="s">
        <v>14</v>
      </c>
      <c r="C85" t="s">
        <v>15</v>
      </c>
      <c r="D85" t="s">
        <v>52</v>
      </c>
      <c r="E85" t="s">
        <v>24</v>
      </c>
      <c r="F85">
        <v>94122</v>
      </c>
      <c r="G85" t="s">
        <v>25</v>
      </c>
      <c r="H85" t="s">
        <v>26</v>
      </c>
      <c r="I85" t="s">
        <v>32</v>
      </c>
      <c r="J85">
        <v>21.39</v>
      </c>
      <c r="K85">
        <v>1</v>
      </c>
      <c r="L85">
        <v>0</v>
      </c>
      <c r="M85">
        <v>6.2031000000000001</v>
      </c>
    </row>
    <row r="86" spans="1:13" x14ac:dyDescent="0.3">
      <c r="A86" t="s">
        <v>28</v>
      </c>
      <c r="B86" t="s">
        <v>22</v>
      </c>
      <c r="C86" t="s">
        <v>15</v>
      </c>
      <c r="D86" t="s">
        <v>89</v>
      </c>
      <c r="E86" t="s">
        <v>40</v>
      </c>
      <c r="F86">
        <v>27707</v>
      </c>
      <c r="G86" t="s">
        <v>18</v>
      </c>
      <c r="H86" t="s">
        <v>26</v>
      </c>
      <c r="I86" t="s">
        <v>60</v>
      </c>
      <c r="J86">
        <v>200.98400000000001</v>
      </c>
      <c r="K86">
        <v>7</v>
      </c>
      <c r="L86">
        <v>0.2</v>
      </c>
      <c r="M86">
        <v>62.807499999999997</v>
      </c>
    </row>
    <row r="87" spans="1:13" x14ac:dyDescent="0.3">
      <c r="A87" t="s">
        <v>62</v>
      </c>
      <c r="B87" t="s">
        <v>44</v>
      </c>
      <c r="C87" t="s">
        <v>15</v>
      </c>
      <c r="D87" t="s">
        <v>79</v>
      </c>
      <c r="E87" t="s">
        <v>65</v>
      </c>
      <c r="F87">
        <v>60623</v>
      </c>
      <c r="G87" t="s">
        <v>47</v>
      </c>
      <c r="H87" t="s">
        <v>26</v>
      </c>
      <c r="I87" t="s">
        <v>32</v>
      </c>
      <c r="J87">
        <v>230.376</v>
      </c>
      <c r="K87">
        <v>3</v>
      </c>
      <c r="L87">
        <v>0.2</v>
      </c>
      <c r="M87">
        <v>-48.954900000000002</v>
      </c>
    </row>
    <row r="88" spans="1:13" x14ac:dyDescent="0.3">
      <c r="A88" t="s">
        <v>13</v>
      </c>
      <c r="B88" t="s">
        <v>14</v>
      </c>
      <c r="C88" t="s">
        <v>15</v>
      </c>
      <c r="D88" t="s">
        <v>90</v>
      </c>
      <c r="E88" t="s">
        <v>91</v>
      </c>
      <c r="F88">
        <v>29203</v>
      </c>
      <c r="G88" t="s">
        <v>18</v>
      </c>
      <c r="H88" t="s">
        <v>19</v>
      </c>
      <c r="I88" t="s">
        <v>21</v>
      </c>
      <c r="J88">
        <v>301.95999999999998</v>
      </c>
      <c r="K88">
        <v>2</v>
      </c>
      <c r="L88">
        <v>0</v>
      </c>
      <c r="M88">
        <v>33.215600000000002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35</v>
      </c>
      <c r="I89" t="s">
        <v>59</v>
      </c>
      <c r="J89">
        <v>19.989999999999998</v>
      </c>
      <c r="K89">
        <v>1</v>
      </c>
      <c r="L89">
        <v>0</v>
      </c>
      <c r="M89">
        <v>6.7965999999999998</v>
      </c>
    </row>
    <row r="90" spans="1:13" x14ac:dyDescent="0.3">
      <c r="A90" t="s">
        <v>28</v>
      </c>
      <c r="B90" t="s">
        <v>14</v>
      </c>
      <c r="C90" t="s">
        <v>15</v>
      </c>
      <c r="D90" t="s">
        <v>92</v>
      </c>
      <c r="E90" t="s">
        <v>68</v>
      </c>
      <c r="F90">
        <v>55901</v>
      </c>
      <c r="G90" t="s">
        <v>47</v>
      </c>
      <c r="H90" t="s">
        <v>26</v>
      </c>
      <c r="I90" t="s">
        <v>27</v>
      </c>
      <c r="J90">
        <v>6.16</v>
      </c>
      <c r="K90">
        <v>2</v>
      </c>
      <c r="L90">
        <v>0</v>
      </c>
      <c r="M90">
        <v>2.9567999999999999</v>
      </c>
    </row>
    <row r="91" spans="1:13" x14ac:dyDescent="0.3">
      <c r="A91" t="s">
        <v>13</v>
      </c>
      <c r="B91" t="s">
        <v>44</v>
      </c>
      <c r="C91" t="s">
        <v>15</v>
      </c>
      <c r="D91" t="s">
        <v>61</v>
      </c>
      <c r="E91" t="s">
        <v>46</v>
      </c>
      <c r="F91">
        <v>77095</v>
      </c>
      <c r="G91" t="s">
        <v>47</v>
      </c>
      <c r="H91" t="s">
        <v>26</v>
      </c>
      <c r="I91" t="s">
        <v>32</v>
      </c>
      <c r="J91">
        <v>158.36799999999999</v>
      </c>
      <c r="K91">
        <v>7</v>
      </c>
      <c r="L91">
        <v>0.2</v>
      </c>
      <c r="M91">
        <v>13.857200000000001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26</v>
      </c>
      <c r="I92" t="s">
        <v>34</v>
      </c>
      <c r="J92">
        <v>20.100000000000001</v>
      </c>
      <c r="K92">
        <v>3</v>
      </c>
      <c r="L92">
        <v>0</v>
      </c>
      <c r="M92">
        <v>6.633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35</v>
      </c>
      <c r="I93" t="s">
        <v>36</v>
      </c>
      <c r="J93">
        <v>73.584000000000003</v>
      </c>
      <c r="K93">
        <v>2</v>
      </c>
      <c r="L93">
        <v>0.2</v>
      </c>
      <c r="M93">
        <v>8.2782</v>
      </c>
    </row>
    <row r="94" spans="1:13" x14ac:dyDescent="0.3">
      <c r="A94" t="s">
        <v>28</v>
      </c>
      <c r="B94" t="s">
        <v>22</v>
      </c>
      <c r="C94" t="s">
        <v>15</v>
      </c>
      <c r="D94" t="s">
        <v>23</v>
      </c>
      <c r="E94" t="s">
        <v>24</v>
      </c>
      <c r="F94">
        <v>90036</v>
      </c>
      <c r="G94" t="s">
        <v>25</v>
      </c>
      <c r="H94" t="s">
        <v>26</v>
      </c>
      <c r="I94" t="s">
        <v>41</v>
      </c>
      <c r="J94">
        <v>6.48</v>
      </c>
      <c r="K94">
        <v>1</v>
      </c>
      <c r="L94">
        <v>0</v>
      </c>
      <c r="M94">
        <v>3.1103999999999998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26</v>
      </c>
      <c r="I95" t="s">
        <v>41</v>
      </c>
      <c r="J95">
        <v>12.96</v>
      </c>
      <c r="K95">
        <v>2</v>
      </c>
      <c r="L95">
        <v>0</v>
      </c>
      <c r="M95">
        <v>6.2207999999999997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19</v>
      </c>
      <c r="I96" t="s">
        <v>33</v>
      </c>
      <c r="J96">
        <v>53.34</v>
      </c>
      <c r="K96">
        <v>3</v>
      </c>
      <c r="L96">
        <v>0</v>
      </c>
      <c r="M96">
        <v>16.535399999999999</v>
      </c>
    </row>
    <row r="97" spans="1:13" x14ac:dyDescent="0.3">
      <c r="A97" t="s">
        <v>13</v>
      </c>
      <c r="B97" t="s">
        <v>14</v>
      </c>
      <c r="C97" t="s">
        <v>15</v>
      </c>
      <c r="D97" t="s">
        <v>93</v>
      </c>
      <c r="E97" t="s">
        <v>68</v>
      </c>
      <c r="F97">
        <v>55407</v>
      </c>
      <c r="G97" t="s">
        <v>47</v>
      </c>
      <c r="H97" t="s">
        <v>26</v>
      </c>
      <c r="I97" t="s">
        <v>37</v>
      </c>
      <c r="J97">
        <v>32.96</v>
      </c>
      <c r="K97">
        <v>2</v>
      </c>
      <c r="L97">
        <v>0</v>
      </c>
      <c r="M97">
        <v>16.150400000000001</v>
      </c>
    </row>
    <row r="98" spans="1:13" x14ac:dyDescent="0.3">
      <c r="A98" t="s">
        <v>28</v>
      </c>
      <c r="B98" t="s">
        <v>44</v>
      </c>
      <c r="C98" t="s">
        <v>15</v>
      </c>
      <c r="D98" t="s">
        <v>94</v>
      </c>
      <c r="E98" t="s">
        <v>95</v>
      </c>
      <c r="F98">
        <v>97206</v>
      </c>
      <c r="G98" t="s">
        <v>25</v>
      </c>
      <c r="H98" t="s">
        <v>26</v>
      </c>
      <c r="I98" t="s">
        <v>37</v>
      </c>
      <c r="J98">
        <v>5.6820000000000004</v>
      </c>
      <c r="K98">
        <v>1</v>
      </c>
      <c r="L98">
        <v>0.7</v>
      </c>
      <c r="M98">
        <v>-3.7879999999999998</v>
      </c>
    </row>
    <row r="99" spans="1:13" x14ac:dyDescent="0.3">
      <c r="A99" t="s">
        <v>13</v>
      </c>
      <c r="B99" t="s">
        <v>44</v>
      </c>
      <c r="C99" t="s">
        <v>15</v>
      </c>
      <c r="D99" t="s">
        <v>75</v>
      </c>
      <c r="E99" t="s">
        <v>76</v>
      </c>
      <c r="F99">
        <v>10009</v>
      </c>
      <c r="G99" t="s">
        <v>57</v>
      </c>
      <c r="H99" t="s">
        <v>19</v>
      </c>
      <c r="I99" t="s">
        <v>33</v>
      </c>
      <c r="J99">
        <v>96.53</v>
      </c>
      <c r="K99">
        <v>7</v>
      </c>
      <c r="L99">
        <v>0</v>
      </c>
      <c r="M99">
        <v>40.5426</v>
      </c>
    </row>
    <row r="100" spans="1:13" x14ac:dyDescent="0.3">
      <c r="A100" t="s">
        <v>62</v>
      </c>
      <c r="B100" t="s">
        <v>14</v>
      </c>
      <c r="C100" t="s">
        <v>15</v>
      </c>
      <c r="D100" t="s">
        <v>52</v>
      </c>
      <c r="E100" t="s">
        <v>24</v>
      </c>
      <c r="F100">
        <v>94122</v>
      </c>
      <c r="G100" t="s">
        <v>25</v>
      </c>
      <c r="H100" t="s">
        <v>26</v>
      </c>
      <c r="I100" t="s">
        <v>37</v>
      </c>
      <c r="J100">
        <v>51.311999999999998</v>
      </c>
      <c r="K100">
        <v>3</v>
      </c>
      <c r="L100">
        <v>0.2</v>
      </c>
      <c r="M100">
        <v>17.959199999999999</v>
      </c>
    </row>
    <row r="101" spans="1:13" x14ac:dyDescent="0.3">
      <c r="A101" t="s">
        <v>28</v>
      </c>
      <c r="B101" t="s">
        <v>22</v>
      </c>
      <c r="C101" t="s">
        <v>15</v>
      </c>
      <c r="D101" t="s">
        <v>96</v>
      </c>
      <c r="E101" t="s">
        <v>68</v>
      </c>
      <c r="F101">
        <v>55106</v>
      </c>
      <c r="G101" t="s">
        <v>47</v>
      </c>
      <c r="H101" t="s">
        <v>26</v>
      </c>
      <c r="I101" t="s">
        <v>38</v>
      </c>
      <c r="J101">
        <v>77.88</v>
      </c>
      <c r="K101">
        <v>6</v>
      </c>
      <c r="L101">
        <v>0</v>
      </c>
      <c r="M101">
        <v>22.5852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26</v>
      </c>
      <c r="I102" t="s">
        <v>41</v>
      </c>
      <c r="J102">
        <v>64.623999999999995</v>
      </c>
      <c r="K102">
        <v>7</v>
      </c>
      <c r="L102">
        <v>0.2</v>
      </c>
      <c r="M102">
        <v>22.618400000000001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35</v>
      </c>
      <c r="I103" t="s">
        <v>59</v>
      </c>
      <c r="J103">
        <v>95.975999999999999</v>
      </c>
      <c r="K103">
        <v>3</v>
      </c>
      <c r="L103">
        <v>0.2</v>
      </c>
      <c r="M103">
        <v>-10.7973</v>
      </c>
    </row>
    <row r="104" spans="1:13" x14ac:dyDescent="0.3">
      <c r="A104" t="s">
        <v>28</v>
      </c>
      <c r="B104" t="s">
        <v>44</v>
      </c>
      <c r="C104" t="s">
        <v>15</v>
      </c>
      <c r="D104" t="s">
        <v>79</v>
      </c>
      <c r="E104" t="s">
        <v>65</v>
      </c>
      <c r="F104">
        <v>60610</v>
      </c>
      <c r="G104" t="s">
        <v>47</v>
      </c>
      <c r="H104" t="s">
        <v>26</v>
      </c>
      <c r="I104" t="s">
        <v>37</v>
      </c>
      <c r="J104">
        <v>1.788</v>
      </c>
      <c r="K104">
        <v>3</v>
      </c>
      <c r="L104">
        <v>0.8</v>
      </c>
      <c r="M104">
        <v>-3.0396000000000001</v>
      </c>
    </row>
    <row r="105" spans="1:13" x14ac:dyDescent="0.3">
      <c r="A105" t="s">
        <v>13</v>
      </c>
      <c r="B105" t="s">
        <v>14</v>
      </c>
      <c r="C105" t="s">
        <v>15</v>
      </c>
      <c r="D105" t="s">
        <v>92</v>
      </c>
      <c r="E105" t="s">
        <v>68</v>
      </c>
      <c r="F105">
        <v>55901</v>
      </c>
      <c r="G105" t="s">
        <v>47</v>
      </c>
      <c r="H105" t="s">
        <v>26</v>
      </c>
      <c r="I105" t="s">
        <v>41</v>
      </c>
      <c r="J105">
        <v>23.92</v>
      </c>
      <c r="K105">
        <v>4</v>
      </c>
      <c r="L105">
        <v>0</v>
      </c>
      <c r="M105">
        <v>11.720800000000001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35</v>
      </c>
      <c r="I106" t="s">
        <v>59</v>
      </c>
      <c r="J106">
        <v>238.89599999999999</v>
      </c>
      <c r="K106">
        <v>6</v>
      </c>
      <c r="L106">
        <v>0.2</v>
      </c>
      <c r="M106">
        <v>-26.875800000000002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19</v>
      </c>
      <c r="I107" t="s">
        <v>33</v>
      </c>
      <c r="J107">
        <v>102.36</v>
      </c>
      <c r="K107">
        <v>3</v>
      </c>
      <c r="L107">
        <v>0.2</v>
      </c>
      <c r="M107">
        <v>-3.8384999999999998</v>
      </c>
    </row>
    <row r="108" spans="1:13" x14ac:dyDescent="0.3">
      <c r="A108" t="s">
        <v>28</v>
      </c>
      <c r="B108" t="s">
        <v>14</v>
      </c>
      <c r="C108" t="s">
        <v>15</v>
      </c>
      <c r="D108" t="s">
        <v>97</v>
      </c>
      <c r="E108" t="s">
        <v>98</v>
      </c>
      <c r="F108">
        <v>80013</v>
      </c>
      <c r="G108" t="s">
        <v>25</v>
      </c>
      <c r="H108" t="s">
        <v>26</v>
      </c>
      <c r="I108" t="s">
        <v>37</v>
      </c>
      <c r="J108">
        <v>36.881999999999998</v>
      </c>
      <c r="K108">
        <v>3</v>
      </c>
      <c r="L108">
        <v>0.7</v>
      </c>
      <c r="M108">
        <v>-25.817399999999999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59</v>
      </c>
      <c r="J109">
        <v>74.111999999999995</v>
      </c>
      <c r="K109">
        <v>8</v>
      </c>
      <c r="L109">
        <v>0.2</v>
      </c>
      <c r="M109">
        <v>17.601600000000001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35</v>
      </c>
      <c r="I110" t="s">
        <v>36</v>
      </c>
      <c r="J110">
        <v>27.992000000000001</v>
      </c>
      <c r="K110">
        <v>1</v>
      </c>
      <c r="L110">
        <v>0.2</v>
      </c>
      <c r="M110">
        <v>2.0994000000000002</v>
      </c>
    </row>
    <row r="111" spans="1:13" x14ac:dyDescent="0.3">
      <c r="A111" t="s">
        <v>28</v>
      </c>
      <c r="B111" t="s">
        <v>14</v>
      </c>
      <c r="C111" t="s">
        <v>15</v>
      </c>
      <c r="D111" t="s">
        <v>99</v>
      </c>
      <c r="E111" t="s">
        <v>40</v>
      </c>
      <c r="F111">
        <v>28205</v>
      </c>
      <c r="G111" t="s">
        <v>18</v>
      </c>
      <c r="H111" t="s">
        <v>26</v>
      </c>
      <c r="I111" t="s">
        <v>34</v>
      </c>
      <c r="J111">
        <v>3.3039999999999998</v>
      </c>
      <c r="K111">
        <v>1</v>
      </c>
      <c r="L111">
        <v>0.2</v>
      </c>
      <c r="M111">
        <v>1.0738000000000001</v>
      </c>
    </row>
    <row r="112" spans="1:13" x14ac:dyDescent="0.3">
      <c r="A112" t="s">
        <v>28</v>
      </c>
      <c r="B112" t="s">
        <v>44</v>
      </c>
      <c r="C112" t="s">
        <v>15</v>
      </c>
      <c r="D112" t="s">
        <v>100</v>
      </c>
      <c r="E112" t="s">
        <v>65</v>
      </c>
      <c r="F112">
        <v>60462</v>
      </c>
      <c r="G112" t="s">
        <v>47</v>
      </c>
      <c r="H112" t="s">
        <v>35</v>
      </c>
      <c r="I112" t="s">
        <v>59</v>
      </c>
      <c r="J112">
        <v>339.96</v>
      </c>
      <c r="K112">
        <v>5</v>
      </c>
      <c r="L112">
        <v>0.2</v>
      </c>
      <c r="M112">
        <v>67.992000000000004</v>
      </c>
    </row>
    <row r="113" spans="1:13" x14ac:dyDescent="0.3">
      <c r="A113" t="s">
        <v>28</v>
      </c>
      <c r="B113" t="s">
        <v>22</v>
      </c>
      <c r="C113" t="s">
        <v>15</v>
      </c>
      <c r="D113" t="s">
        <v>75</v>
      </c>
      <c r="E113" t="s">
        <v>76</v>
      </c>
      <c r="F113">
        <v>10035</v>
      </c>
      <c r="G113" t="s">
        <v>57</v>
      </c>
      <c r="H113" t="s">
        <v>19</v>
      </c>
      <c r="I113" t="s">
        <v>33</v>
      </c>
      <c r="J113">
        <v>41.96</v>
      </c>
      <c r="K113">
        <v>2</v>
      </c>
      <c r="L113">
        <v>0</v>
      </c>
      <c r="M113">
        <v>10.909599999999999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34</v>
      </c>
      <c r="J114">
        <v>75.959999999999994</v>
      </c>
      <c r="K114">
        <v>2</v>
      </c>
      <c r="L114">
        <v>0</v>
      </c>
      <c r="M114">
        <v>22.788</v>
      </c>
    </row>
    <row r="115" spans="1:13" x14ac:dyDescent="0.3">
      <c r="A115" t="s">
        <v>28</v>
      </c>
      <c r="B115" t="s">
        <v>14</v>
      </c>
      <c r="C115" t="s">
        <v>15</v>
      </c>
      <c r="D115" t="s">
        <v>101</v>
      </c>
      <c r="E115" t="s">
        <v>102</v>
      </c>
      <c r="F115">
        <v>50322</v>
      </c>
      <c r="G115" t="s">
        <v>47</v>
      </c>
      <c r="H115" t="s">
        <v>26</v>
      </c>
      <c r="I115" t="s">
        <v>37</v>
      </c>
      <c r="J115">
        <v>27.24</v>
      </c>
      <c r="K115">
        <v>6</v>
      </c>
      <c r="L115">
        <v>0</v>
      </c>
      <c r="M115">
        <v>13.3476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77</v>
      </c>
      <c r="J116">
        <v>40.095999999999997</v>
      </c>
      <c r="K116">
        <v>14</v>
      </c>
      <c r="L116">
        <v>0.2</v>
      </c>
      <c r="M116">
        <v>14.534800000000001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60</v>
      </c>
      <c r="J117">
        <v>4.72</v>
      </c>
      <c r="K117">
        <v>2</v>
      </c>
      <c r="L117">
        <v>0.2</v>
      </c>
      <c r="M117">
        <v>1.6519999999999999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41</v>
      </c>
      <c r="J118">
        <v>23.975999999999999</v>
      </c>
      <c r="K118">
        <v>3</v>
      </c>
      <c r="L118">
        <v>0.2</v>
      </c>
      <c r="M118">
        <v>7.4924999999999997</v>
      </c>
    </row>
    <row r="119" spans="1:13" x14ac:dyDescent="0.3">
      <c r="A119" t="s">
        <v>13</v>
      </c>
      <c r="B119" t="s">
        <v>14</v>
      </c>
      <c r="C119" t="s">
        <v>15</v>
      </c>
      <c r="D119" t="s">
        <v>103</v>
      </c>
      <c r="E119" t="s">
        <v>104</v>
      </c>
      <c r="F119">
        <v>43229</v>
      </c>
      <c r="G119" t="s">
        <v>57</v>
      </c>
      <c r="H119" t="s">
        <v>26</v>
      </c>
      <c r="I119" t="s">
        <v>60</v>
      </c>
      <c r="J119">
        <v>130.464</v>
      </c>
      <c r="K119">
        <v>6</v>
      </c>
      <c r="L119">
        <v>0.2</v>
      </c>
      <c r="M119">
        <v>44.031599999999997</v>
      </c>
    </row>
    <row r="120" spans="1:13" x14ac:dyDescent="0.3">
      <c r="A120" t="s">
        <v>28</v>
      </c>
      <c r="B120" t="s">
        <v>14</v>
      </c>
      <c r="C120" t="s">
        <v>15</v>
      </c>
      <c r="D120" t="s">
        <v>42</v>
      </c>
      <c r="E120" t="s">
        <v>43</v>
      </c>
      <c r="F120">
        <v>98103</v>
      </c>
      <c r="G120" t="s">
        <v>25</v>
      </c>
      <c r="H120" t="s">
        <v>19</v>
      </c>
      <c r="I120" t="s">
        <v>31</v>
      </c>
      <c r="J120">
        <v>787.53</v>
      </c>
      <c r="K120">
        <v>3</v>
      </c>
      <c r="L120">
        <v>0</v>
      </c>
      <c r="M120">
        <v>165.38130000000001</v>
      </c>
    </row>
    <row r="121" spans="1:13" x14ac:dyDescent="0.3">
      <c r="A121" t="s">
        <v>28</v>
      </c>
      <c r="B121" t="s">
        <v>22</v>
      </c>
      <c r="C121" t="s">
        <v>15</v>
      </c>
      <c r="D121" t="s">
        <v>105</v>
      </c>
      <c r="E121" t="s">
        <v>86</v>
      </c>
      <c r="F121">
        <v>37620</v>
      </c>
      <c r="G121" t="s">
        <v>18</v>
      </c>
      <c r="H121" t="s">
        <v>26</v>
      </c>
      <c r="I121" t="s">
        <v>37</v>
      </c>
      <c r="J121">
        <v>157.79400000000001</v>
      </c>
      <c r="K121">
        <v>1</v>
      </c>
      <c r="L121">
        <v>0.7</v>
      </c>
      <c r="M121">
        <v>-115.71559999999999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19</v>
      </c>
      <c r="I122" t="s">
        <v>33</v>
      </c>
      <c r="J122">
        <v>47.04</v>
      </c>
      <c r="K122">
        <v>3</v>
      </c>
      <c r="L122">
        <v>0</v>
      </c>
      <c r="M122">
        <v>18.345600000000001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37</v>
      </c>
      <c r="J123">
        <v>30.84</v>
      </c>
      <c r="K123">
        <v>4</v>
      </c>
      <c r="L123">
        <v>0</v>
      </c>
      <c r="M123">
        <v>13.878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32</v>
      </c>
      <c r="J124">
        <v>226.56</v>
      </c>
      <c r="K124">
        <v>6</v>
      </c>
      <c r="L124">
        <v>0</v>
      </c>
      <c r="M124">
        <v>63.436799999999998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26</v>
      </c>
      <c r="I125" t="s">
        <v>60</v>
      </c>
      <c r="J125">
        <v>115.02</v>
      </c>
      <c r="K125">
        <v>9</v>
      </c>
      <c r="L125">
        <v>0</v>
      </c>
      <c r="M125">
        <v>51.759</v>
      </c>
    </row>
    <row r="126" spans="1:13" x14ac:dyDescent="0.3">
      <c r="A126" t="s">
        <v>62</v>
      </c>
      <c r="B126" t="s">
        <v>14</v>
      </c>
      <c r="C126" t="s">
        <v>15</v>
      </c>
      <c r="D126" t="s">
        <v>106</v>
      </c>
      <c r="E126" t="s">
        <v>72</v>
      </c>
      <c r="F126">
        <v>19805</v>
      </c>
      <c r="G126" t="s">
        <v>57</v>
      </c>
      <c r="H126" t="s">
        <v>35</v>
      </c>
      <c r="I126" t="s">
        <v>36</v>
      </c>
      <c r="J126">
        <v>68.040000000000006</v>
      </c>
      <c r="K126">
        <v>7</v>
      </c>
      <c r="L126">
        <v>0</v>
      </c>
      <c r="M126">
        <v>19.7316</v>
      </c>
    </row>
    <row r="127" spans="1:13" x14ac:dyDescent="0.3">
      <c r="A127" t="s">
        <v>13</v>
      </c>
      <c r="B127" t="s">
        <v>44</v>
      </c>
      <c r="C127" t="s">
        <v>15</v>
      </c>
      <c r="D127" t="s">
        <v>61</v>
      </c>
      <c r="E127" t="s">
        <v>46</v>
      </c>
      <c r="F127">
        <v>77041</v>
      </c>
      <c r="G127" t="s">
        <v>47</v>
      </c>
      <c r="H127" t="s">
        <v>19</v>
      </c>
      <c r="I127" t="s">
        <v>21</v>
      </c>
      <c r="J127">
        <v>600.55799999999999</v>
      </c>
      <c r="K127">
        <v>3</v>
      </c>
      <c r="L127">
        <v>0.3</v>
      </c>
      <c r="M127">
        <v>-8.5793999999999997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107</v>
      </c>
      <c r="E128" t="s">
        <v>65</v>
      </c>
      <c r="F128">
        <v>61701</v>
      </c>
      <c r="G128" t="s">
        <v>47</v>
      </c>
      <c r="H128" t="s">
        <v>19</v>
      </c>
      <c r="I128" t="s">
        <v>31</v>
      </c>
      <c r="J128">
        <v>617.70000000000005</v>
      </c>
      <c r="K128">
        <v>6</v>
      </c>
      <c r="L128">
        <v>0.5</v>
      </c>
      <c r="M128">
        <v>-407.68200000000002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37</v>
      </c>
      <c r="J129">
        <v>2.3879999999999999</v>
      </c>
      <c r="K129">
        <v>2</v>
      </c>
      <c r="L129">
        <v>0.7</v>
      </c>
      <c r="M129">
        <v>-1.8308</v>
      </c>
    </row>
    <row r="130" spans="1:13" x14ac:dyDescent="0.3">
      <c r="A130" t="s">
        <v>28</v>
      </c>
      <c r="B130" t="s">
        <v>14</v>
      </c>
      <c r="C130" t="s">
        <v>15</v>
      </c>
      <c r="D130" t="s">
        <v>108</v>
      </c>
      <c r="E130" t="s">
        <v>81</v>
      </c>
      <c r="F130">
        <v>85023</v>
      </c>
      <c r="G130" t="s">
        <v>25</v>
      </c>
      <c r="H130" t="s">
        <v>26</v>
      </c>
      <c r="I130" t="s">
        <v>32</v>
      </c>
      <c r="J130">
        <v>243.99199999999999</v>
      </c>
      <c r="K130">
        <v>7</v>
      </c>
      <c r="L130">
        <v>0.2</v>
      </c>
      <c r="M130">
        <v>30.498999999999999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21</v>
      </c>
      <c r="J131">
        <v>81.424000000000007</v>
      </c>
      <c r="K131">
        <v>2</v>
      </c>
      <c r="L131">
        <v>0.2</v>
      </c>
      <c r="M131">
        <v>-9.1601999999999997</v>
      </c>
    </row>
    <row r="132" spans="1:13" x14ac:dyDescent="0.3">
      <c r="A132" t="s">
        <v>13</v>
      </c>
      <c r="B132" t="s">
        <v>44</v>
      </c>
      <c r="C132" t="s">
        <v>15</v>
      </c>
      <c r="D132" t="s">
        <v>23</v>
      </c>
      <c r="E132" t="s">
        <v>24</v>
      </c>
      <c r="F132">
        <v>90004</v>
      </c>
      <c r="G132" t="s">
        <v>25</v>
      </c>
      <c r="H132" t="s">
        <v>19</v>
      </c>
      <c r="I132" t="s">
        <v>33</v>
      </c>
      <c r="J132">
        <v>238.56</v>
      </c>
      <c r="K132">
        <v>3</v>
      </c>
      <c r="L132">
        <v>0</v>
      </c>
      <c r="M132">
        <v>26.241599999999998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35</v>
      </c>
      <c r="I133" t="s">
        <v>36</v>
      </c>
      <c r="J133">
        <v>59.97</v>
      </c>
      <c r="K133">
        <v>5</v>
      </c>
      <c r="L133">
        <v>0.4</v>
      </c>
      <c r="M133">
        <v>-11.994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41</v>
      </c>
      <c r="J134">
        <v>78.304000000000002</v>
      </c>
      <c r="K134">
        <v>2</v>
      </c>
      <c r="L134">
        <v>0.2</v>
      </c>
      <c r="M134">
        <v>29.364000000000001</v>
      </c>
    </row>
    <row r="135" spans="1:13" x14ac:dyDescent="0.3">
      <c r="A135" t="s">
        <v>62</v>
      </c>
      <c r="B135" t="s">
        <v>22</v>
      </c>
      <c r="C135" t="s">
        <v>15</v>
      </c>
      <c r="D135" t="s">
        <v>103</v>
      </c>
      <c r="E135" t="s">
        <v>104</v>
      </c>
      <c r="F135">
        <v>43229</v>
      </c>
      <c r="G135" t="s">
        <v>57</v>
      </c>
      <c r="H135" t="s">
        <v>26</v>
      </c>
      <c r="I135" t="s">
        <v>77</v>
      </c>
      <c r="J135">
        <v>21.456</v>
      </c>
      <c r="K135">
        <v>9</v>
      </c>
      <c r="L135">
        <v>0.2</v>
      </c>
      <c r="M135">
        <v>6.9732000000000003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20.04</v>
      </c>
      <c r="K136">
        <v>3</v>
      </c>
      <c r="L136">
        <v>0</v>
      </c>
      <c r="M136">
        <v>9.6191999999999993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41</v>
      </c>
      <c r="J137">
        <v>35.44</v>
      </c>
      <c r="K137">
        <v>1</v>
      </c>
      <c r="L137">
        <v>0</v>
      </c>
      <c r="M137">
        <v>16.6568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34</v>
      </c>
      <c r="J138">
        <v>11.52</v>
      </c>
      <c r="K138">
        <v>4</v>
      </c>
      <c r="L138">
        <v>0</v>
      </c>
      <c r="M138">
        <v>3.456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77</v>
      </c>
      <c r="J139">
        <v>4.0199999999999996</v>
      </c>
      <c r="K139">
        <v>2</v>
      </c>
      <c r="L139">
        <v>0</v>
      </c>
      <c r="M139">
        <v>1.9698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37</v>
      </c>
      <c r="J140">
        <v>76.176000000000002</v>
      </c>
      <c r="K140">
        <v>3</v>
      </c>
      <c r="L140">
        <v>0.2</v>
      </c>
      <c r="M140">
        <v>26.6616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26</v>
      </c>
      <c r="I141" t="s">
        <v>110</v>
      </c>
      <c r="J141">
        <v>65.88</v>
      </c>
      <c r="K141">
        <v>6</v>
      </c>
      <c r="L141">
        <v>0</v>
      </c>
      <c r="M141">
        <v>18.446400000000001</v>
      </c>
    </row>
    <row r="142" spans="1:13" x14ac:dyDescent="0.3">
      <c r="A142" t="s">
        <v>28</v>
      </c>
      <c r="B142" t="s">
        <v>14</v>
      </c>
      <c r="C142" t="s">
        <v>15</v>
      </c>
      <c r="D142" t="s">
        <v>109</v>
      </c>
      <c r="E142" t="s">
        <v>24</v>
      </c>
      <c r="F142">
        <v>95661</v>
      </c>
      <c r="G142" t="s">
        <v>25</v>
      </c>
      <c r="H142" t="s">
        <v>19</v>
      </c>
      <c r="I142" t="s">
        <v>33</v>
      </c>
      <c r="J142">
        <v>43.12</v>
      </c>
      <c r="K142">
        <v>14</v>
      </c>
      <c r="L142">
        <v>0</v>
      </c>
      <c r="M142">
        <v>20.697600000000001</v>
      </c>
    </row>
    <row r="143" spans="1:13" x14ac:dyDescent="0.3">
      <c r="A143" t="s">
        <v>13</v>
      </c>
      <c r="B143" t="s">
        <v>22</v>
      </c>
      <c r="C143" t="s">
        <v>15</v>
      </c>
      <c r="D143" t="s">
        <v>55</v>
      </c>
      <c r="E143" t="s">
        <v>56</v>
      </c>
      <c r="F143">
        <v>19140</v>
      </c>
      <c r="G143" t="s">
        <v>57</v>
      </c>
      <c r="H143" t="s">
        <v>19</v>
      </c>
      <c r="I143" t="s">
        <v>33</v>
      </c>
      <c r="J143">
        <v>82.8</v>
      </c>
      <c r="K143">
        <v>2</v>
      </c>
      <c r="L143">
        <v>0.2</v>
      </c>
      <c r="M143">
        <v>10.35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34</v>
      </c>
      <c r="J144">
        <v>8.82</v>
      </c>
      <c r="K144">
        <v>3</v>
      </c>
      <c r="L144">
        <v>0</v>
      </c>
      <c r="M144">
        <v>2.3814000000000002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60</v>
      </c>
      <c r="J145">
        <v>10.86</v>
      </c>
      <c r="K145">
        <v>3</v>
      </c>
      <c r="L145">
        <v>0</v>
      </c>
      <c r="M145">
        <v>5.1041999999999996</v>
      </c>
    </row>
    <row r="146" spans="1:13" x14ac:dyDescent="0.3">
      <c r="A146" t="s">
        <v>28</v>
      </c>
      <c r="B146" t="s">
        <v>22</v>
      </c>
      <c r="C146" t="s">
        <v>15</v>
      </c>
      <c r="D146" t="s">
        <v>52</v>
      </c>
      <c r="E146" t="s">
        <v>24</v>
      </c>
      <c r="F146">
        <v>94122</v>
      </c>
      <c r="G146" t="s">
        <v>25</v>
      </c>
      <c r="H146" t="s">
        <v>26</v>
      </c>
      <c r="I146" t="s">
        <v>41</v>
      </c>
      <c r="J146">
        <v>143.69999999999999</v>
      </c>
      <c r="K146">
        <v>3</v>
      </c>
      <c r="L146">
        <v>0</v>
      </c>
      <c r="M146">
        <v>68.975999999999999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111</v>
      </c>
      <c r="E147" t="s">
        <v>112</v>
      </c>
      <c r="F147">
        <v>64055</v>
      </c>
      <c r="G147" t="s">
        <v>47</v>
      </c>
      <c r="H147" t="s">
        <v>26</v>
      </c>
      <c r="I147" t="s">
        <v>38</v>
      </c>
      <c r="J147">
        <v>839.43</v>
      </c>
      <c r="K147">
        <v>3</v>
      </c>
      <c r="L147">
        <v>0</v>
      </c>
      <c r="M147">
        <v>218.2518</v>
      </c>
    </row>
    <row r="148" spans="1:13" x14ac:dyDescent="0.3">
      <c r="A148" t="s">
        <v>28</v>
      </c>
      <c r="B148" t="s">
        <v>14</v>
      </c>
      <c r="C148" t="s">
        <v>15</v>
      </c>
      <c r="D148" t="s">
        <v>113</v>
      </c>
      <c r="E148" t="s">
        <v>24</v>
      </c>
      <c r="F148">
        <v>91104</v>
      </c>
      <c r="G148" t="s">
        <v>25</v>
      </c>
      <c r="H148" t="s">
        <v>26</v>
      </c>
      <c r="I148" t="s">
        <v>32</v>
      </c>
      <c r="J148">
        <v>671.93</v>
      </c>
      <c r="K148">
        <v>7</v>
      </c>
      <c r="L148">
        <v>0</v>
      </c>
      <c r="M148">
        <v>20.157900000000001</v>
      </c>
    </row>
    <row r="149" spans="1:13" x14ac:dyDescent="0.3">
      <c r="A149" t="s">
        <v>28</v>
      </c>
      <c r="B149" t="s">
        <v>44</v>
      </c>
      <c r="C149" t="s">
        <v>15</v>
      </c>
      <c r="D149" t="s">
        <v>114</v>
      </c>
      <c r="E149" t="s">
        <v>104</v>
      </c>
      <c r="F149">
        <v>43055</v>
      </c>
      <c r="G149" t="s">
        <v>57</v>
      </c>
      <c r="H149" t="s">
        <v>19</v>
      </c>
      <c r="I149" t="s">
        <v>33</v>
      </c>
      <c r="J149">
        <v>93.888000000000005</v>
      </c>
      <c r="K149">
        <v>4</v>
      </c>
      <c r="L149">
        <v>0.2</v>
      </c>
      <c r="M149">
        <v>12.909599999999999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384.45</v>
      </c>
      <c r="K150">
        <v>11</v>
      </c>
      <c r="L150">
        <v>0</v>
      </c>
      <c r="M150">
        <v>103.8015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35</v>
      </c>
      <c r="I151" t="s">
        <v>36</v>
      </c>
      <c r="J151">
        <v>149.97</v>
      </c>
      <c r="K151">
        <v>3</v>
      </c>
      <c r="L151">
        <v>0</v>
      </c>
      <c r="M151">
        <v>5.9988000000000001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19</v>
      </c>
      <c r="I152" t="s">
        <v>21</v>
      </c>
      <c r="J152">
        <v>1951.84</v>
      </c>
      <c r="K152">
        <v>8</v>
      </c>
      <c r="L152">
        <v>0</v>
      </c>
      <c r="M152">
        <v>585.55200000000002</v>
      </c>
    </row>
    <row r="153" spans="1:13" x14ac:dyDescent="0.3">
      <c r="A153" t="s">
        <v>28</v>
      </c>
      <c r="B153" t="s">
        <v>22</v>
      </c>
      <c r="C153" t="s">
        <v>15</v>
      </c>
      <c r="D153" t="s">
        <v>115</v>
      </c>
      <c r="E153" t="s">
        <v>49</v>
      </c>
      <c r="F153">
        <v>53132</v>
      </c>
      <c r="G153" t="s">
        <v>47</v>
      </c>
      <c r="H153" t="s">
        <v>26</v>
      </c>
      <c r="I153" t="s">
        <v>37</v>
      </c>
      <c r="J153">
        <v>171.55</v>
      </c>
      <c r="K153">
        <v>5</v>
      </c>
      <c r="L153">
        <v>0</v>
      </c>
      <c r="M153">
        <v>80.628500000000003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26</v>
      </c>
      <c r="I154" t="s">
        <v>38</v>
      </c>
      <c r="J154">
        <v>157.91999999999999</v>
      </c>
      <c r="K154">
        <v>5</v>
      </c>
      <c r="L154">
        <v>0.2</v>
      </c>
      <c r="M154">
        <v>17.765999999999998</v>
      </c>
    </row>
    <row r="155" spans="1:13" x14ac:dyDescent="0.3">
      <c r="A155" t="s">
        <v>62</v>
      </c>
      <c r="B155" t="s">
        <v>44</v>
      </c>
      <c r="C155" t="s">
        <v>15</v>
      </c>
      <c r="D155" t="s">
        <v>116</v>
      </c>
      <c r="E155" t="s">
        <v>81</v>
      </c>
      <c r="F155">
        <v>85254</v>
      </c>
      <c r="G155" t="s">
        <v>25</v>
      </c>
      <c r="H155" t="s">
        <v>35</v>
      </c>
      <c r="I155" t="s">
        <v>36</v>
      </c>
      <c r="J155">
        <v>203.184</v>
      </c>
      <c r="K155">
        <v>2</v>
      </c>
      <c r="L155">
        <v>0.2</v>
      </c>
      <c r="M155">
        <v>15.238799999999999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58.38</v>
      </c>
      <c r="K156">
        <v>7</v>
      </c>
      <c r="L156">
        <v>0</v>
      </c>
      <c r="M156">
        <v>26.271000000000001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41</v>
      </c>
      <c r="J157">
        <v>105.52</v>
      </c>
      <c r="K157">
        <v>4</v>
      </c>
      <c r="L157">
        <v>0</v>
      </c>
      <c r="M157">
        <v>48.539200000000001</v>
      </c>
    </row>
    <row r="158" spans="1:13" x14ac:dyDescent="0.3">
      <c r="A158" t="s">
        <v>62</v>
      </c>
      <c r="B158" t="s">
        <v>22</v>
      </c>
      <c r="C158" t="s">
        <v>15</v>
      </c>
      <c r="D158" t="s">
        <v>117</v>
      </c>
      <c r="E158" t="s">
        <v>24</v>
      </c>
      <c r="F158">
        <v>95123</v>
      </c>
      <c r="G158" t="s">
        <v>25</v>
      </c>
      <c r="H158" t="s">
        <v>26</v>
      </c>
      <c r="I158" t="s">
        <v>32</v>
      </c>
      <c r="J158">
        <v>80.88</v>
      </c>
      <c r="K158">
        <v>6</v>
      </c>
      <c r="L158">
        <v>0</v>
      </c>
      <c r="M158">
        <v>21.0288</v>
      </c>
    </row>
    <row r="159" spans="1:13" x14ac:dyDescent="0.3">
      <c r="A159" t="s">
        <v>28</v>
      </c>
      <c r="B159" t="s">
        <v>44</v>
      </c>
      <c r="C159" t="s">
        <v>15</v>
      </c>
      <c r="D159" t="s">
        <v>42</v>
      </c>
      <c r="E159" t="s">
        <v>43</v>
      </c>
      <c r="F159">
        <v>98105</v>
      </c>
      <c r="G159" t="s">
        <v>25</v>
      </c>
      <c r="H159" t="s">
        <v>26</v>
      </c>
      <c r="I159" t="s">
        <v>34</v>
      </c>
      <c r="J159">
        <v>6.63</v>
      </c>
      <c r="K159">
        <v>3</v>
      </c>
      <c r="L159">
        <v>0</v>
      </c>
      <c r="M159">
        <v>1.7901</v>
      </c>
    </row>
    <row r="160" spans="1:13" x14ac:dyDescent="0.3">
      <c r="A160" t="s">
        <v>13</v>
      </c>
      <c r="B160" t="s">
        <v>14</v>
      </c>
      <c r="C160" t="s">
        <v>15</v>
      </c>
      <c r="D160" t="s">
        <v>42</v>
      </c>
      <c r="E160" t="s">
        <v>43</v>
      </c>
      <c r="F160">
        <v>98115</v>
      </c>
      <c r="G160" t="s">
        <v>25</v>
      </c>
      <c r="H160" t="s">
        <v>19</v>
      </c>
      <c r="I160" t="s">
        <v>21</v>
      </c>
      <c r="J160">
        <v>457.56799999999998</v>
      </c>
      <c r="K160">
        <v>2</v>
      </c>
      <c r="L160">
        <v>0.2</v>
      </c>
      <c r="M160">
        <v>51.476399999999998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26</v>
      </c>
      <c r="I161" t="s">
        <v>27</v>
      </c>
      <c r="J161">
        <v>14.62</v>
      </c>
      <c r="K161">
        <v>2</v>
      </c>
      <c r="L161">
        <v>0</v>
      </c>
      <c r="M161">
        <v>6.8714000000000004</v>
      </c>
    </row>
    <row r="162" spans="1:13" x14ac:dyDescent="0.3">
      <c r="A162" t="s">
        <v>28</v>
      </c>
      <c r="B162" t="s">
        <v>14</v>
      </c>
      <c r="C162" t="s">
        <v>15</v>
      </c>
      <c r="D162" t="s">
        <v>118</v>
      </c>
      <c r="E162" t="s">
        <v>119</v>
      </c>
      <c r="F162">
        <v>73034</v>
      </c>
      <c r="G162" t="s">
        <v>47</v>
      </c>
      <c r="H162" t="s">
        <v>35</v>
      </c>
      <c r="I162" t="s">
        <v>36</v>
      </c>
      <c r="J162">
        <v>944.93</v>
      </c>
      <c r="K162">
        <v>7</v>
      </c>
      <c r="L162">
        <v>0</v>
      </c>
      <c r="M162">
        <v>236.23249999999999</v>
      </c>
    </row>
    <row r="163" spans="1:13" x14ac:dyDescent="0.3">
      <c r="A163" t="s">
        <v>62</v>
      </c>
      <c r="B163" t="s">
        <v>14</v>
      </c>
      <c r="C163" t="s">
        <v>15</v>
      </c>
      <c r="D163" t="s">
        <v>23</v>
      </c>
      <c r="E163" t="s">
        <v>24</v>
      </c>
      <c r="F163">
        <v>90045</v>
      </c>
      <c r="G163" t="s">
        <v>25</v>
      </c>
      <c r="H163" t="s">
        <v>26</v>
      </c>
      <c r="I163" t="s">
        <v>41</v>
      </c>
      <c r="J163">
        <v>5.98</v>
      </c>
      <c r="K163">
        <v>1</v>
      </c>
      <c r="L163">
        <v>0</v>
      </c>
      <c r="M163">
        <v>2.6909999999999998</v>
      </c>
    </row>
    <row r="164" spans="1:13" x14ac:dyDescent="0.3">
      <c r="A164" t="s">
        <v>13</v>
      </c>
      <c r="B164" t="s">
        <v>14</v>
      </c>
      <c r="C164" t="s">
        <v>15</v>
      </c>
      <c r="D164" t="s">
        <v>55</v>
      </c>
      <c r="E164" t="s">
        <v>56</v>
      </c>
      <c r="F164">
        <v>19134</v>
      </c>
      <c r="G164" t="s">
        <v>57</v>
      </c>
      <c r="H164" t="s">
        <v>35</v>
      </c>
      <c r="I164" t="s">
        <v>59</v>
      </c>
      <c r="J164">
        <v>54.384</v>
      </c>
      <c r="K164">
        <v>2</v>
      </c>
      <c r="L164">
        <v>0.2</v>
      </c>
      <c r="M164">
        <v>1.3595999999999999</v>
      </c>
    </row>
    <row r="165" spans="1:13" x14ac:dyDescent="0.3">
      <c r="A165" t="s">
        <v>28</v>
      </c>
      <c r="B165" t="s">
        <v>14</v>
      </c>
      <c r="C165" t="s">
        <v>15</v>
      </c>
      <c r="D165" t="s">
        <v>120</v>
      </c>
      <c r="E165" t="s">
        <v>121</v>
      </c>
      <c r="F165">
        <v>88220</v>
      </c>
      <c r="G165" t="s">
        <v>25</v>
      </c>
      <c r="H165" t="s">
        <v>26</v>
      </c>
      <c r="I165" t="s">
        <v>60</v>
      </c>
      <c r="J165">
        <v>28.4</v>
      </c>
      <c r="K165">
        <v>5</v>
      </c>
      <c r="L165">
        <v>0</v>
      </c>
      <c r="M165">
        <v>13.348000000000001</v>
      </c>
    </row>
    <row r="166" spans="1:13" x14ac:dyDescent="0.3">
      <c r="A166" t="s">
        <v>28</v>
      </c>
      <c r="B166" t="s">
        <v>14</v>
      </c>
      <c r="C166" t="s">
        <v>15</v>
      </c>
      <c r="D166" t="s">
        <v>42</v>
      </c>
      <c r="E166" t="s">
        <v>43</v>
      </c>
      <c r="F166">
        <v>98115</v>
      </c>
      <c r="G166" t="s">
        <v>25</v>
      </c>
      <c r="H166" t="s">
        <v>26</v>
      </c>
      <c r="I166" t="s">
        <v>37</v>
      </c>
      <c r="J166">
        <v>27.68</v>
      </c>
      <c r="K166">
        <v>2</v>
      </c>
      <c r="L166">
        <v>0.2</v>
      </c>
      <c r="M166">
        <v>9.6880000000000006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26</v>
      </c>
      <c r="I167" t="s">
        <v>34</v>
      </c>
      <c r="J167">
        <v>9.9359999999999999</v>
      </c>
      <c r="K167">
        <v>3</v>
      </c>
      <c r="L167">
        <v>0.2</v>
      </c>
      <c r="M167">
        <v>2.7324000000000002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35</v>
      </c>
      <c r="I168" t="s">
        <v>123</v>
      </c>
      <c r="J168">
        <v>8159.9520000000002</v>
      </c>
      <c r="K168">
        <v>8</v>
      </c>
      <c r="L168">
        <v>0.4</v>
      </c>
      <c r="M168">
        <v>-1359.992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26</v>
      </c>
      <c r="I169" t="s">
        <v>32</v>
      </c>
      <c r="J169">
        <v>275.928</v>
      </c>
      <c r="K169">
        <v>3</v>
      </c>
      <c r="L169">
        <v>0.2</v>
      </c>
      <c r="M169">
        <v>-58.634700000000002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19</v>
      </c>
      <c r="I170" t="s">
        <v>21</v>
      </c>
      <c r="J170">
        <v>1740.06</v>
      </c>
      <c r="K170">
        <v>9</v>
      </c>
      <c r="L170">
        <v>0.3</v>
      </c>
      <c r="M170">
        <v>-24.858000000000001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34</v>
      </c>
      <c r="J171">
        <v>32.064</v>
      </c>
      <c r="K171">
        <v>6</v>
      </c>
      <c r="L171">
        <v>0.2</v>
      </c>
      <c r="M171">
        <v>6.8136000000000001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26</v>
      </c>
      <c r="I172" t="s">
        <v>38</v>
      </c>
      <c r="J172">
        <v>177.98</v>
      </c>
      <c r="K172">
        <v>5</v>
      </c>
      <c r="L172">
        <v>0.8</v>
      </c>
      <c r="M172">
        <v>-453.84899999999999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122</v>
      </c>
      <c r="E173" t="s">
        <v>46</v>
      </c>
      <c r="F173">
        <v>78207</v>
      </c>
      <c r="G173" t="s">
        <v>47</v>
      </c>
      <c r="H173" t="s">
        <v>35</v>
      </c>
      <c r="I173" t="s">
        <v>36</v>
      </c>
      <c r="J173">
        <v>143.976</v>
      </c>
      <c r="K173">
        <v>3</v>
      </c>
      <c r="L173">
        <v>0.2</v>
      </c>
      <c r="M173">
        <v>8.9984999999999999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20.94</v>
      </c>
      <c r="K174">
        <v>3</v>
      </c>
      <c r="L174">
        <v>0</v>
      </c>
      <c r="M174">
        <v>9.8417999999999992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26</v>
      </c>
      <c r="I175" t="s">
        <v>41</v>
      </c>
      <c r="J175">
        <v>110.96</v>
      </c>
      <c r="K175">
        <v>2</v>
      </c>
      <c r="L175">
        <v>0</v>
      </c>
      <c r="M175">
        <v>53.260800000000003</v>
      </c>
    </row>
    <row r="176" spans="1:13" x14ac:dyDescent="0.3">
      <c r="A176" t="s">
        <v>28</v>
      </c>
      <c r="B176" t="s">
        <v>14</v>
      </c>
      <c r="C176" t="s">
        <v>15</v>
      </c>
      <c r="D176" t="s">
        <v>23</v>
      </c>
      <c r="E176" t="s">
        <v>24</v>
      </c>
      <c r="F176">
        <v>90004</v>
      </c>
      <c r="G176" t="s">
        <v>25</v>
      </c>
      <c r="H176" t="s">
        <v>19</v>
      </c>
      <c r="I176" t="s">
        <v>21</v>
      </c>
      <c r="J176">
        <v>340.14400000000001</v>
      </c>
      <c r="K176">
        <v>7</v>
      </c>
      <c r="L176">
        <v>0.2</v>
      </c>
      <c r="M176">
        <v>21.259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38</v>
      </c>
      <c r="J177">
        <v>52.448</v>
      </c>
      <c r="K177">
        <v>2</v>
      </c>
      <c r="L177">
        <v>0.8</v>
      </c>
      <c r="M177">
        <v>-131.12</v>
      </c>
    </row>
    <row r="178" spans="1:13" x14ac:dyDescent="0.3">
      <c r="A178" t="s">
        <v>28</v>
      </c>
      <c r="B178" t="s">
        <v>22</v>
      </c>
      <c r="C178" t="s">
        <v>15</v>
      </c>
      <c r="D178" t="s">
        <v>79</v>
      </c>
      <c r="E178" t="s">
        <v>65</v>
      </c>
      <c r="F178">
        <v>60623</v>
      </c>
      <c r="G178" t="s">
        <v>47</v>
      </c>
      <c r="H178" t="s">
        <v>26</v>
      </c>
      <c r="I178" t="s">
        <v>27</v>
      </c>
      <c r="J178">
        <v>20.16</v>
      </c>
      <c r="K178">
        <v>4</v>
      </c>
      <c r="L178">
        <v>0.2</v>
      </c>
      <c r="M178">
        <v>6.5519999999999996</v>
      </c>
    </row>
    <row r="179" spans="1:13" x14ac:dyDescent="0.3">
      <c r="A179" t="s">
        <v>13</v>
      </c>
      <c r="B179" t="s">
        <v>14</v>
      </c>
      <c r="C179" t="s">
        <v>15</v>
      </c>
      <c r="D179" t="s">
        <v>61</v>
      </c>
      <c r="E179" t="s">
        <v>46</v>
      </c>
      <c r="F179">
        <v>77036</v>
      </c>
      <c r="G179" t="s">
        <v>47</v>
      </c>
      <c r="H179" t="s">
        <v>26</v>
      </c>
      <c r="I179" t="s">
        <v>38</v>
      </c>
      <c r="J179">
        <v>97.263999999999996</v>
      </c>
      <c r="K179">
        <v>4</v>
      </c>
      <c r="L179">
        <v>0.8</v>
      </c>
      <c r="M179">
        <v>-243.16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19</v>
      </c>
      <c r="I180" t="s">
        <v>21</v>
      </c>
      <c r="J180">
        <v>396.80200000000002</v>
      </c>
      <c r="K180">
        <v>7</v>
      </c>
      <c r="L180">
        <v>0.3</v>
      </c>
      <c r="M180">
        <v>-11.337199999999999</v>
      </c>
    </row>
    <row r="181" spans="1:13" x14ac:dyDescent="0.3">
      <c r="A181" t="s">
        <v>13</v>
      </c>
      <c r="B181" t="s">
        <v>14</v>
      </c>
      <c r="C181" t="s">
        <v>15</v>
      </c>
      <c r="D181" t="s">
        <v>114</v>
      </c>
      <c r="E181" t="s">
        <v>104</v>
      </c>
      <c r="F181">
        <v>43055</v>
      </c>
      <c r="G181" t="s">
        <v>57</v>
      </c>
      <c r="H181" t="s">
        <v>26</v>
      </c>
      <c r="I181" t="s">
        <v>110</v>
      </c>
      <c r="J181">
        <v>15.88</v>
      </c>
      <c r="K181">
        <v>5</v>
      </c>
      <c r="L181">
        <v>0.2</v>
      </c>
      <c r="M181">
        <v>-3.7715000000000001</v>
      </c>
    </row>
    <row r="182" spans="1:13" x14ac:dyDescent="0.3">
      <c r="A182" t="s">
        <v>28</v>
      </c>
      <c r="B182" t="s">
        <v>44</v>
      </c>
      <c r="C182" t="s">
        <v>15</v>
      </c>
      <c r="D182" t="s">
        <v>75</v>
      </c>
      <c r="E182" t="s">
        <v>76</v>
      </c>
      <c r="F182">
        <v>10009</v>
      </c>
      <c r="G182" t="s">
        <v>57</v>
      </c>
      <c r="H182" t="s">
        <v>26</v>
      </c>
      <c r="I182" t="s">
        <v>34</v>
      </c>
      <c r="J182">
        <v>3.28</v>
      </c>
      <c r="K182">
        <v>1</v>
      </c>
      <c r="L182">
        <v>0</v>
      </c>
      <c r="M182">
        <v>1.4104000000000001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26</v>
      </c>
      <c r="I183" t="s">
        <v>32</v>
      </c>
      <c r="J183">
        <v>24.815999999999999</v>
      </c>
      <c r="K183">
        <v>2</v>
      </c>
      <c r="L183">
        <v>0.2</v>
      </c>
      <c r="M183">
        <v>1.8612</v>
      </c>
    </row>
    <row r="184" spans="1:13" x14ac:dyDescent="0.3">
      <c r="A184" t="s">
        <v>13</v>
      </c>
      <c r="B184" t="s">
        <v>22</v>
      </c>
      <c r="C184" t="s">
        <v>15</v>
      </c>
      <c r="D184" t="s">
        <v>87</v>
      </c>
      <c r="E184" t="s">
        <v>65</v>
      </c>
      <c r="F184">
        <v>62521</v>
      </c>
      <c r="G184" t="s">
        <v>47</v>
      </c>
      <c r="H184" t="s">
        <v>35</v>
      </c>
      <c r="I184" t="s">
        <v>59</v>
      </c>
      <c r="J184">
        <v>408.74400000000003</v>
      </c>
      <c r="K184">
        <v>7</v>
      </c>
      <c r="L184">
        <v>0.2</v>
      </c>
      <c r="M184">
        <v>76.639499999999998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503.96</v>
      </c>
      <c r="K185">
        <v>4</v>
      </c>
      <c r="L185">
        <v>0</v>
      </c>
      <c r="M185">
        <v>131.02959999999999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36</v>
      </c>
      <c r="J186">
        <v>149.94999999999999</v>
      </c>
      <c r="K186">
        <v>5</v>
      </c>
      <c r="L186">
        <v>0</v>
      </c>
      <c r="M186">
        <v>41.985999999999997</v>
      </c>
    </row>
    <row r="187" spans="1:13" x14ac:dyDescent="0.3">
      <c r="A187" t="s">
        <v>13</v>
      </c>
      <c r="B187" t="s">
        <v>44</v>
      </c>
      <c r="C187" t="s">
        <v>15</v>
      </c>
      <c r="D187" t="s">
        <v>124</v>
      </c>
      <c r="E187" t="s">
        <v>125</v>
      </c>
      <c r="F187">
        <v>71203</v>
      </c>
      <c r="G187" t="s">
        <v>18</v>
      </c>
      <c r="H187" t="s">
        <v>35</v>
      </c>
      <c r="I187" t="s">
        <v>59</v>
      </c>
      <c r="J187">
        <v>29</v>
      </c>
      <c r="K187">
        <v>2</v>
      </c>
      <c r="L187">
        <v>0</v>
      </c>
      <c r="M187">
        <v>7.25</v>
      </c>
    </row>
    <row r="188" spans="1:13" x14ac:dyDescent="0.3">
      <c r="A188" t="s">
        <v>28</v>
      </c>
      <c r="B188" t="s">
        <v>14</v>
      </c>
      <c r="C188" t="s">
        <v>15</v>
      </c>
      <c r="D188" t="s">
        <v>126</v>
      </c>
      <c r="E188" t="s">
        <v>127</v>
      </c>
      <c r="F188">
        <v>6824</v>
      </c>
      <c r="G188" t="s">
        <v>57</v>
      </c>
      <c r="H188" t="s">
        <v>26</v>
      </c>
      <c r="I188" t="s">
        <v>37</v>
      </c>
      <c r="J188">
        <v>7.16</v>
      </c>
      <c r="K188">
        <v>2</v>
      </c>
      <c r="L188">
        <v>0</v>
      </c>
      <c r="M188">
        <v>3.4367999999999999</v>
      </c>
    </row>
    <row r="189" spans="1:13" x14ac:dyDescent="0.3">
      <c r="A189" t="s">
        <v>28</v>
      </c>
      <c r="B189" t="s">
        <v>44</v>
      </c>
      <c r="C189" t="s">
        <v>15</v>
      </c>
      <c r="D189" t="s">
        <v>23</v>
      </c>
      <c r="E189" t="s">
        <v>24</v>
      </c>
      <c r="F189">
        <v>90032</v>
      </c>
      <c r="G189" t="s">
        <v>25</v>
      </c>
      <c r="H189" t="s">
        <v>35</v>
      </c>
      <c r="I189" t="s">
        <v>59</v>
      </c>
      <c r="J189">
        <v>176.8</v>
      </c>
      <c r="K189">
        <v>8</v>
      </c>
      <c r="L189">
        <v>0</v>
      </c>
      <c r="M189">
        <v>22.984000000000002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32</v>
      </c>
      <c r="J190">
        <v>37.223999999999997</v>
      </c>
      <c r="K190">
        <v>3</v>
      </c>
      <c r="L190">
        <v>0.2</v>
      </c>
      <c r="M190">
        <v>3.7223999999999999</v>
      </c>
    </row>
    <row r="191" spans="1:13" x14ac:dyDescent="0.3">
      <c r="A191" t="s">
        <v>28</v>
      </c>
      <c r="B191" t="s">
        <v>22</v>
      </c>
      <c r="C191" t="s">
        <v>15</v>
      </c>
      <c r="D191" t="s">
        <v>128</v>
      </c>
      <c r="E191" t="s">
        <v>46</v>
      </c>
      <c r="F191">
        <v>75051</v>
      </c>
      <c r="G191" t="s">
        <v>47</v>
      </c>
      <c r="H191" t="s">
        <v>26</v>
      </c>
      <c r="I191" t="s">
        <v>41</v>
      </c>
      <c r="J191">
        <v>20.015999999999998</v>
      </c>
      <c r="K191">
        <v>3</v>
      </c>
      <c r="L191">
        <v>0.2</v>
      </c>
      <c r="M191">
        <v>6.2549999999999999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19</v>
      </c>
      <c r="I192" t="s">
        <v>20</v>
      </c>
      <c r="J192">
        <v>899.13599999999997</v>
      </c>
      <c r="K192">
        <v>4</v>
      </c>
      <c r="L192">
        <v>0.2</v>
      </c>
      <c r="M192">
        <v>112.392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35</v>
      </c>
      <c r="I193" t="s">
        <v>36</v>
      </c>
      <c r="J193">
        <v>71.760000000000005</v>
      </c>
      <c r="K193">
        <v>6</v>
      </c>
      <c r="L193">
        <v>0</v>
      </c>
      <c r="M193">
        <v>20.0928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26</v>
      </c>
      <c r="I194" t="s">
        <v>41</v>
      </c>
      <c r="J194">
        <v>51.84</v>
      </c>
      <c r="K194">
        <v>8</v>
      </c>
      <c r="L194">
        <v>0</v>
      </c>
      <c r="M194">
        <v>24.883199999999999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19</v>
      </c>
      <c r="I195" t="s">
        <v>20</v>
      </c>
      <c r="J195">
        <v>626.35199999999998</v>
      </c>
      <c r="K195">
        <v>3</v>
      </c>
      <c r="L195">
        <v>0.2</v>
      </c>
      <c r="M195">
        <v>46.976399999999998</v>
      </c>
    </row>
    <row r="196" spans="1:13" x14ac:dyDescent="0.3">
      <c r="A196" t="s">
        <v>62</v>
      </c>
      <c r="B196" t="s">
        <v>44</v>
      </c>
      <c r="C196" t="s">
        <v>15</v>
      </c>
      <c r="D196" t="s">
        <v>75</v>
      </c>
      <c r="E196" t="s">
        <v>76</v>
      </c>
      <c r="F196">
        <v>10035</v>
      </c>
      <c r="G196" t="s">
        <v>57</v>
      </c>
      <c r="H196" t="s">
        <v>26</v>
      </c>
      <c r="I196" t="s">
        <v>34</v>
      </c>
      <c r="J196">
        <v>19.899999999999999</v>
      </c>
      <c r="K196">
        <v>5</v>
      </c>
      <c r="L196">
        <v>0</v>
      </c>
      <c r="M196">
        <v>6.5670000000000002</v>
      </c>
    </row>
    <row r="197" spans="1:13" x14ac:dyDescent="0.3">
      <c r="A197" t="s">
        <v>28</v>
      </c>
      <c r="B197" t="s">
        <v>22</v>
      </c>
      <c r="C197" t="s">
        <v>15</v>
      </c>
      <c r="D197" t="s">
        <v>129</v>
      </c>
      <c r="E197" t="s">
        <v>24</v>
      </c>
      <c r="F197">
        <v>92374</v>
      </c>
      <c r="G197" t="s">
        <v>25</v>
      </c>
      <c r="H197" t="s">
        <v>26</v>
      </c>
      <c r="I197" t="s">
        <v>60</v>
      </c>
      <c r="J197">
        <v>14.28</v>
      </c>
      <c r="K197">
        <v>7</v>
      </c>
      <c r="L197">
        <v>0</v>
      </c>
      <c r="M197">
        <v>6.7115999999999998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7.4080000000000004</v>
      </c>
      <c r="K198">
        <v>2</v>
      </c>
      <c r="L198">
        <v>0.2</v>
      </c>
      <c r="M198">
        <v>1.2038</v>
      </c>
    </row>
    <row r="199" spans="1:13" x14ac:dyDescent="0.3">
      <c r="A199" t="s">
        <v>28</v>
      </c>
      <c r="B199" t="s">
        <v>14</v>
      </c>
      <c r="C199" t="s">
        <v>15</v>
      </c>
      <c r="D199" t="s">
        <v>130</v>
      </c>
      <c r="E199" t="s">
        <v>104</v>
      </c>
      <c r="F199">
        <v>45011</v>
      </c>
      <c r="G199" t="s">
        <v>57</v>
      </c>
      <c r="H199" t="s">
        <v>26</v>
      </c>
      <c r="I199" t="s">
        <v>34</v>
      </c>
      <c r="J199">
        <v>6.048</v>
      </c>
      <c r="K199">
        <v>3</v>
      </c>
      <c r="L199">
        <v>0.2</v>
      </c>
      <c r="M199">
        <v>1.5875999999999999</v>
      </c>
    </row>
    <row r="200" spans="1:13" x14ac:dyDescent="0.3">
      <c r="A200" t="s">
        <v>28</v>
      </c>
      <c r="B200" t="s">
        <v>44</v>
      </c>
      <c r="C200" t="s">
        <v>15</v>
      </c>
      <c r="D200" t="s">
        <v>131</v>
      </c>
      <c r="E200" t="s">
        <v>132</v>
      </c>
      <c r="F200">
        <v>7090</v>
      </c>
      <c r="G200" t="s">
        <v>57</v>
      </c>
      <c r="H200" t="s">
        <v>26</v>
      </c>
      <c r="I200" t="s">
        <v>32</v>
      </c>
      <c r="J200">
        <v>46.26</v>
      </c>
      <c r="K200">
        <v>3</v>
      </c>
      <c r="L200">
        <v>0</v>
      </c>
      <c r="M200">
        <v>12.0276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37</v>
      </c>
      <c r="J201">
        <v>2.9460000000000002</v>
      </c>
      <c r="K201">
        <v>2</v>
      </c>
      <c r="L201">
        <v>0.7</v>
      </c>
      <c r="M201">
        <v>-2.2585999999999999</v>
      </c>
    </row>
    <row r="202" spans="1:13" x14ac:dyDescent="0.3">
      <c r="A202" t="s">
        <v>28</v>
      </c>
      <c r="B202" t="s">
        <v>22</v>
      </c>
      <c r="C202" t="s">
        <v>15</v>
      </c>
      <c r="D202" t="s">
        <v>55</v>
      </c>
      <c r="E202" t="s">
        <v>56</v>
      </c>
      <c r="F202">
        <v>19120</v>
      </c>
      <c r="G202" t="s">
        <v>57</v>
      </c>
      <c r="H202" t="s">
        <v>26</v>
      </c>
      <c r="I202" t="s">
        <v>41</v>
      </c>
      <c r="J202">
        <v>16.056000000000001</v>
      </c>
      <c r="K202">
        <v>3</v>
      </c>
      <c r="L202">
        <v>0.2</v>
      </c>
      <c r="M202">
        <v>5.8202999999999996</v>
      </c>
    </row>
    <row r="203" spans="1:13" x14ac:dyDescent="0.3">
      <c r="A203" t="s">
        <v>28</v>
      </c>
      <c r="B203" t="s">
        <v>14</v>
      </c>
      <c r="C203" t="s">
        <v>15</v>
      </c>
      <c r="D203" t="s">
        <v>133</v>
      </c>
      <c r="E203" t="s">
        <v>104</v>
      </c>
      <c r="F203">
        <v>44312</v>
      </c>
      <c r="G203" t="s">
        <v>57</v>
      </c>
      <c r="H203" t="s">
        <v>26</v>
      </c>
      <c r="I203" t="s">
        <v>41</v>
      </c>
      <c r="J203">
        <v>21.744</v>
      </c>
      <c r="K203">
        <v>3</v>
      </c>
      <c r="L203">
        <v>0.2</v>
      </c>
      <c r="M203">
        <v>6.7949999999999999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19</v>
      </c>
      <c r="I204" t="s">
        <v>31</v>
      </c>
      <c r="J204">
        <v>218.75</v>
      </c>
      <c r="K204">
        <v>2</v>
      </c>
      <c r="L204">
        <v>0.5</v>
      </c>
      <c r="M204">
        <v>-161.875</v>
      </c>
    </row>
    <row r="205" spans="1:13" x14ac:dyDescent="0.3">
      <c r="A205" t="s">
        <v>62</v>
      </c>
      <c r="B205" t="s">
        <v>14</v>
      </c>
      <c r="C205" t="s">
        <v>15</v>
      </c>
      <c r="D205" t="s">
        <v>134</v>
      </c>
      <c r="E205" t="s">
        <v>98</v>
      </c>
      <c r="F205">
        <v>80219</v>
      </c>
      <c r="G205" t="s">
        <v>25</v>
      </c>
      <c r="H205" t="s">
        <v>26</v>
      </c>
      <c r="I205" t="s">
        <v>38</v>
      </c>
      <c r="J205">
        <v>2.6</v>
      </c>
      <c r="K205">
        <v>1</v>
      </c>
      <c r="L205">
        <v>0.2</v>
      </c>
      <c r="M205">
        <v>0.29249999999999998</v>
      </c>
    </row>
    <row r="206" spans="1:13" x14ac:dyDescent="0.3">
      <c r="A206" t="s">
        <v>13</v>
      </c>
      <c r="B206" t="s">
        <v>14</v>
      </c>
      <c r="C206" t="s">
        <v>15</v>
      </c>
      <c r="D206" t="s">
        <v>135</v>
      </c>
      <c r="E206" t="s">
        <v>46</v>
      </c>
      <c r="F206">
        <v>75220</v>
      </c>
      <c r="G206" t="s">
        <v>47</v>
      </c>
      <c r="H206" t="s">
        <v>26</v>
      </c>
      <c r="I206" t="s">
        <v>38</v>
      </c>
      <c r="J206">
        <v>66.284000000000006</v>
      </c>
      <c r="K206">
        <v>2</v>
      </c>
      <c r="L206">
        <v>0.8</v>
      </c>
      <c r="M206">
        <v>-178.96680000000001</v>
      </c>
    </row>
    <row r="207" spans="1:13" x14ac:dyDescent="0.3">
      <c r="A207" t="s">
        <v>28</v>
      </c>
      <c r="B207" t="s">
        <v>22</v>
      </c>
      <c r="C207" t="s">
        <v>15</v>
      </c>
      <c r="D207" t="s">
        <v>115</v>
      </c>
      <c r="E207" t="s">
        <v>86</v>
      </c>
      <c r="F207">
        <v>37064</v>
      </c>
      <c r="G207" t="s">
        <v>18</v>
      </c>
      <c r="H207" t="s">
        <v>19</v>
      </c>
      <c r="I207" t="s">
        <v>33</v>
      </c>
      <c r="J207">
        <v>35.167999999999999</v>
      </c>
      <c r="K207">
        <v>7</v>
      </c>
      <c r="L207">
        <v>0.2</v>
      </c>
      <c r="M207">
        <v>9.6712000000000007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136</v>
      </c>
      <c r="E208" t="s">
        <v>24</v>
      </c>
      <c r="F208">
        <v>90604</v>
      </c>
      <c r="G208" t="s">
        <v>25</v>
      </c>
      <c r="H208" t="s">
        <v>35</v>
      </c>
      <c r="I208" t="s">
        <v>36</v>
      </c>
      <c r="J208">
        <v>444.76799999999997</v>
      </c>
      <c r="K208">
        <v>4</v>
      </c>
      <c r="L208">
        <v>0.2</v>
      </c>
      <c r="M208">
        <v>44.476799999999997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26</v>
      </c>
      <c r="I209" t="s">
        <v>32</v>
      </c>
      <c r="J209">
        <v>83.92</v>
      </c>
      <c r="K209">
        <v>4</v>
      </c>
      <c r="L209">
        <v>0</v>
      </c>
      <c r="M209">
        <v>5.8743999999999996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35</v>
      </c>
      <c r="I210" t="s">
        <v>36</v>
      </c>
      <c r="J210">
        <v>131.97999999999999</v>
      </c>
      <c r="K210">
        <v>2</v>
      </c>
      <c r="L210">
        <v>0</v>
      </c>
      <c r="M210">
        <v>35.634599999999999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37</v>
      </c>
      <c r="J211">
        <v>15.92</v>
      </c>
      <c r="K211">
        <v>4</v>
      </c>
      <c r="L211">
        <v>0</v>
      </c>
      <c r="M211">
        <v>7.4824000000000002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77</v>
      </c>
      <c r="J212">
        <v>52.29</v>
      </c>
      <c r="K212">
        <v>9</v>
      </c>
      <c r="L212">
        <v>0</v>
      </c>
      <c r="M212">
        <v>16.209900000000001</v>
      </c>
    </row>
    <row r="213" spans="1:13" x14ac:dyDescent="0.3">
      <c r="A213" t="s">
        <v>28</v>
      </c>
      <c r="B213" t="s">
        <v>14</v>
      </c>
      <c r="C213" t="s">
        <v>15</v>
      </c>
      <c r="D213" t="s">
        <v>137</v>
      </c>
      <c r="E213" t="s">
        <v>70</v>
      </c>
      <c r="F213">
        <v>48601</v>
      </c>
      <c r="G213" t="s">
        <v>47</v>
      </c>
      <c r="H213" t="s">
        <v>26</v>
      </c>
      <c r="I213" t="s">
        <v>32</v>
      </c>
      <c r="J213">
        <v>91.99</v>
      </c>
      <c r="K213">
        <v>1</v>
      </c>
      <c r="L213">
        <v>0</v>
      </c>
      <c r="M213">
        <v>3.6796000000000002</v>
      </c>
    </row>
    <row r="214" spans="1:13" x14ac:dyDescent="0.3">
      <c r="A214" t="s">
        <v>13</v>
      </c>
      <c r="B214" t="s">
        <v>22</v>
      </c>
      <c r="C214" t="s">
        <v>15</v>
      </c>
      <c r="D214" t="s">
        <v>135</v>
      </c>
      <c r="E214" t="s">
        <v>46</v>
      </c>
      <c r="F214">
        <v>75220</v>
      </c>
      <c r="G214" t="s">
        <v>47</v>
      </c>
      <c r="H214" t="s">
        <v>35</v>
      </c>
      <c r="I214" t="s">
        <v>59</v>
      </c>
      <c r="J214">
        <v>20.8</v>
      </c>
      <c r="K214">
        <v>2</v>
      </c>
      <c r="L214">
        <v>0.2</v>
      </c>
      <c r="M214">
        <v>6.5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26</v>
      </c>
      <c r="I215" t="s">
        <v>27</v>
      </c>
      <c r="J215">
        <v>23.68</v>
      </c>
      <c r="K215">
        <v>2</v>
      </c>
      <c r="L215">
        <v>0.2</v>
      </c>
      <c r="M215">
        <v>8.8800000000000008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19</v>
      </c>
      <c r="I216" t="s">
        <v>20</v>
      </c>
      <c r="J216">
        <v>452.45</v>
      </c>
      <c r="K216">
        <v>5</v>
      </c>
      <c r="L216">
        <v>0.5</v>
      </c>
      <c r="M216">
        <v>-244.32300000000001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36</v>
      </c>
      <c r="J217">
        <v>62.981999999999999</v>
      </c>
      <c r="K217">
        <v>3</v>
      </c>
      <c r="L217">
        <v>0.4</v>
      </c>
      <c r="M217">
        <v>-14.6958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123</v>
      </c>
      <c r="J218">
        <v>1188</v>
      </c>
      <c r="K218">
        <v>9</v>
      </c>
      <c r="L218">
        <v>0.7</v>
      </c>
      <c r="M218">
        <v>-950.4</v>
      </c>
    </row>
    <row r="219" spans="1:13" x14ac:dyDescent="0.3">
      <c r="A219" t="s">
        <v>28</v>
      </c>
      <c r="B219" t="s">
        <v>22</v>
      </c>
      <c r="C219" t="s">
        <v>15</v>
      </c>
      <c r="D219" t="s">
        <v>138</v>
      </c>
      <c r="E219" t="s">
        <v>104</v>
      </c>
      <c r="F219">
        <v>44256</v>
      </c>
      <c r="G219" t="s">
        <v>57</v>
      </c>
      <c r="H219" t="s">
        <v>35</v>
      </c>
      <c r="I219" t="s">
        <v>59</v>
      </c>
      <c r="J219">
        <v>89.584000000000003</v>
      </c>
      <c r="K219">
        <v>2</v>
      </c>
      <c r="L219">
        <v>0.2</v>
      </c>
      <c r="M219">
        <v>4.4791999999999996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26</v>
      </c>
      <c r="I220" t="s">
        <v>32</v>
      </c>
      <c r="J220">
        <v>93.06</v>
      </c>
      <c r="K220">
        <v>6</v>
      </c>
      <c r="L220">
        <v>0</v>
      </c>
      <c r="M220">
        <v>26.056799999999999</v>
      </c>
    </row>
    <row r="221" spans="1:13" x14ac:dyDescent="0.3">
      <c r="A221" t="s">
        <v>28</v>
      </c>
      <c r="B221" t="s">
        <v>14</v>
      </c>
      <c r="C221" t="s">
        <v>15</v>
      </c>
      <c r="D221" t="s">
        <v>23</v>
      </c>
      <c r="E221" t="s">
        <v>24</v>
      </c>
      <c r="F221">
        <v>90032</v>
      </c>
      <c r="G221" t="s">
        <v>25</v>
      </c>
      <c r="H221" t="s">
        <v>35</v>
      </c>
      <c r="I221" t="s">
        <v>36</v>
      </c>
      <c r="J221">
        <v>302.37599999999998</v>
      </c>
      <c r="K221">
        <v>3</v>
      </c>
      <c r="L221">
        <v>0.2</v>
      </c>
      <c r="M221">
        <v>22.6782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77</v>
      </c>
      <c r="J222">
        <v>5.5839999999999996</v>
      </c>
      <c r="K222">
        <v>2</v>
      </c>
      <c r="L222">
        <v>0.2</v>
      </c>
      <c r="M222">
        <v>1.8148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41</v>
      </c>
      <c r="J223">
        <v>22.704000000000001</v>
      </c>
      <c r="K223">
        <v>6</v>
      </c>
      <c r="L223">
        <v>0.2</v>
      </c>
      <c r="M223">
        <v>8.2302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26</v>
      </c>
      <c r="I224" t="s">
        <v>37</v>
      </c>
      <c r="J224">
        <v>19.776</v>
      </c>
      <c r="K224">
        <v>4</v>
      </c>
      <c r="L224">
        <v>0.7</v>
      </c>
      <c r="M224">
        <v>-13.8432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19</v>
      </c>
      <c r="I225" t="s">
        <v>33</v>
      </c>
      <c r="J225">
        <v>72.703999999999994</v>
      </c>
      <c r="K225">
        <v>4</v>
      </c>
      <c r="L225">
        <v>0.2</v>
      </c>
      <c r="M225">
        <v>19.084800000000001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35</v>
      </c>
      <c r="I226" t="s">
        <v>123</v>
      </c>
      <c r="J226">
        <v>479.988</v>
      </c>
      <c r="K226">
        <v>4</v>
      </c>
      <c r="L226">
        <v>0.7</v>
      </c>
      <c r="M226">
        <v>-383.99040000000002</v>
      </c>
    </row>
    <row r="227" spans="1:13" x14ac:dyDescent="0.3">
      <c r="A227" t="s">
        <v>62</v>
      </c>
      <c r="B227" t="s">
        <v>14</v>
      </c>
      <c r="C227" t="s">
        <v>15</v>
      </c>
      <c r="D227" t="s">
        <v>139</v>
      </c>
      <c r="E227" t="s">
        <v>104</v>
      </c>
      <c r="F227">
        <v>43017</v>
      </c>
      <c r="G227" t="s">
        <v>57</v>
      </c>
      <c r="H227" t="s">
        <v>26</v>
      </c>
      <c r="I227" t="s">
        <v>34</v>
      </c>
      <c r="J227">
        <v>27.167999999999999</v>
      </c>
      <c r="K227">
        <v>2</v>
      </c>
      <c r="L227">
        <v>0.2</v>
      </c>
      <c r="M227">
        <v>2.7168000000000001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26</v>
      </c>
      <c r="I228" t="s">
        <v>34</v>
      </c>
      <c r="J228">
        <v>2.2000000000000002</v>
      </c>
      <c r="K228">
        <v>1</v>
      </c>
      <c r="L228">
        <v>0</v>
      </c>
      <c r="M228">
        <v>0.96799999999999997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19</v>
      </c>
      <c r="I229" t="s">
        <v>31</v>
      </c>
      <c r="J229">
        <v>622.45000000000005</v>
      </c>
      <c r="K229">
        <v>5</v>
      </c>
      <c r="L229">
        <v>0</v>
      </c>
      <c r="M229">
        <v>136.93899999999999</v>
      </c>
    </row>
    <row r="230" spans="1:13" x14ac:dyDescent="0.3">
      <c r="A230" t="s">
        <v>28</v>
      </c>
      <c r="B230" t="s">
        <v>22</v>
      </c>
      <c r="C230" t="s">
        <v>15</v>
      </c>
      <c r="D230" t="s">
        <v>140</v>
      </c>
      <c r="E230" t="s">
        <v>70</v>
      </c>
      <c r="F230">
        <v>48227</v>
      </c>
      <c r="G230" t="s">
        <v>47</v>
      </c>
      <c r="H230" t="s">
        <v>26</v>
      </c>
      <c r="I230" t="s">
        <v>32</v>
      </c>
      <c r="J230">
        <v>21.98</v>
      </c>
      <c r="K230">
        <v>1</v>
      </c>
      <c r="L230">
        <v>0</v>
      </c>
      <c r="M230">
        <v>0.2198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161.56800000000001</v>
      </c>
      <c r="K231">
        <v>2</v>
      </c>
      <c r="L231">
        <v>0.2</v>
      </c>
      <c r="M231">
        <v>-28.2744</v>
      </c>
    </row>
    <row r="232" spans="1:13" x14ac:dyDescent="0.3">
      <c r="A232" t="s">
        <v>28</v>
      </c>
      <c r="B232" t="s">
        <v>14</v>
      </c>
      <c r="C232" t="s">
        <v>15</v>
      </c>
      <c r="D232" t="s">
        <v>90</v>
      </c>
      <c r="E232" t="s">
        <v>86</v>
      </c>
      <c r="F232">
        <v>38401</v>
      </c>
      <c r="G232" t="s">
        <v>18</v>
      </c>
      <c r="H232" t="s">
        <v>19</v>
      </c>
      <c r="I232" t="s">
        <v>21</v>
      </c>
      <c r="J232">
        <v>389.69600000000003</v>
      </c>
      <c r="K232">
        <v>8</v>
      </c>
      <c r="L232">
        <v>0.2</v>
      </c>
      <c r="M232">
        <v>43.840800000000002</v>
      </c>
    </row>
    <row r="233" spans="1:13" x14ac:dyDescent="0.3">
      <c r="A233" t="s">
        <v>28</v>
      </c>
      <c r="B233" t="s">
        <v>22</v>
      </c>
      <c r="C233" t="s">
        <v>15</v>
      </c>
      <c r="D233" t="s">
        <v>99</v>
      </c>
      <c r="E233" t="s">
        <v>40</v>
      </c>
      <c r="F233">
        <v>28205</v>
      </c>
      <c r="G233" t="s">
        <v>18</v>
      </c>
      <c r="H233" t="s">
        <v>26</v>
      </c>
      <c r="I233" t="s">
        <v>37</v>
      </c>
      <c r="J233">
        <v>18.648</v>
      </c>
      <c r="K233">
        <v>7</v>
      </c>
      <c r="L233">
        <v>0.7</v>
      </c>
      <c r="M233">
        <v>-12.432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233.86</v>
      </c>
      <c r="K234">
        <v>2</v>
      </c>
      <c r="L234">
        <v>0.45</v>
      </c>
      <c r="M234">
        <v>-102.048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19</v>
      </c>
      <c r="I235" t="s">
        <v>31</v>
      </c>
      <c r="J235">
        <v>620.61450000000002</v>
      </c>
      <c r="K235">
        <v>3</v>
      </c>
      <c r="L235">
        <v>0.45</v>
      </c>
      <c r="M235">
        <v>-248.2458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26</v>
      </c>
      <c r="I236" t="s">
        <v>37</v>
      </c>
      <c r="J236">
        <v>5.3280000000000003</v>
      </c>
      <c r="K236">
        <v>2</v>
      </c>
      <c r="L236">
        <v>0.7</v>
      </c>
      <c r="M236">
        <v>-3.552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19</v>
      </c>
      <c r="I237" t="s">
        <v>33</v>
      </c>
      <c r="J237">
        <v>258.072</v>
      </c>
      <c r="K237">
        <v>3</v>
      </c>
      <c r="L237">
        <v>0.2</v>
      </c>
      <c r="M237">
        <v>0</v>
      </c>
    </row>
    <row r="238" spans="1:13" x14ac:dyDescent="0.3">
      <c r="A238" t="s">
        <v>28</v>
      </c>
      <c r="B238" t="s">
        <v>44</v>
      </c>
      <c r="C238" t="s">
        <v>15</v>
      </c>
      <c r="D238" t="s">
        <v>141</v>
      </c>
      <c r="E238" t="s">
        <v>30</v>
      </c>
      <c r="F238">
        <v>33614</v>
      </c>
      <c r="G238" t="s">
        <v>18</v>
      </c>
      <c r="H238" t="s">
        <v>35</v>
      </c>
      <c r="I238" t="s">
        <v>59</v>
      </c>
      <c r="J238">
        <v>617.976</v>
      </c>
      <c r="K238">
        <v>3</v>
      </c>
      <c r="L238">
        <v>0.2</v>
      </c>
      <c r="M238">
        <v>-7.7247000000000003</v>
      </c>
    </row>
    <row r="239" spans="1:13" x14ac:dyDescent="0.3">
      <c r="A239" t="s">
        <v>28</v>
      </c>
      <c r="B239" t="s">
        <v>22</v>
      </c>
      <c r="C239" t="s">
        <v>15</v>
      </c>
      <c r="D239" t="s">
        <v>142</v>
      </c>
      <c r="E239" t="s">
        <v>24</v>
      </c>
      <c r="F239">
        <v>95051</v>
      </c>
      <c r="G239" t="s">
        <v>25</v>
      </c>
      <c r="H239" t="s">
        <v>26</v>
      </c>
      <c r="I239" t="s">
        <v>41</v>
      </c>
      <c r="J239">
        <v>10.56</v>
      </c>
      <c r="K239">
        <v>2</v>
      </c>
      <c r="L239">
        <v>0</v>
      </c>
      <c r="M239">
        <v>4.7519999999999998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26</v>
      </c>
      <c r="I240" t="s">
        <v>41</v>
      </c>
      <c r="J240">
        <v>25.92</v>
      </c>
      <c r="K240">
        <v>5</v>
      </c>
      <c r="L240">
        <v>0.2</v>
      </c>
      <c r="M240">
        <v>9.3960000000000008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419.68</v>
      </c>
      <c r="K241">
        <v>5</v>
      </c>
      <c r="L241">
        <v>0.6</v>
      </c>
      <c r="M241">
        <v>-356.72800000000001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19</v>
      </c>
      <c r="I242" t="s">
        <v>33</v>
      </c>
      <c r="J242">
        <v>11.688000000000001</v>
      </c>
      <c r="K242">
        <v>3</v>
      </c>
      <c r="L242">
        <v>0.6</v>
      </c>
      <c r="M242">
        <v>-4.6752000000000002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35</v>
      </c>
      <c r="I243" t="s">
        <v>36</v>
      </c>
      <c r="J243">
        <v>31.984000000000002</v>
      </c>
      <c r="K243">
        <v>2</v>
      </c>
      <c r="L243">
        <v>0.2</v>
      </c>
      <c r="M243">
        <v>11.1944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31</v>
      </c>
      <c r="J244">
        <v>177.22499999999999</v>
      </c>
      <c r="K244">
        <v>5</v>
      </c>
      <c r="L244">
        <v>0.5</v>
      </c>
      <c r="M244">
        <v>-120.51300000000001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19</v>
      </c>
      <c r="I245" t="s">
        <v>33</v>
      </c>
      <c r="J245">
        <v>4.0439999999999996</v>
      </c>
      <c r="K245">
        <v>3</v>
      </c>
      <c r="L245">
        <v>0.6</v>
      </c>
      <c r="M245">
        <v>-2.8308</v>
      </c>
    </row>
    <row r="246" spans="1:13" x14ac:dyDescent="0.3">
      <c r="A246" t="s">
        <v>13</v>
      </c>
      <c r="B246" t="s">
        <v>14</v>
      </c>
      <c r="C246" t="s">
        <v>15</v>
      </c>
      <c r="D246" t="s">
        <v>79</v>
      </c>
      <c r="E246" t="s">
        <v>65</v>
      </c>
      <c r="F246">
        <v>60610</v>
      </c>
      <c r="G246" t="s">
        <v>47</v>
      </c>
      <c r="H246" t="s">
        <v>26</v>
      </c>
      <c r="I246" t="s">
        <v>34</v>
      </c>
      <c r="J246">
        <v>7.4080000000000004</v>
      </c>
      <c r="K246">
        <v>2</v>
      </c>
      <c r="L246">
        <v>0.2</v>
      </c>
      <c r="M246">
        <v>1.2038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19</v>
      </c>
      <c r="I247" t="s">
        <v>21</v>
      </c>
      <c r="J247">
        <v>2001.86</v>
      </c>
      <c r="K247">
        <v>7</v>
      </c>
      <c r="L247">
        <v>0</v>
      </c>
      <c r="M247">
        <v>580.5394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32</v>
      </c>
      <c r="J248">
        <v>166.72</v>
      </c>
      <c r="K248">
        <v>2</v>
      </c>
      <c r="L248">
        <v>0</v>
      </c>
      <c r="M248">
        <v>41.68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41</v>
      </c>
      <c r="J249">
        <v>47.88</v>
      </c>
      <c r="K249">
        <v>6</v>
      </c>
      <c r="L249">
        <v>0</v>
      </c>
      <c r="M249">
        <v>23.94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38</v>
      </c>
      <c r="J250">
        <v>1503.25</v>
      </c>
      <c r="K250">
        <v>5</v>
      </c>
      <c r="L250">
        <v>0</v>
      </c>
      <c r="M250">
        <v>496.07249999999999</v>
      </c>
    </row>
    <row r="251" spans="1:13" x14ac:dyDescent="0.3">
      <c r="A251" t="s">
        <v>13</v>
      </c>
      <c r="B251" t="s">
        <v>44</v>
      </c>
      <c r="C251" t="s">
        <v>15</v>
      </c>
      <c r="D251" t="s">
        <v>143</v>
      </c>
      <c r="E251" t="s">
        <v>68</v>
      </c>
      <c r="F251">
        <v>55044</v>
      </c>
      <c r="G251" t="s">
        <v>47</v>
      </c>
      <c r="H251" t="s">
        <v>26</v>
      </c>
      <c r="I251" t="s">
        <v>41</v>
      </c>
      <c r="J251">
        <v>25.92</v>
      </c>
      <c r="K251">
        <v>4</v>
      </c>
      <c r="L251">
        <v>0</v>
      </c>
      <c r="M251">
        <v>12.441599999999999</v>
      </c>
    </row>
    <row r="252" spans="1:13" x14ac:dyDescent="0.3">
      <c r="A252" t="s">
        <v>13</v>
      </c>
      <c r="B252" t="s">
        <v>14</v>
      </c>
      <c r="C252" t="s">
        <v>15</v>
      </c>
      <c r="D252" t="s">
        <v>52</v>
      </c>
      <c r="E252" t="s">
        <v>24</v>
      </c>
      <c r="F252">
        <v>94109</v>
      </c>
      <c r="G252" t="s">
        <v>25</v>
      </c>
      <c r="H252" t="s">
        <v>19</v>
      </c>
      <c r="I252" t="s">
        <v>21</v>
      </c>
      <c r="J252">
        <v>321.56799999999998</v>
      </c>
      <c r="K252">
        <v>2</v>
      </c>
      <c r="L252">
        <v>0.2</v>
      </c>
      <c r="M252">
        <v>28.1372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26</v>
      </c>
      <c r="I253" t="s">
        <v>41</v>
      </c>
      <c r="J253">
        <v>7.61</v>
      </c>
      <c r="K253">
        <v>1</v>
      </c>
      <c r="L253">
        <v>0</v>
      </c>
      <c r="M253">
        <v>3.5767000000000002</v>
      </c>
    </row>
    <row r="254" spans="1:13" x14ac:dyDescent="0.3">
      <c r="A254" t="s">
        <v>28</v>
      </c>
      <c r="B254" t="s">
        <v>14</v>
      </c>
      <c r="C254" t="s">
        <v>15</v>
      </c>
      <c r="D254" t="s">
        <v>144</v>
      </c>
      <c r="E254" t="s">
        <v>24</v>
      </c>
      <c r="F254">
        <v>92037</v>
      </c>
      <c r="G254" t="s">
        <v>25</v>
      </c>
      <c r="H254" t="s">
        <v>35</v>
      </c>
      <c r="I254" t="s">
        <v>59</v>
      </c>
      <c r="J254">
        <v>3347.37</v>
      </c>
      <c r="K254">
        <v>13</v>
      </c>
      <c r="L254">
        <v>0</v>
      </c>
      <c r="M254">
        <v>636.00030000000004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32</v>
      </c>
      <c r="J255">
        <v>80.58</v>
      </c>
      <c r="K255">
        <v>6</v>
      </c>
      <c r="L255">
        <v>0</v>
      </c>
      <c r="M255">
        <v>22.5624</v>
      </c>
    </row>
    <row r="256" spans="1:13" x14ac:dyDescent="0.3">
      <c r="A256" t="s">
        <v>62</v>
      </c>
      <c r="B256" t="s">
        <v>14</v>
      </c>
      <c r="C256" t="s">
        <v>15</v>
      </c>
      <c r="D256" t="s">
        <v>75</v>
      </c>
      <c r="E256" t="s">
        <v>76</v>
      </c>
      <c r="F256">
        <v>10024</v>
      </c>
      <c r="G256" t="s">
        <v>57</v>
      </c>
      <c r="H256" t="s">
        <v>26</v>
      </c>
      <c r="I256" t="s">
        <v>60</v>
      </c>
      <c r="J256">
        <v>361.92</v>
      </c>
      <c r="K256">
        <v>4</v>
      </c>
      <c r="L256">
        <v>0</v>
      </c>
      <c r="M256">
        <v>162.864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19</v>
      </c>
      <c r="I257" t="s">
        <v>33</v>
      </c>
      <c r="J257">
        <v>12.132</v>
      </c>
      <c r="K257">
        <v>9</v>
      </c>
      <c r="L257">
        <v>0.6</v>
      </c>
      <c r="M257">
        <v>-8.4923999999999999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82.367999999999995</v>
      </c>
      <c r="K258">
        <v>2</v>
      </c>
      <c r="L258">
        <v>0.2</v>
      </c>
      <c r="M258">
        <v>-19.5624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26</v>
      </c>
      <c r="I259" t="s">
        <v>32</v>
      </c>
      <c r="J259">
        <v>53.92</v>
      </c>
      <c r="K259">
        <v>5</v>
      </c>
      <c r="L259">
        <v>0.2</v>
      </c>
      <c r="M259">
        <v>4.0439999999999996</v>
      </c>
    </row>
    <row r="260" spans="1:13" x14ac:dyDescent="0.3">
      <c r="A260" t="s">
        <v>28</v>
      </c>
      <c r="B260" t="s">
        <v>22</v>
      </c>
      <c r="C260" t="s">
        <v>15</v>
      </c>
      <c r="D260" t="s">
        <v>79</v>
      </c>
      <c r="E260" t="s">
        <v>65</v>
      </c>
      <c r="F260">
        <v>60623</v>
      </c>
      <c r="G260" t="s">
        <v>47</v>
      </c>
      <c r="H260" t="s">
        <v>35</v>
      </c>
      <c r="I260" t="s">
        <v>36</v>
      </c>
      <c r="J260">
        <v>647.904</v>
      </c>
      <c r="K260">
        <v>6</v>
      </c>
      <c r="L260">
        <v>0.2</v>
      </c>
      <c r="M260">
        <v>56.691600000000001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35</v>
      </c>
      <c r="I261" t="s">
        <v>59</v>
      </c>
      <c r="J261">
        <v>20.37</v>
      </c>
      <c r="K261">
        <v>3</v>
      </c>
      <c r="L261">
        <v>0</v>
      </c>
      <c r="M261">
        <v>6.9257999999999997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32</v>
      </c>
      <c r="J262">
        <v>221.55</v>
      </c>
      <c r="K262">
        <v>3</v>
      </c>
      <c r="L262">
        <v>0</v>
      </c>
      <c r="M262">
        <v>6.6464999999999996</v>
      </c>
    </row>
    <row r="263" spans="1:13" x14ac:dyDescent="0.3">
      <c r="A263" t="s">
        <v>13</v>
      </c>
      <c r="B263" t="s">
        <v>14</v>
      </c>
      <c r="C263" t="s">
        <v>15</v>
      </c>
      <c r="D263" t="s">
        <v>75</v>
      </c>
      <c r="E263" t="s">
        <v>76</v>
      </c>
      <c r="F263">
        <v>10009</v>
      </c>
      <c r="G263" t="s">
        <v>57</v>
      </c>
      <c r="H263" t="s">
        <v>26</v>
      </c>
      <c r="I263" t="s">
        <v>37</v>
      </c>
      <c r="J263">
        <v>17.52</v>
      </c>
      <c r="K263">
        <v>5</v>
      </c>
      <c r="L263">
        <v>0.2</v>
      </c>
      <c r="M263">
        <v>6.1319999999999997</v>
      </c>
    </row>
    <row r="264" spans="1:13" x14ac:dyDescent="0.3">
      <c r="A264" t="s">
        <v>28</v>
      </c>
      <c r="B264" t="s">
        <v>22</v>
      </c>
      <c r="C264" t="s">
        <v>15</v>
      </c>
      <c r="D264" t="s">
        <v>113</v>
      </c>
      <c r="E264" t="s">
        <v>46</v>
      </c>
      <c r="F264">
        <v>77506</v>
      </c>
      <c r="G264" t="s">
        <v>47</v>
      </c>
      <c r="H264" t="s">
        <v>26</v>
      </c>
      <c r="I264" t="s">
        <v>38</v>
      </c>
      <c r="J264">
        <v>1.6240000000000001</v>
      </c>
      <c r="K264">
        <v>2</v>
      </c>
      <c r="L264">
        <v>0.8</v>
      </c>
      <c r="M264">
        <v>-4.4660000000000002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3059.982</v>
      </c>
      <c r="K265">
        <v>3</v>
      </c>
      <c r="L265">
        <v>0.4</v>
      </c>
      <c r="M265">
        <v>-509.99700000000001</v>
      </c>
    </row>
    <row r="266" spans="1:13" x14ac:dyDescent="0.3">
      <c r="A266" t="s">
        <v>13</v>
      </c>
      <c r="B266" t="s">
        <v>22</v>
      </c>
      <c r="C266" t="s">
        <v>15</v>
      </c>
      <c r="D266" t="s">
        <v>61</v>
      </c>
      <c r="E266" t="s">
        <v>46</v>
      </c>
      <c r="F266">
        <v>77036</v>
      </c>
      <c r="G266" t="s">
        <v>47</v>
      </c>
      <c r="H266" t="s">
        <v>35</v>
      </c>
      <c r="I266" t="s">
        <v>123</v>
      </c>
      <c r="J266">
        <v>2519.9580000000001</v>
      </c>
      <c r="K266">
        <v>7</v>
      </c>
      <c r="L266">
        <v>0.4</v>
      </c>
      <c r="M266">
        <v>-251.9958</v>
      </c>
    </row>
    <row r="267" spans="1:13" x14ac:dyDescent="0.3">
      <c r="A267" t="s">
        <v>28</v>
      </c>
      <c r="B267" t="s">
        <v>14</v>
      </c>
      <c r="C267" t="s">
        <v>15</v>
      </c>
      <c r="D267" t="s">
        <v>79</v>
      </c>
      <c r="E267" t="s">
        <v>65</v>
      </c>
      <c r="F267">
        <v>60610</v>
      </c>
      <c r="G267" t="s">
        <v>47</v>
      </c>
      <c r="H267" t="s">
        <v>35</v>
      </c>
      <c r="I267" t="s">
        <v>36</v>
      </c>
      <c r="J267">
        <v>328.22399999999999</v>
      </c>
      <c r="K267">
        <v>4</v>
      </c>
      <c r="L267">
        <v>0.2</v>
      </c>
      <c r="M267">
        <v>28.7196</v>
      </c>
    </row>
    <row r="268" spans="1:13" x14ac:dyDescent="0.3">
      <c r="A268" t="s">
        <v>28</v>
      </c>
      <c r="B268" t="s">
        <v>14</v>
      </c>
      <c r="C268" t="s">
        <v>15</v>
      </c>
      <c r="D268" t="s">
        <v>145</v>
      </c>
      <c r="E268" t="s">
        <v>24</v>
      </c>
      <c r="F268">
        <v>94513</v>
      </c>
      <c r="G268" t="s">
        <v>25</v>
      </c>
      <c r="H268" t="s">
        <v>35</v>
      </c>
      <c r="I268" t="s">
        <v>59</v>
      </c>
      <c r="J268">
        <v>79.900000000000006</v>
      </c>
      <c r="K268">
        <v>2</v>
      </c>
      <c r="L268">
        <v>0</v>
      </c>
      <c r="M268">
        <v>35.155999999999999</v>
      </c>
    </row>
    <row r="269" spans="1:13" x14ac:dyDescent="0.3">
      <c r="A269" t="s">
        <v>28</v>
      </c>
      <c r="B269" t="s">
        <v>22</v>
      </c>
      <c r="C269" t="s">
        <v>15</v>
      </c>
      <c r="D269" t="s">
        <v>146</v>
      </c>
      <c r="E269" t="s">
        <v>40</v>
      </c>
      <c r="F269">
        <v>27514</v>
      </c>
      <c r="G269" t="s">
        <v>18</v>
      </c>
      <c r="H269" t="s">
        <v>26</v>
      </c>
      <c r="I269" t="s">
        <v>34</v>
      </c>
      <c r="J269">
        <v>14.016</v>
      </c>
      <c r="K269">
        <v>3</v>
      </c>
      <c r="L269">
        <v>0.2</v>
      </c>
      <c r="M269">
        <v>4.7304000000000004</v>
      </c>
    </row>
    <row r="270" spans="1:13" x14ac:dyDescent="0.3">
      <c r="A270" t="s">
        <v>28</v>
      </c>
      <c r="B270" t="s">
        <v>14</v>
      </c>
      <c r="C270" t="s">
        <v>15</v>
      </c>
      <c r="D270" t="s">
        <v>147</v>
      </c>
      <c r="E270" t="s">
        <v>132</v>
      </c>
      <c r="F270">
        <v>7960</v>
      </c>
      <c r="G270" t="s">
        <v>57</v>
      </c>
      <c r="H270" t="s">
        <v>26</v>
      </c>
      <c r="I270" t="s">
        <v>77</v>
      </c>
      <c r="J270">
        <v>7.56</v>
      </c>
      <c r="K270">
        <v>6</v>
      </c>
      <c r="L270">
        <v>0</v>
      </c>
      <c r="M270">
        <v>0.3024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32</v>
      </c>
      <c r="J271">
        <v>37.207999999999998</v>
      </c>
      <c r="K271">
        <v>1</v>
      </c>
      <c r="L271">
        <v>0.2</v>
      </c>
      <c r="M271">
        <v>-7.4416000000000002</v>
      </c>
    </row>
    <row r="272" spans="1:13" x14ac:dyDescent="0.3">
      <c r="A272" t="s">
        <v>28</v>
      </c>
      <c r="B272" t="s">
        <v>22</v>
      </c>
      <c r="C272" t="s">
        <v>15</v>
      </c>
      <c r="D272" t="s">
        <v>148</v>
      </c>
      <c r="E272" t="s">
        <v>104</v>
      </c>
      <c r="F272">
        <v>45231</v>
      </c>
      <c r="G272" t="s">
        <v>57</v>
      </c>
      <c r="H272" t="s">
        <v>26</v>
      </c>
      <c r="I272" t="s">
        <v>60</v>
      </c>
      <c r="J272">
        <v>57.576000000000001</v>
      </c>
      <c r="K272">
        <v>3</v>
      </c>
      <c r="L272">
        <v>0.2</v>
      </c>
      <c r="M272">
        <v>21.591000000000001</v>
      </c>
    </row>
    <row r="273" spans="1:13" x14ac:dyDescent="0.3">
      <c r="A273" t="s">
        <v>13</v>
      </c>
      <c r="B273" t="s">
        <v>22</v>
      </c>
      <c r="C273" t="s">
        <v>15</v>
      </c>
      <c r="D273" t="s">
        <v>52</v>
      </c>
      <c r="E273" t="s">
        <v>24</v>
      </c>
      <c r="F273">
        <v>94110</v>
      </c>
      <c r="G273" t="s">
        <v>25</v>
      </c>
      <c r="H273" t="s">
        <v>26</v>
      </c>
      <c r="I273" t="s">
        <v>32</v>
      </c>
      <c r="J273">
        <v>725.84</v>
      </c>
      <c r="K273">
        <v>4</v>
      </c>
      <c r="L273">
        <v>0</v>
      </c>
      <c r="M273">
        <v>210.49359999999999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35</v>
      </c>
      <c r="I274" t="s">
        <v>59</v>
      </c>
      <c r="J274">
        <v>209.93</v>
      </c>
      <c r="K274">
        <v>7</v>
      </c>
      <c r="L274">
        <v>0</v>
      </c>
      <c r="M274">
        <v>92.369200000000006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19</v>
      </c>
      <c r="I275" t="s">
        <v>33</v>
      </c>
      <c r="J275">
        <v>5.28</v>
      </c>
      <c r="K275">
        <v>3</v>
      </c>
      <c r="L275">
        <v>0</v>
      </c>
      <c r="M275">
        <v>2.3231999999999999</v>
      </c>
    </row>
    <row r="276" spans="1:13" x14ac:dyDescent="0.3">
      <c r="A276" t="s">
        <v>62</v>
      </c>
      <c r="B276" t="s">
        <v>14</v>
      </c>
      <c r="C276" t="s">
        <v>15</v>
      </c>
      <c r="D276" t="s">
        <v>52</v>
      </c>
      <c r="E276" t="s">
        <v>24</v>
      </c>
      <c r="F276">
        <v>94109</v>
      </c>
      <c r="G276" t="s">
        <v>25</v>
      </c>
      <c r="H276" t="s">
        <v>26</v>
      </c>
      <c r="I276" t="s">
        <v>37</v>
      </c>
      <c r="J276">
        <v>10.92</v>
      </c>
      <c r="K276">
        <v>3</v>
      </c>
      <c r="L276">
        <v>0.2</v>
      </c>
      <c r="M276">
        <v>4.0949999999999998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41</v>
      </c>
      <c r="J277">
        <v>8.82</v>
      </c>
      <c r="K277">
        <v>2</v>
      </c>
      <c r="L277">
        <v>0</v>
      </c>
      <c r="M277">
        <v>4.0571999999999999</v>
      </c>
    </row>
    <row r="278" spans="1:13" x14ac:dyDescent="0.3">
      <c r="A278" t="s">
        <v>62</v>
      </c>
      <c r="B278" t="s">
        <v>22</v>
      </c>
      <c r="C278" t="s">
        <v>15</v>
      </c>
      <c r="D278" t="s">
        <v>149</v>
      </c>
      <c r="E278" t="s">
        <v>24</v>
      </c>
      <c r="F278">
        <v>90301</v>
      </c>
      <c r="G278" t="s">
        <v>25</v>
      </c>
      <c r="H278" t="s">
        <v>26</v>
      </c>
      <c r="I278" t="s">
        <v>34</v>
      </c>
      <c r="J278">
        <v>5.98</v>
      </c>
      <c r="K278">
        <v>1</v>
      </c>
      <c r="L278">
        <v>0</v>
      </c>
      <c r="M278">
        <v>1.5548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11.648</v>
      </c>
      <c r="K279">
        <v>2</v>
      </c>
      <c r="L279">
        <v>0.2</v>
      </c>
      <c r="M279">
        <v>4.0768000000000004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41</v>
      </c>
      <c r="J280">
        <v>18.175999999999998</v>
      </c>
      <c r="K280">
        <v>4</v>
      </c>
      <c r="L280">
        <v>0.2</v>
      </c>
      <c r="M280">
        <v>5.9071999999999996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32</v>
      </c>
      <c r="J281">
        <v>59.712000000000003</v>
      </c>
      <c r="K281">
        <v>6</v>
      </c>
      <c r="L281">
        <v>0.2</v>
      </c>
      <c r="M281">
        <v>5.9711999999999996</v>
      </c>
    </row>
    <row r="282" spans="1:13" x14ac:dyDescent="0.3">
      <c r="A282" t="s">
        <v>28</v>
      </c>
      <c r="B282" t="s">
        <v>22</v>
      </c>
      <c r="C282" t="s">
        <v>15</v>
      </c>
      <c r="D282" t="s">
        <v>55</v>
      </c>
      <c r="E282" t="s">
        <v>56</v>
      </c>
      <c r="F282">
        <v>19140</v>
      </c>
      <c r="G282" t="s">
        <v>57</v>
      </c>
      <c r="H282" t="s">
        <v>26</v>
      </c>
      <c r="I282" t="s">
        <v>27</v>
      </c>
      <c r="J282">
        <v>24.84</v>
      </c>
      <c r="K282">
        <v>3</v>
      </c>
      <c r="L282">
        <v>0.2</v>
      </c>
      <c r="M282">
        <v>8.6940000000000008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26</v>
      </c>
      <c r="I283" t="s">
        <v>37</v>
      </c>
      <c r="J283">
        <v>2.08</v>
      </c>
      <c r="K283">
        <v>5</v>
      </c>
      <c r="L283">
        <v>0.8</v>
      </c>
      <c r="M283">
        <v>-3.4319999999999999</v>
      </c>
    </row>
    <row r="284" spans="1:13" x14ac:dyDescent="0.3">
      <c r="A284" t="s">
        <v>13</v>
      </c>
      <c r="B284" t="s">
        <v>14</v>
      </c>
      <c r="C284" t="s">
        <v>15</v>
      </c>
      <c r="D284" t="s">
        <v>61</v>
      </c>
      <c r="E284" t="s">
        <v>46</v>
      </c>
      <c r="F284">
        <v>77070</v>
      </c>
      <c r="G284" t="s">
        <v>47</v>
      </c>
      <c r="H284" t="s">
        <v>35</v>
      </c>
      <c r="I284" t="s">
        <v>36</v>
      </c>
      <c r="J284">
        <v>1114.4000000000001</v>
      </c>
      <c r="K284">
        <v>7</v>
      </c>
      <c r="L284">
        <v>0.2</v>
      </c>
      <c r="M284">
        <v>376.11</v>
      </c>
    </row>
    <row r="285" spans="1:13" x14ac:dyDescent="0.3">
      <c r="A285" t="s">
        <v>28</v>
      </c>
      <c r="B285" t="s">
        <v>14</v>
      </c>
      <c r="C285" t="s">
        <v>15</v>
      </c>
      <c r="D285" t="s">
        <v>23</v>
      </c>
      <c r="E285" t="s">
        <v>24</v>
      </c>
      <c r="F285">
        <v>90004</v>
      </c>
      <c r="G285" t="s">
        <v>25</v>
      </c>
      <c r="H285" t="s">
        <v>19</v>
      </c>
      <c r="I285" t="s">
        <v>31</v>
      </c>
      <c r="J285">
        <v>1038.8399999999999</v>
      </c>
      <c r="K285">
        <v>5</v>
      </c>
      <c r="L285">
        <v>0.2</v>
      </c>
      <c r="M285">
        <v>51.942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26</v>
      </c>
      <c r="I286" t="s">
        <v>41</v>
      </c>
      <c r="J286">
        <v>141.76</v>
      </c>
      <c r="K286">
        <v>5</v>
      </c>
      <c r="L286">
        <v>0.2</v>
      </c>
      <c r="M286">
        <v>47.844000000000001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35</v>
      </c>
      <c r="I287" t="s">
        <v>59</v>
      </c>
      <c r="J287">
        <v>239.8</v>
      </c>
      <c r="K287">
        <v>5</v>
      </c>
      <c r="L287">
        <v>0.2</v>
      </c>
      <c r="M287">
        <v>47.96</v>
      </c>
    </row>
    <row r="288" spans="1:13" x14ac:dyDescent="0.3">
      <c r="A288" t="s">
        <v>28</v>
      </c>
      <c r="B288" t="s">
        <v>14</v>
      </c>
      <c r="C288" t="s">
        <v>15</v>
      </c>
      <c r="D288" t="s">
        <v>94</v>
      </c>
      <c r="E288" t="s">
        <v>95</v>
      </c>
      <c r="F288">
        <v>97206</v>
      </c>
      <c r="G288" t="s">
        <v>25</v>
      </c>
      <c r="H288" t="s">
        <v>26</v>
      </c>
      <c r="I288" t="s">
        <v>41</v>
      </c>
      <c r="J288">
        <v>31.103999999999999</v>
      </c>
      <c r="K288">
        <v>6</v>
      </c>
      <c r="L288">
        <v>0.2</v>
      </c>
      <c r="M288">
        <v>10.8864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37</v>
      </c>
      <c r="J289">
        <v>254.05799999999999</v>
      </c>
      <c r="K289">
        <v>7</v>
      </c>
      <c r="L289">
        <v>0.7</v>
      </c>
      <c r="M289">
        <v>-169.37200000000001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38</v>
      </c>
      <c r="J290">
        <v>194.52799999999999</v>
      </c>
      <c r="K290">
        <v>2</v>
      </c>
      <c r="L290">
        <v>0.2</v>
      </c>
      <c r="M290">
        <v>24.315999999999999</v>
      </c>
    </row>
    <row r="291" spans="1:13" x14ac:dyDescent="0.3">
      <c r="A291" t="s">
        <v>13</v>
      </c>
      <c r="B291" t="s">
        <v>22</v>
      </c>
      <c r="C291" t="s">
        <v>15</v>
      </c>
      <c r="D291" t="s">
        <v>150</v>
      </c>
      <c r="E291" t="s">
        <v>30</v>
      </c>
      <c r="F291">
        <v>33319</v>
      </c>
      <c r="G291" t="s">
        <v>18</v>
      </c>
      <c r="H291" t="s">
        <v>26</v>
      </c>
      <c r="I291" t="s">
        <v>110</v>
      </c>
      <c r="J291">
        <v>961.48</v>
      </c>
      <c r="K291">
        <v>5</v>
      </c>
      <c r="L291">
        <v>0.2</v>
      </c>
      <c r="M291">
        <v>-204.31450000000001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77</v>
      </c>
      <c r="J292">
        <v>19.096</v>
      </c>
      <c r="K292">
        <v>7</v>
      </c>
      <c r="L292">
        <v>0.2</v>
      </c>
      <c r="M292">
        <v>6.6836000000000002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26</v>
      </c>
      <c r="I293" t="s">
        <v>27</v>
      </c>
      <c r="J293">
        <v>18.495999999999999</v>
      </c>
      <c r="K293">
        <v>8</v>
      </c>
      <c r="L293">
        <v>0.2</v>
      </c>
      <c r="M293">
        <v>6.2423999999999999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35</v>
      </c>
      <c r="I294" t="s">
        <v>59</v>
      </c>
      <c r="J294">
        <v>255.98400000000001</v>
      </c>
      <c r="K294">
        <v>2</v>
      </c>
      <c r="L294">
        <v>0.2</v>
      </c>
      <c r="M294">
        <v>54.396599999999999</v>
      </c>
    </row>
    <row r="295" spans="1:13" x14ac:dyDescent="0.3">
      <c r="A295" t="s">
        <v>13</v>
      </c>
      <c r="B295" t="s">
        <v>44</v>
      </c>
      <c r="C295" t="s">
        <v>15</v>
      </c>
      <c r="D295" t="s">
        <v>103</v>
      </c>
      <c r="E295" t="s">
        <v>104</v>
      </c>
      <c r="F295">
        <v>43229</v>
      </c>
      <c r="G295" t="s">
        <v>57</v>
      </c>
      <c r="H295" t="s">
        <v>19</v>
      </c>
      <c r="I295" t="s">
        <v>20</v>
      </c>
      <c r="J295">
        <v>86.97</v>
      </c>
      <c r="K295">
        <v>3</v>
      </c>
      <c r="L295">
        <v>0.5</v>
      </c>
      <c r="M295">
        <v>-48.703200000000002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33</v>
      </c>
      <c r="J296">
        <v>300.416</v>
      </c>
      <c r="K296">
        <v>8</v>
      </c>
      <c r="L296">
        <v>0.2</v>
      </c>
      <c r="M296">
        <v>78.859200000000001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21</v>
      </c>
      <c r="J297">
        <v>230.352</v>
      </c>
      <c r="K297">
        <v>3</v>
      </c>
      <c r="L297">
        <v>0.2</v>
      </c>
      <c r="M297">
        <v>20.155799999999999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19</v>
      </c>
      <c r="I298" t="s">
        <v>33</v>
      </c>
      <c r="J298">
        <v>218.352</v>
      </c>
      <c r="K298">
        <v>3</v>
      </c>
      <c r="L298">
        <v>0.2</v>
      </c>
      <c r="M298">
        <v>-24.564599999999999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37</v>
      </c>
      <c r="J299">
        <v>78.599999999999994</v>
      </c>
      <c r="K299">
        <v>5</v>
      </c>
      <c r="L299">
        <v>0.7</v>
      </c>
      <c r="M299">
        <v>-62.88</v>
      </c>
    </row>
    <row r="300" spans="1:13" x14ac:dyDescent="0.3">
      <c r="A300" t="s">
        <v>62</v>
      </c>
      <c r="B300" t="s">
        <v>22</v>
      </c>
      <c r="C300" t="s">
        <v>15</v>
      </c>
      <c r="D300" t="s">
        <v>151</v>
      </c>
      <c r="E300" t="s">
        <v>98</v>
      </c>
      <c r="F300">
        <v>80906</v>
      </c>
      <c r="G300" t="s">
        <v>25</v>
      </c>
      <c r="H300" t="s">
        <v>26</v>
      </c>
      <c r="I300" t="s">
        <v>77</v>
      </c>
      <c r="J300">
        <v>27.552</v>
      </c>
      <c r="K300">
        <v>3</v>
      </c>
      <c r="L300">
        <v>0.2</v>
      </c>
      <c r="M300">
        <v>9.2988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41</v>
      </c>
      <c r="J301">
        <v>32.4</v>
      </c>
      <c r="K301">
        <v>5</v>
      </c>
      <c r="L301">
        <v>0</v>
      </c>
      <c r="M301">
        <v>15.552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32</v>
      </c>
      <c r="J302">
        <v>1082.48</v>
      </c>
      <c r="K302">
        <v>8</v>
      </c>
      <c r="L302">
        <v>0</v>
      </c>
      <c r="M302">
        <v>10.8248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26</v>
      </c>
      <c r="I303" t="s">
        <v>41</v>
      </c>
      <c r="J303">
        <v>56.91</v>
      </c>
      <c r="K303">
        <v>3</v>
      </c>
      <c r="L303">
        <v>0</v>
      </c>
      <c r="M303">
        <v>27.316800000000001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19</v>
      </c>
      <c r="I304" t="s">
        <v>33</v>
      </c>
      <c r="J304">
        <v>77.599999999999994</v>
      </c>
      <c r="K304">
        <v>4</v>
      </c>
      <c r="L304">
        <v>0</v>
      </c>
      <c r="M304">
        <v>38.024000000000001</v>
      </c>
    </row>
    <row r="305" spans="1:13" x14ac:dyDescent="0.3">
      <c r="A305" t="s">
        <v>28</v>
      </c>
      <c r="B305" t="s">
        <v>22</v>
      </c>
      <c r="C305" t="s">
        <v>15</v>
      </c>
      <c r="D305" t="s">
        <v>152</v>
      </c>
      <c r="E305" t="s">
        <v>132</v>
      </c>
      <c r="F305">
        <v>7109</v>
      </c>
      <c r="G305" t="s">
        <v>57</v>
      </c>
      <c r="H305" t="s">
        <v>26</v>
      </c>
      <c r="I305" t="s">
        <v>37</v>
      </c>
      <c r="J305">
        <v>14.28</v>
      </c>
      <c r="K305">
        <v>1</v>
      </c>
      <c r="L305">
        <v>0</v>
      </c>
      <c r="M305">
        <v>6.5688000000000004</v>
      </c>
    </row>
    <row r="306" spans="1:13" x14ac:dyDescent="0.3">
      <c r="A306" t="s">
        <v>28</v>
      </c>
      <c r="B306" t="s">
        <v>14</v>
      </c>
      <c r="C306" t="s">
        <v>15</v>
      </c>
      <c r="D306" t="s">
        <v>79</v>
      </c>
      <c r="E306" t="s">
        <v>65</v>
      </c>
      <c r="F306">
        <v>60623</v>
      </c>
      <c r="G306" t="s">
        <v>47</v>
      </c>
      <c r="H306" t="s">
        <v>19</v>
      </c>
      <c r="I306" t="s">
        <v>31</v>
      </c>
      <c r="J306">
        <v>219.07499999999999</v>
      </c>
      <c r="K306">
        <v>3</v>
      </c>
      <c r="L306">
        <v>0.5</v>
      </c>
      <c r="M306">
        <v>-131.44499999999999</v>
      </c>
    </row>
    <row r="307" spans="1:13" x14ac:dyDescent="0.3">
      <c r="A307" t="s">
        <v>13</v>
      </c>
      <c r="B307" t="s">
        <v>22</v>
      </c>
      <c r="C307" t="s">
        <v>15</v>
      </c>
      <c r="D307" t="s">
        <v>75</v>
      </c>
      <c r="E307" t="s">
        <v>76</v>
      </c>
      <c r="F307">
        <v>10024</v>
      </c>
      <c r="G307" t="s">
        <v>57</v>
      </c>
      <c r="H307" t="s">
        <v>19</v>
      </c>
      <c r="I307" t="s">
        <v>33</v>
      </c>
      <c r="J307">
        <v>26.8</v>
      </c>
      <c r="K307">
        <v>2</v>
      </c>
      <c r="L307">
        <v>0</v>
      </c>
      <c r="M307">
        <v>12.864000000000001</v>
      </c>
    </row>
    <row r="308" spans="1:13" x14ac:dyDescent="0.3">
      <c r="A308" t="s">
        <v>28</v>
      </c>
      <c r="B308" t="s">
        <v>22</v>
      </c>
      <c r="C308" t="s">
        <v>15</v>
      </c>
      <c r="D308" t="s">
        <v>153</v>
      </c>
      <c r="E308" t="s">
        <v>70</v>
      </c>
      <c r="F308">
        <v>48180</v>
      </c>
      <c r="G308" t="s">
        <v>47</v>
      </c>
      <c r="H308" t="s">
        <v>26</v>
      </c>
      <c r="I308" t="s">
        <v>34</v>
      </c>
      <c r="J308">
        <v>9.84</v>
      </c>
      <c r="K308">
        <v>3</v>
      </c>
      <c r="L308">
        <v>0</v>
      </c>
      <c r="M308">
        <v>2.8536000000000001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37</v>
      </c>
      <c r="J309">
        <v>45.48</v>
      </c>
      <c r="K309">
        <v>3</v>
      </c>
      <c r="L309">
        <v>0</v>
      </c>
      <c r="M309">
        <v>20.9208</v>
      </c>
    </row>
    <row r="310" spans="1:13" x14ac:dyDescent="0.3">
      <c r="A310" t="s">
        <v>28</v>
      </c>
      <c r="B310" t="s">
        <v>44</v>
      </c>
      <c r="C310" t="s">
        <v>15</v>
      </c>
      <c r="D310" t="s">
        <v>154</v>
      </c>
      <c r="E310" t="s">
        <v>132</v>
      </c>
      <c r="F310">
        <v>8701</v>
      </c>
      <c r="G310" t="s">
        <v>57</v>
      </c>
      <c r="H310" t="s">
        <v>26</v>
      </c>
      <c r="I310" t="s">
        <v>34</v>
      </c>
      <c r="J310">
        <v>289.2</v>
      </c>
      <c r="K310">
        <v>6</v>
      </c>
      <c r="L310">
        <v>0</v>
      </c>
      <c r="M310">
        <v>83.867999999999995</v>
      </c>
    </row>
    <row r="311" spans="1:13" x14ac:dyDescent="0.3">
      <c r="A311" t="s">
        <v>62</v>
      </c>
      <c r="B311" t="s">
        <v>14</v>
      </c>
      <c r="C311" t="s">
        <v>15</v>
      </c>
      <c r="D311" t="s">
        <v>155</v>
      </c>
      <c r="E311" t="s">
        <v>83</v>
      </c>
      <c r="F311">
        <v>22204</v>
      </c>
      <c r="G311" t="s">
        <v>18</v>
      </c>
      <c r="H311" t="s">
        <v>26</v>
      </c>
      <c r="I311" t="s">
        <v>34</v>
      </c>
      <c r="J311">
        <v>4.8899999999999997</v>
      </c>
      <c r="K311">
        <v>1</v>
      </c>
      <c r="L311">
        <v>0</v>
      </c>
      <c r="M311">
        <v>2.0049000000000001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33</v>
      </c>
      <c r="J312">
        <v>15.135999999999999</v>
      </c>
      <c r="K312">
        <v>4</v>
      </c>
      <c r="L312">
        <v>0.2</v>
      </c>
      <c r="M312">
        <v>3.5948000000000002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21</v>
      </c>
      <c r="J313">
        <v>466.76799999999997</v>
      </c>
      <c r="K313">
        <v>2</v>
      </c>
      <c r="L313">
        <v>0.2</v>
      </c>
      <c r="M313">
        <v>52.511400000000002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19</v>
      </c>
      <c r="I314" t="s">
        <v>33</v>
      </c>
      <c r="J314">
        <v>15.231999999999999</v>
      </c>
      <c r="K314">
        <v>1</v>
      </c>
      <c r="L314">
        <v>0.2</v>
      </c>
      <c r="M314">
        <v>1.7136</v>
      </c>
    </row>
    <row r="315" spans="1:13" x14ac:dyDescent="0.3">
      <c r="A315" t="s">
        <v>13</v>
      </c>
      <c r="B315" t="s">
        <v>22</v>
      </c>
      <c r="C315" t="s">
        <v>15</v>
      </c>
      <c r="D315" t="s">
        <v>156</v>
      </c>
      <c r="E315" t="s">
        <v>98</v>
      </c>
      <c r="F315">
        <v>80004</v>
      </c>
      <c r="G315" t="s">
        <v>25</v>
      </c>
      <c r="H315" t="s">
        <v>26</v>
      </c>
      <c r="I315" t="s">
        <v>27</v>
      </c>
      <c r="J315">
        <v>6.2640000000000002</v>
      </c>
      <c r="K315">
        <v>3</v>
      </c>
      <c r="L315">
        <v>0.2</v>
      </c>
      <c r="M315">
        <v>2.0358000000000001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157</v>
      </c>
      <c r="E316" t="s">
        <v>132</v>
      </c>
      <c r="F316">
        <v>7601</v>
      </c>
      <c r="G316" t="s">
        <v>57</v>
      </c>
      <c r="H316" t="s">
        <v>19</v>
      </c>
      <c r="I316" t="s">
        <v>33</v>
      </c>
      <c r="J316">
        <v>87.54</v>
      </c>
      <c r="K316">
        <v>3</v>
      </c>
      <c r="L316">
        <v>0</v>
      </c>
      <c r="M316">
        <v>37.642200000000003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35</v>
      </c>
      <c r="I317" t="s">
        <v>36</v>
      </c>
      <c r="J317">
        <v>178.38399999999999</v>
      </c>
      <c r="K317">
        <v>2</v>
      </c>
      <c r="L317">
        <v>0.2</v>
      </c>
      <c r="M317">
        <v>22.297999999999998</v>
      </c>
    </row>
    <row r="318" spans="1:13" x14ac:dyDescent="0.3">
      <c r="A318" t="s">
        <v>28</v>
      </c>
      <c r="B318" t="s">
        <v>22</v>
      </c>
      <c r="C318" t="s">
        <v>15</v>
      </c>
      <c r="D318" t="s">
        <v>158</v>
      </c>
      <c r="E318" t="s">
        <v>30</v>
      </c>
      <c r="F318">
        <v>33710</v>
      </c>
      <c r="G318" t="s">
        <v>18</v>
      </c>
      <c r="H318" t="s">
        <v>26</v>
      </c>
      <c r="I318" t="s">
        <v>41</v>
      </c>
      <c r="J318">
        <v>15.552</v>
      </c>
      <c r="K318">
        <v>3</v>
      </c>
      <c r="L318">
        <v>0.2</v>
      </c>
      <c r="M318">
        <v>5.4432</v>
      </c>
    </row>
    <row r="319" spans="1:13" x14ac:dyDescent="0.3">
      <c r="A319" t="s">
        <v>62</v>
      </c>
      <c r="B319" t="s">
        <v>22</v>
      </c>
      <c r="C319" t="s">
        <v>15</v>
      </c>
      <c r="D319" t="s">
        <v>55</v>
      </c>
      <c r="E319" t="s">
        <v>56</v>
      </c>
      <c r="F319">
        <v>19143</v>
      </c>
      <c r="G319" t="s">
        <v>57</v>
      </c>
      <c r="H319" t="s">
        <v>26</v>
      </c>
      <c r="I319" t="s">
        <v>34</v>
      </c>
      <c r="J319">
        <v>99.135999999999996</v>
      </c>
      <c r="K319">
        <v>4</v>
      </c>
      <c r="L319">
        <v>0.2</v>
      </c>
      <c r="M319">
        <v>8.6744000000000003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19</v>
      </c>
      <c r="I320" t="s">
        <v>21</v>
      </c>
      <c r="J320">
        <v>135.88200000000001</v>
      </c>
      <c r="K320">
        <v>1</v>
      </c>
      <c r="L320">
        <v>0.1</v>
      </c>
      <c r="M320">
        <v>24.1568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123</v>
      </c>
      <c r="J321">
        <v>3991.98</v>
      </c>
      <c r="K321">
        <v>2</v>
      </c>
      <c r="L321">
        <v>0</v>
      </c>
      <c r="M321">
        <v>1995.99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36</v>
      </c>
      <c r="J322">
        <v>275.94</v>
      </c>
      <c r="K322">
        <v>6</v>
      </c>
      <c r="L322">
        <v>0</v>
      </c>
      <c r="M322">
        <v>80.022599999999997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35</v>
      </c>
      <c r="I323" t="s">
        <v>59</v>
      </c>
      <c r="J323">
        <v>360</v>
      </c>
      <c r="K323">
        <v>4</v>
      </c>
      <c r="L323">
        <v>0</v>
      </c>
      <c r="M323">
        <v>129.6</v>
      </c>
    </row>
    <row r="324" spans="1:13" x14ac:dyDescent="0.3">
      <c r="A324" t="s">
        <v>28</v>
      </c>
      <c r="B324" t="s">
        <v>44</v>
      </c>
      <c r="C324" t="s">
        <v>15</v>
      </c>
      <c r="D324" t="s">
        <v>75</v>
      </c>
      <c r="E324" t="s">
        <v>76</v>
      </c>
      <c r="F324">
        <v>10024</v>
      </c>
      <c r="G324" t="s">
        <v>57</v>
      </c>
      <c r="H324" t="s">
        <v>26</v>
      </c>
      <c r="I324" t="s">
        <v>32</v>
      </c>
      <c r="J324">
        <v>43.57</v>
      </c>
      <c r="K324">
        <v>1</v>
      </c>
      <c r="L324">
        <v>0</v>
      </c>
      <c r="M324">
        <v>13.071</v>
      </c>
    </row>
    <row r="325" spans="1:13" x14ac:dyDescent="0.3">
      <c r="A325" t="s">
        <v>28</v>
      </c>
      <c r="B325" t="s">
        <v>22</v>
      </c>
      <c r="C325" t="s">
        <v>15</v>
      </c>
      <c r="D325" t="s">
        <v>159</v>
      </c>
      <c r="E325" t="s">
        <v>24</v>
      </c>
      <c r="F325">
        <v>90805</v>
      </c>
      <c r="G325" t="s">
        <v>25</v>
      </c>
      <c r="H325" t="s">
        <v>26</v>
      </c>
      <c r="I325" t="s">
        <v>77</v>
      </c>
      <c r="J325">
        <v>7.16</v>
      </c>
      <c r="K325">
        <v>2</v>
      </c>
      <c r="L325">
        <v>0</v>
      </c>
      <c r="M325">
        <v>3.58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26</v>
      </c>
      <c r="I326" t="s">
        <v>37</v>
      </c>
      <c r="J326">
        <v>251.52</v>
      </c>
      <c r="K326">
        <v>6</v>
      </c>
      <c r="L326">
        <v>0.2</v>
      </c>
      <c r="M326">
        <v>81.744</v>
      </c>
    </row>
    <row r="327" spans="1:13" x14ac:dyDescent="0.3">
      <c r="A327" t="s">
        <v>28</v>
      </c>
      <c r="B327" t="s">
        <v>22</v>
      </c>
      <c r="C327" t="s">
        <v>15</v>
      </c>
      <c r="D327" t="s">
        <v>160</v>
      </c>
      <c r="E327" t="s">
        <v>24</v>
      </c>
      <c r="F327">
        <v>92345</v>
      </c>
      <c r="G327" t="s">
        <v>25</v>
      </c>
      <c r="H327" t="s">
        <v>35</v>
      </c>
      <c r="I327" t="s">
        <v>59</v>
      </c>
      <c r="J327">
        <v>99.99</v>
      </c>
      <c r="K327">
        <v>1</v>
      </c>
      <c r="L327">
        <v>0</v>
      </c>
      <c r="M327">
        <v>34.996499999999997</v>
      </c>
    </row>
    <row r="328" spans="1:13" x14ac:dyDescent="0.3">
      <c r="A328" t="s">
        <v>13</v>
      </c>
      <c r="B328" t="s">
        <v>22</v>
      </c>
      <c r="C328" t="s">
        <v>15</v>
      </c>
      <c r="D328" t="s">
        <v>161</v>
      </c>
      <c r="E328" t="s">
        <v>86</v>
      </c>
      <c r="F328">
        <v>37130</v>
      </c>
      <c r="G328" t="s">
        <v>18</v>
      </c>
      <c r="H328" t="s">
        <v>19</v>
      </c>
      <c r="I328" t="s">
        <v>33</v>
      </c>
      <c r="J328">
        <v>15.992000000000001</v>
      </c>
      <c r="K328">
        <v>1</v>
      </c>
      <c r="L328">
        <v>0.2</v>
      </c>
      <c r="M328">
        <v>0.99950000000000006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35</v>
      </c>
      <c r="I329" t="s">
        <v>36</v>
      </c>
      <c r="J329">
        <v>290.89800000000002</v>
      </c>
      <c r="K329">
        <v>3</v>
      </c>
      <c r="L329">
        <v>0.4</v>
      </c>
      <c r="M329">
        <v>-67.876199999999997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26</v>
      </c>
      <c r="I330" t="s">
        <v>32</v>
      </c>
      <c r="J330">
        <v>54.223999999999997</v>
      </c>
      <c r="K330">
        <v>2</v>
      </c>
      <c r="L330">
        <v>0.2</v>
      </c>
      <c r="M330">
        <v>3.3889999999999998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19</v>
      </c>
      <c r="I331" t="s">
        <v>21</v>
      </c>
      <c r="J331">
        <v>786.74400000000003</v>
      </c>
      <c r="K331">
        <v>4</v>
      </c>
      <c r="L331">
        <v>0.3</v>
      </c>
      <c r="M331">
        <v>-258.5016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27</v>
      </c>
      <c r="J332">
        <v>100.24</v>
      </c>
      <c r="K332">
        <v>10</v>
      </c>
      <c r="L332">
        <v>0.2</v>
      </c>
      <c r="M332">
        <v>33.831000000000003</v>
      </c>
    </row>
    <row r="333" spans="1:13" x14ac:dyDescent="0.3">
      <c r="A333" t="s">
        <v>62</v>
      </c>
      <c r="B333" t="s">
        <v>14</v>
      </c>
      <c r="C333" t="s">
        <v>15</v>
      </c>
      <c r="D333" t="s">
        <v>55</v>
      </c>
      <c r="E333" t="s">
        <v>56</v>
      </c>
      <c r="F333">
        <v>19143</v>
      </c>
      <c r="G333" t="s">
        <v>57</v>
      </c>
      <c r="H333" t="s">
        <v>26</v>
      </c>
      <c r="I333" t="s">
        <v>37</v>
      </c>
      <c r="J333">
        <v>37.764000000000003</v>
      </c>
      <c r="K333">
        <v>6</v>
      </c>
      <c r="L333">
        <v>0.7</v>
      </c>
      <c r="M333">
        <v>-27.6936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35</v>
      </c>
      <c r="I334" t="s">
        <v>36</v>
      </c>
      <c r="J334">
        <v>82.8</v>
      </c>
      <c r="K334">
        <v>2</v>
      </c>
      <c r="L334">
        <v>0.4</v>
      </c>
      <c r="M334">
        <v>-20.7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20.724</v>
      </c>
      <c r="K335">
        <v>2</v>
      </c>
      <c r="L335">
        <v>0.7</v>
      </c>
      <c r="M335">
        <v>-13.816000000000001</v>
      </c>
    </row>
    <row r="336" spans="1:13" x14ac:dyDescent="0.3">
      <c r="A336" t="s">
        <v>13</v>
      </c>
      <c r="B336" t="s">
        <v>14</v>
      </c>
      <c r="C336" t="s">
        <v>15</v>
      </c>
      <c r="D336" t="s">
        <v>55</v>
      </c>
      <c r="E336" t="s">
        <v>56</v>
      </c>
      <c r="F336">
        <v>19134</v>
      </c>
      <c r="G336" t="s">
        <v>57</v>
      </c>
      <c r="H336" t="s">
        <v>26</v>
      </c>
      <c r="I336" t="s">
        <v>37</v>
      </c>
      <c r="J336">
        <v>4.8959999999999999</v>
      </c>
      <c r="K336">
        <v>3</v>
      </c>
      <c r="L336">
        <v>0.7</v>
      </c>
      <c r="M336">
        <v>-3.4272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26</v>
      </c>
      <c r="I337" t="s">
        <v>37</v>
      </c>
      <c r="J337">
        <v>4.7519999999999998</v>
      </c>
      <c r="K337">
        <v>1</v>
      </c>
      <c r="L337">
        <v>0.2</v>
      </c>
      <c r="M337">
        <v>1.6037999999999999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35</v>
      </c>
      <c r="I338" t="s">
        <v>162</v>
      </c>
      <c r="J338">
        <v>959.98400000000004</v>
      </c>
      <c r="K338">
        <v>2</v>
      </c>
      <c r="L338">
        <v>0.2</v>
      </c>
      <c r="M338">
        <v>335.99439999999998</v>
      </c>
    </row>
    <row r="339" spans="1:13" x14ac:dyDescent="0.3">
      <c r="A339" t="s">
        <v>13</v>
      </c>
      <c r="B339" t="s">
        <v>14</v>
      </c>
      <c r="C339" t="s">
        <v>15</v>
      </c>
      <c r="D339" t="s">
        <v>23</v>
      </c>
      <c r="E339" t="s">
        <v>24</v>
      </c>
      <c r="F339">
        <v>90045</v>
      </c>
      <c r="G339" t="s">
        <v>25</v>
      </c>
      <c r="H339" t="s">
        <v>26</v>
      </c>
      <c r="I339" t="s">
        <v>37</v>
      </c>
      <c r="J339">
        <v>14.368</v>
      </c>
      <c r="K339">
        <v>4</v>
      </c>
      <c r="L339">
        <v>0.2</v>
      </c>
      <c r="M339">
        <v>4.49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26</v>
      </c>
      <c r="I340" t="s">
        <v>37</v>
      </c>
      <c r="J340">
        <v>7.7119999999999997</v>
      </c>
      <c r="K340">
        <v>2</v>
      </c>
      <c r="L340">
        <v>0.2</v>
      </c>
      <c r="M340">
        <v>2.7955999999999999</v>
      </c>
    </row>
    <row r="341" spans="1:13" x14ac:dyDescent="0.3">
      <c r="A341" t="s">
        <v>28</v>
      </c>
      <c r="B341" t="s">
        <v>22</v>
      </c>
      <c r="C341" t="s">
        <v>15</v>
      </c>
      <c r="D341" t="s">
        <v>52</v>
      </c>
      <c r="E341" t="s">
        <v>24</v>
      </c>
      <c r="F341">
        <v>94122</v>
      </c>
      <c r="G341" t="s">
        <v>25</v>
      </c>
      <c r="H341" t="s">
        <v>19</v>
      </c>
      <c r="I341" t="s">
        <v>31</v>
      </c>
      <c r="J341">
        <v>698.35199999999998</v>
      </c>
      <c r="K341">
        <v>3</v>
      </c>
      <c r="L341">
        <v>0.2</v>
      </c>
      <c r="M341">
        <v>-17.4588</v>
      </c>
    </row>
    <row r="342" spans="1:13" x14ac:dyDescent="0.3">
      <c r="A342" t="s">
        <v>13</v>
      </c>
      <c r="B342" t="s">
        <v>14</v>
      </c>
      <c r="C342" t="s">
        <v>15</v>
      </c>
      <c r="D342" t="s">
        <v>163</v>
      </c>
      <c r="E342" t="s">
        <v>51</v>
      </c>
      <c r="F342">
        <v>84041</v>
      </c>
      <c r="G342" t="s">
        <v>25</v>
      </c>
      <c r="H342" t="s">
        <v>26</v>
      </c>
      <c r="I342" t="s">
        <v>77</v>
      </c>
      <c r="J342">
        <v>4.96</v>
      </c>
      <c r="K342">
        <v>4</v>
      </c>
      <c r="L342">
        <v>0</v>
      </c>
      <c r="M342">
        <v>2.3311999999999999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34</v>
      </c>
      <c r="J343">
        <v>17.856000000000002</v>
      </c>
      <c r="K343">
        <v>4</v>
      </c>
      <c r="L343">
        <v>0.2</v>
      </c>
      <c r="M343">
        <v>1.1160000000000001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37</v>
      </c>
      <c r="J344">
        <v>509.97</v>
      </c>
      <c r="K344">
        <v>10</v>
      </c>
      <c r="L344">
        <v>0.7</v>
      </c>
      <c r="M344">
        <v>-407.976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26</v>
      </c>
      <c r="I345" t="s">
        <v>77</v>
      </c>
      <c r="J345">
        <v>30.992000000000001</v>
      </c>
      <c r="K345">
        <v>13</v>
      </c>
      <c r="L345">
        <v>0.2</v>
      </c>
      <c r="M345">
        <v>10.0724</v>
      </c>
    </row>
    <row r="346" spans="1:13" x14ac:dyDescent="0.3">
      <c r="A346" t="s">
        <v>13</v>
      </c>
      <c r="B346" t="s">
        <v>22</v>
      </c>
      <c r="C346" t="s">
        <v>15</v>
      </c>
      <c r="D346" t="s">
        <v>55</v>
      </c>
      <c r="E346" t="s">
        <v>56</v>
      </c>
      <c r="F346">
        <v>19140</v>
      </c>
      <c r="G346" t="s">
        <v>57</v>
      </c>
      <c r="H346" t="s">
        <v>35</v>
      </c>
      <c r="I346" t="s">
        <v>36</v>
      </c>
      <c r="J346">
        <v>71.927999999999997</v>
      </c>
      <c r="K346">
        <v>12</v>
      </c>
      <c r="L346">
        <v>0.4</v>
      </c>
      <c r="M346">
        <v>8.3916000000000004</v>
      </c>
    </row>
    <row r="347" spans="1:13" x14ac:dyDescent="0.3">
      <c r="A347" t="s">
        <v>28</v>
      </c>
      <c r="B347" t="s">
        <v>14</v>
      </c>
      <c r="C347" t="s">
        <v>15</v>
      </c>
      <c r="D347" t="s">
        <v>164</v>
      </c>
      <c r="E347" t="s">
        <v>46</v>
      </c>
      <c r="F347">
        <v>78745</v>
      </c>
      <c r="G347" t="s">
        <v>47</v>
      </c>
      <c r="H347" t="s">
        <v>26</v>
      </c>
      <c r="I347" t="s">
        <v>32</v>
      </c>
      <c r="J347">
        <v>88.8</v>
      </c>
      <c r="K347">
        <v>4</v>
      </c>
      <c r="L347">
        <v>0.2</v>
      </c>
      <c r="M347">
        <v>-2.2200000000000002</v>
      </c>
    </row>
    <row r="348" spans="1:13" x14ac:dyDescent="0.3">
      <c r="A348" t="s">
        <v>28</v>
      </c>
      <c r="B348" t="s">
        <v>14</v>
      </c>
      <c r="C348" t="s">
        <v>15</v>
      </c>
      <c r="D348" t="s">
        <v>52</v>
      </c>
      <c r="E348" t="s">
        <v>24</v>
      </c>
      <c r="F348">
        <v>94122</v>
      </c>
      <c r="G348" t="s">
        <v>25</v>
      </c>
      <c r="H348" t="s">
        <v>35</v>
      </c>
      <c r="I348" t="s">
        <v>36</v>
      </c>
      <c r="J348">
        <v>47.975999999999999</v>
      </c>
      <c r="K348">
        <v>3</v>
      </c>
      <c r="L348">
        <v>0.2</v>
      </c>
      <c r="M348">
        <v>4.7976000000000001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34</v>
      </c>
      <c r="J349">
        <v>7.56</v>
      </c>
      <c r="K349">
        <v>3</v>
      </c>
      <c r="L349">
        <v>0</v>
      </c>
      <c r="M349">
        <v>3.0996000000000001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41</v>
      </c>
      <c r="J350">
        <v>24.56</v>
      </c>
      <c r="K350">
        <v>2</v>
      </c>
      <c r="L350">
        <v>0</v>
      </c>
      <c r="M350">
        <v>11.543200000000001</v>
      </c>
    </row>
    <row r="351" spans="1:13" x14ac:dyDescent="0.3">
      <c r="A351" t="s">
        <v>28</v>
      </c>
      <c r="B351" t="s">
        <v>14</v>
      </c>
      <c r="C351" t="s">
        <v>15</v>
      </c>
      <c r="D351" t="s">
        <v>165</v>
      </c>
      <c r="E351" t="s">
        <v>166</v>
      </c>
      <c r="F351">
        <v>1852</v>
      </c>
      <c r="G351" t="s">
        <v>57</v>
      </c>
      <c r="H351" t="s">
        <v>26</v>
      </c>
      <c r="I351" t="s">
        <v>34</v>
      </c>
      <c r="J351">
        <v>12.96</v>
      </c>
      <c r="K351">
        <v>2</v>
      </c>
      <c r="L351">
        <v>0</v>
      </c>
      <c r="M351">
        <v>4.1471999999999998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35</v>
      </c>
      <c r="I352" t="s">
        <v>59</v>
      </c>
      <c r="J352">
        <v>6.79</v>
      </c>
      <c r="K352">
        <v>1</v>
      </c>
      <c r="L352">
        <v>0</v>
      </c>
      <c r="M352">
        <v>2.3086000000000002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41</v>
      </c>
      <c r="J353">
        <v>24.56</v>
      </c>
      <c r="K353">
        <v>2</v>
      </c>
      <c r="L353">
        <v>0</v>
      </c>
      <c r="M353">
        <v>11.543200000000001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37</v>
      </c>
      <c r="J354">
        <v>3.048</v>
      </c>
      <c r="K354">
        <v>1</v>
      </c>
      <c r="L354">
        <v>0.2</v>
      </c>
      <c r="M354">
        <v>1.0668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41</v>
      </c>
      <c r="J355">
        <v>49.12</v>
      </c>
      <c r="K355">
        <v>4</v>
      </c>
      <c r="L355">
        <v>0</v>
      </c>
      <c r="M355">
        <v>23.086400000000001</v>
      </c>
    </row>
    <row r="356" spans="1:13" x14ac:dyDescent="0.3">
      <c r="A356" t="s">
        <v>62</v>
      </c>
      <c r="B356" t="s">
        <v>44</v>
      </c>
      <c r="C356" t="s">
        <v>15</v>
      </c>
      <c r="D356" t="s">
        <v>75</v>
      </c>
      <c r="E356" t="s">
        <v>76</v>
      </c>
      <c r="F356">
        <v>10009</v>
      </c>
      <c r="G356" t="s">
        <v>57</v>
      </c>
      <c r="H356" t="s">
        <v>26</v>
      </c>
      <c r="I356" t="s">
        <v>37</v>
      </c>
      <c r="J356">
        <v>4355.1679999999997</v>
      </c>
      <c r="K356">
        <v>4</v>
      </c>
      <c r="L356">
        <v>0.2</v>
      </c>
      <c r="M356">
        <v>1415.4295999999999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19</v>
      </c>
      <c r="I357" t="s">
        <v>20</v>
      </c>
      <c r="J357">
        <v>388.70400000000001</v>
      </c>
      <c r="K357">
        <v>6</v>
      </c>
      <c r="L357">
        <v>0.2</v>
      </c>
      <c r="M357">
        <v>-4.8587999999999996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60</v>
      </c>
      <c r="J358">
        <v>8.26</v>
      </c>
      <c r="K358">
        <v>2</v>
      </c>
      <c r="L358">
        <v>0</v>
      </c>
      <c r="M358">
        <v>3.7995999999999999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34</v>
      </c>
      <c r="J359">
        <v>17.04</v>
      </c>
      <c r="K359">
        <v>4</v>
      </c>
      <c r="L359">
        <v>0</v>
      </c>
      <c r="M359">
        <v>6.9863999999999997</v>
      </c>
    </row>
    <row r="360" spans="1:13" x14ac:dyDescent="0.3">
      <c r="A360" t="s">
        <v>28</v>
      </c>
      <c r="B360" t="s">
        <v>14</v>
      </c>
      <c r="C360" t="s">
        <v>15</v>
      </c>
      <c r="D360" t="s">
        <v>75</v>
      </c>
      <c r="E360" t="s">
        <v>76</v>
      </c>
      <c r="F360">
        <v>10035</v>
      </c>
      <c r="G360" t="s">
        <v>57</v>
      </c>
      <c r="H360" t="s">
        <v>26</v>
      </c>
      <c r="I360" t="s">
        <v>41</v>
      </c>
      <c r="J360">
        <v>34.4</v>
      </c>
      <c r="K360">
        <v>5</v>
      </c>
      <c r="L360">
        <v>0</v>
      </c>
      <c r="M360">
        <v>15.824</v>
      </c>
    </row>
    <row r="361" spans="1:13" x14ac:dyDescent="0.3">
      <c r="A361" t="s">
        <v>28</v>
      </c>
      <c r="B361" t="s">
        <v>22</v>
      </c>
      <c r="C361" t="s">
        <v>15</v>
      </c>
      <c r="D361" t="s">
        <v>99</v>
      </c>
      <c r="E361" t="s">
        <v>40</v>
      </c>
      <c r="F361">
        <v>28205</v>
      </c>
      <c r="G361" t="s">
        <v>18</v>
      </c>
      <c r="H361" t="s">
        <v>26</v>
      </c>
      <c r="I361" t="s">
        <v>41</v>
      </c>
      <c r="J361">
        <v>36.24</v>
      </c>
      <c r="K361">
        <v>5</v>
      </c>
      <c r="L361">
        <v>0.2</v>
      </c>
      <c r="M361">
        <v>11.324999999999999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38</v>
      </c>
      <c r="J362">
        <v>647.84</v>
      </c>
      <c r="K362">
        <v>8</v>
      </c>
      <c r="L362">
        <v>0</v>
      </c>
      <c r="M362">
        <v>168.4384</v>
      </c>
    </row>
    <row r="363" spans="1:13" x14ac:dyDescent="0.3">
      <c r="A363" t="s">
        <v>62</v>
      </c>
      <c r="B363" t="s">
        <v>22</v>
      </c>
      <c r="C363" t="s">
        <v>15</v>
      </c>
      <c r="D363" t="s">
        <v>103</v>
      </c>
      <c r="E363" t="s">
        <v>167</v>
      </c>
      <c r="F363">
        <v>31907</v>
      </c>
      <c r="G363" t="s">
        <v>18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26</v>
      </c>
      <c r="I364" t="s">
        <v>27</v>
      </c>
      <c r="J364">
        <v>20.7</v>
      </c>
      <c r="K364">
        <v>2</v>
      </c>
      <c r="L364">
        <v>0</v>
      </c>
      <c r="M364">
        <v>9.9359999999999999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19</v>
      </c>
      <c r="I365" t="s">
        <v>21</v>
      </c>
      <c r="J365">
        <v>488.64600000000002</v>
      </c>
      <c r="K365">
        <v>3</v>
      </c>
      <c r="L365">
        <v>0.1</v>
      </c>
      <c r="M365">
        <v>86.870400000000004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26</v>
      </c>
      <c r="I366" t="s">
        <v>34</v>
      </c>
      <c r="J366">
        <v>5.56</v>
      </c>
      <c r="K366">
        <v>2</v>
      </c>
      <c r="L366">
        <v>0</v>
      </c>
      <c r="M366">
        <v>1.4456</v>
      </c>
    </row>
    <row r="367" spans="1:13" x14ac:dyDescent="0.3">
      <c r="A367" t="s">
        <v>28</v>
      </c>
      <c r="B367" t="s">
        <v>14</v>
      </c>
      <c r="C367" t="s">
        <v>15</v>
      </c>
      <c r="D367" t="s">
        <v>75</v>
      </c>
      <c r="E367" t="s">
        <v>76</v>
      </c>
      <c r="F367">
        <v>10009</v>
      </c>
      <c r="G367" t="s">
        <v>57</v>
      </c>
      <c r="H367" t="s">
        <v>19</v>
      </c>
      <c r="I367" t="s">
        <v>33</v>
      </c>
      <c r="J367">
        <v>47.12</v>
      </c>
      <c r="K367">
        <v>8</v>
      </c>
      <c r="L367">
        <v>0</v>
      </c>
      <c r="M367">
        <v>20.732800000000001</v>
      </c>
    </row>
    <row r="368" spans="1:13" x14ac:dyDescent="0.3">
      <c r="A368" t="s">
        <v>28</v>
      </c>
      <c r="B368" t="s">
        <v>14</v>
      </c>
      <c r="C368" t="s">
        <v>15</v>
      </c>
      <c r="D368" t="s">
        <v>52</v>
      </c>
      <c r="E368" t="s">
        <v>24</v>
      </c>
      <c r="F368">
        <v>94109</v>
      </c>
      <c r="G368" t="s">
        <v>25</v>
      </c>
      <c r="H368" t="s">
        <v>26</v>
      </c>
      <c r="I368" t="s">
        <v>32</v>
      </c>
      <c r="J368">
        <v>211.96</v>
      </c>
      <c r="K368">
        <v>4</v>
      </c>
      <c r="L368">
        <v>0</v>
      </c>
      <c r="M368">
        <v>8.4784000000000006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37</v>
      </c>
      <c r="J369">
        <v>23.2</v>
      </c>
      <c r="K369">
        <v>4</v>
      </c>
      <c r="L369">
        <v>0</v>
      </c>
      <c r="M369">
        <v>10.44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110</v>
      </c>
      <c r="J370">
        <v>7.36</v>
      </c>
      <c r="K370">
        <v>2</v>
      </c>
      <c r="L370">
        <v>0</v>
      </c>
      <c r="M370">
        <v>0.1472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26</v>
      </c>
      <c r="I371" t="s">
        <v>32</v>
      </c>
      <c r="J371">
        <v>104.79</v>
      </c>
      <c r="K371">
        <v>7</v>
      </c>
      <c r="L371">
        <v>0</v>
      </c>
      <c r="M371">
        <v>29.341200000000001</v>
      </c>
    </row>
    <row r="372" spans="1:13" x14ac:dyDescent="0.3">
      <c r="A372" t="s">
        <v>168</v>
      </c>
      <c r="B372" t="s">
        <v>22</v>
      </c>
      <c r="C372" t="s">
        <v>15</v>
      </c>
      <c r="D372" t="s">
        <v>169</v>
      </c>
      <c r="E372" t="s">
        <v>127</v>
      </c>
      <c r="F372">
        <v>6040</v>
      </c>
      <c r="G372" t="s">
        <v>57</v>
      </c>
      <c r="H372" t="s">
        <v>19</v>
      </c>
      <c r="I372" t="s">
        <v>20</v>
      </c>
      <c r="J372">
        <v>1043.92</v>
      </c>
      <c r="K372">
        <v>4</v>
      </c>
      <c r="L372">
        <v>0</v>
      </c>
      <c r="M372">
        <v>271.41919999999999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41</v>
      </c>
      <c r="J373">
        <v>25.92</v>
      </c>
      <c r="K373">
        <v>5</v>
      </c>
      <c r="L373">
        <v>0.2</v>
      </c>
      <c r="M373">
        <v>9.3960000000000008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170</v>
      </c>
      <c r="E374" t="s">
        <v>46</v>
      </c>
      <c r="F374">
        <v>78550</v>
      </c>
      <c r="G374" t="s">
        <v>47</v>
      </c>
      <c r="H374" t="s">
        <v>26</v>
      </c>
      <c r="I374" t="s">
        <v>32</v>
      </c>
      <c r="J374">
        <v>53.423999999999999</v>
      </c>
      <c r="K374">
        <v>3</v>
      </c>
      <c r="L374">
        <v>0.2</v>
      </c>
      <c r="M374">
        <v>4.6745999999999999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26</v>
      </c>
      <c r="I375" t="s">
        <v>37</v>
      </c>
      <c r="J375">
        <v>8.16</v>
      </c>
      <c r="K375">
        <v>5</v>
      </c>
      <c r="L375">
        <v>0.7</v>
      </c>
      <c r="M375">
        <v>-5.7119999999999997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35</v>
      </c>
      <c r="I376" t="s">
        <v>59</v>
      </c>
      <c r="J376">
        <v>1023.936</v>
      </c>
      <c r="K376">
        <v>8</v>
      </c>
      <c r="L376">
        <v>0.2</v>
      </c>
      <c r="M376">
        <v>179.18879999999999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26</v>
      </c>
      <c r="I377" t="s">
        <v>34</v>
      </c>
      <c r="J377">
        <v>9.24</v>
      </c>
      <c r="K377">
        <v>1</v>
      </c>
      <c r="L377">
        <v>0.2</v>
      </c>
      <c r="M377">
        <v>0.92400000000000004</v>
      </c>
    </row>
    <row r="378" spans="1:13" x14ac:dyDescent="0.3">
      <c r="A378" t="s">
        <v>28</v>
      </c>
      <c r="B378" t="s">
        <v>14</v>
      </c>
      <c r="C378" t="s">
        <v>15</v>
      </c>
      <c r="D378" t="s">
        <v>171</v>
      </c>
      <c r="E378" t="s">
        <v>81</v>
      </c>
      <c r="F378">
        <v>85705</v>
      </c>
      <c r="G378" t="s">
        <v>25</v>
      </c>
      <c r="H378" t="s">
        <v>35</v>
      </c>
      <c r="I378" t="s">
        <v>59</v>
      </c>
      <c r="J378">
        <v>479.04</v>
      </c>
      <c r="K378">
        <v>10</v>
      </c>
      <c r="L378">
        <v>0.2</v>
      </c>
      <c r="M378">
        <v>-29.94</v>
      </c>
    </row>
    <row r="379" spans="1:13" x14ac:dyDescent="0.3">
      <c r="A379" t="s">
        <v>62</v>
      </c>
      <c r="B379" t="s">
        <v>22</v>
      </c>
      <c r="C379" t="s">
        <v>15</v>
      </c>
      <c r="D379" t="s">
        <v>172</v>
      </c>
      <c r="E379" t="s">
        <v>65</v>
      </c>
      <c r="F379">
        <v>62301</v>
      </c>
      <c r="G379" t="s">
        <v>47</v>
      </c>
      <c r="H379" t="s">
        <v>26</v>
      </c>
      <c r="I379" t="s">
        <v>41</v>
      </c>
      <c r="J379">
        <v>99.135999999999996</v>
      </c>
      <c r="K379">
        <v>4</v>
      </c>
      <c r="L379">
        <v>0.2</v>
      </c>
      <c r="M379">
        <v>30.98</v>
      </c>
    </row>
    <row r="380" spans="1:13" x14ac:dyDescent="0.3">
      <c r="A380" t="s">
        <v>28</v>
      </c>
      <c r="B380" t="s">
        <v>22</v>
      </c>
      <c r="C380" t="s">
        <v>15</v>
      </c>
      <c r="D380" t="s">
        <v>115</v>
      </c>
      <c r="E380" t="s">
        <v>166</v>
      </c>
      <c r="F380">
        <v>2038</v>
      </c>
      <c r="G380" t="s">
        <v>57</v>
      </c>
      <c r="H380" t="s">
        <v>19</v>
      </c>
      <c r="I380" t="s">
        <v>31</v>
      </c>
      <c r="J380">
        <v>1488.424</v>
      </c>
      <c r="K380">
        <v>7</v>
      </c>
      <c r="L380">
        <v>0.3</v>
      </c>
      <c r="M380">
        <v>-297.6848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38</v>
      </c>
      <c r="J381">
        <v>8.6519999999999992</v>
      </c>
      <c r="K381">
        <v>3</v>
      </c>
      <c r="L381">
        <v>0.8</v>
      </c>
      <c r="M381">
        <v>-20.3322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32</v>
      </c>
      <c r="J382">
        <v>23.832000000000001</v>
      </c>
      <c r="K382">
        <v>3</v>
      </c>
      <c r="L382">
        <v>0.2</v>
      </c>
      <c r="M382">
        <v>2.6810999999999998</v>
      </c>
    </row>
    <row r="383" spans="1:13" x14ac:dyDescent="0.3">
      <c r="A383" t="s">
        <v>28</v>
      </c>
      <c r="B383" t="s">
        <v>14</v>
      </c>
      <c r="C383" t="s">
        <v>15</v>
      </c>
      <c r="D383" t="s">
        <v>61</v>
      </c>
      <c r="E383" t="s">
        <v>46</v>
      </c>
      <c r="F383">
        <v>77095</v>
      </c>
      <c r="G383" t="s">
        <v>47</v>
      </c>
      <c r="H383" t="s">
        <v>26</v>
      </c>
      <c r="I383" t="s">
        <v>37</v>
      </c>
      <c r="J383">
        <v>12.176</v>
      </c>
      <c r="K383">
        <v>4</v>
      </c>
      <c r="L383">
        <v>0.8</v>
      </c>
      <c r="M383">
        <v>-18.872800000000002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41</v>
      </c>
      <c r="J384">
        <v>50.96</v>
      </c>
      <c r="K384">
        <v>7</v>
      </c>
      <c r="L384">
        <v>0</v>
      </c>
      <c r="M384">
        <v>25.48</v>
      </c>
    </row>
    <row r="385" spans="1:13" x14ac:dyDescent="0.3">
      <c r="A385" t="s">
        <v>62</v>
      </c>
      <c r="B385" t="s">
        <v>22</v>
      </c>
      <c r="C385" t="s">
        <v>15</v>
      </c>
      <c r="D385" t="s">
        <v>52</v>
      </c>
      <c r="E385" t="s">
        <v>24</v>
      </c>
      <c r="F385">
        <v>94109</v>
      </c>
      <c r="G385" t="s">
        <v>25</v>
      </c>
      <c r="H385" t="s">
        <v>26</v>
      </c>
      <c r="I385" t="s">
        <v>37</v>
      </c>
      <c r="J385">
        <v>49.536000000000001</v>
      </c>
      <c r="K385">
        <v>3</v>
      </c>
      <c r="L385">
        <v>0.2</v>
      </c>
      <c r="M385">
        <v>17.337599999999998</v>
      </c>
    </row>
    <row r="386" spans="1:13" x14ac:dyDescent="0.3">
      <c r="A386" t="s">
        <v>13</v>
      </c>
      <c r="B386" t="s">
        <v>22</v>
      </c>
      <c r="C386" t="s">
        <v>15</v>
      </c>
      <c r="D386" t="s">
        <v>153</v>
      </c>
      <c r="E386" t="s">
        <v>70</v>
      </c>
      <c r="F386">
        <v>48180</v>
      </c>
      <c r="G386" t="s">
        <v>47</v>
      </c>
      <c r="H386" t="s">
        <v>35</v>
      </c>
      <c r="I386" t="s">
        <v>59</v>
      </c>
      <c r="J386">
        <v>41.9</v>
      </c>
      <c r="K386">
        <v>2</v>
      </c>
      <c r="L386">
        <v>0</v>
      </c>
      <c r="M386">
        <v>8.7989999999999995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19</v>
      </c>
      <c r="I387" t="s">
        <v>31</v>
      </c>
      <c r="J387">
        <v>375.45749999999998</v>
      </c>
      <c r="K387">
        <v>3</v>
      </c>
      <c r="L387">
        <v>0.45</v>
      </c>
      <c r="M387">
        <v>-157.0095</v>
      </c>
    </row>
    <row r="388" spans="1:13" x14ac:dyDescent="0.3">
      <c r="A388" t="s">
        <v>28</v>
      </c>
      <c r="B388" t="s">
        <v>14</v>
      </c>
      <c r="C388" t="s">
        <v>15</v>
      </c>
      <c r="D388" t="s">
        <v>173</v>
      </c>
      <c r="E388" t="s">
        <v>30</v>
      </c>
      <c r="F388">
        <v>33024</v>
      </c>
      <c r="G388" t="s">
        <v>18</v>
      </c>
      <c r="H388" t="s">
        <v>35</v>
      </c>
      <c r="I388" t="s">
        <v>59</v>
      </c>
      <c r="J388">
        <v>83.975999999999999</v>
      </c>
      <c r="K388">
        <v>3</v>
      </c>
      <c r="L388">
        <v>0.2</v>
      </c>
      <c r="M388">
        <v>-1.0497000000000001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35</v>
      </c>
      <c r="I389" t="s">
        <v>123</v>
      </c>
      <c r="J389">
        <v>482.34</v>
      </c>
      <c r="K389">
        <v>4</v>
      </c>
      <c r="L389">
        <v>0.7</v>
      </c>
      <c r="M389">
        <v>-337.63799999999998</v>
      </c>
    </row>
    <row r="390" spans="1:13" x14ac:dyDescent="0.3">
      <c r="A390" t="s">
        <v>28</v>
      </c>
      <c r="B390" t="s">
        <v>22</v>
      </c>
      <c r="C390" t="s">
        <v>15</v>
      </c>
      <c r="D390" t="s">
        <v>55</v>
      </c>
      <c r="E390" t="s">
        <v>56</v>
      </c>
      <c r="F390">
        <v>19140</v>
      </c>
      <c r="G390" t="s">
        <v>57</v>
      </c>
      <c r="H390" t="s">
        <v>19</v>
      </c>
      <c r="I390" t="s">
        <v>33</v>
      </c>
      <c r="J390">
        <v>2.96</v>
      </c>
      <c r="K390">
        <v>1</v>
      </c>
      <c r="L390">
        <v>0.2</v>
      </c>
      <c r="M390">
        <v>0.77700000000000002</v>
      </c>
    </row>
    <row r="391" spans="1:13" x14ac:dyDescent="0.3">
      <c r="A391" t="s">
        <v>62</v>
      </c>
      <c r="B391" t="s">
        <v>14</v>
      </c>
      <c r="C391" t="s">
        <v>15</v>
      </c>
      <c r="D391" t="s">
        <v>148</v>
      </c>
      <c r="E391" t="s">
        <v>104</v>
      </c>
      <c r="F391">
        <v>45231</v>
      </c>
      <c r="G391" t="s">
        <v>57</v>
      </c>
      <c r="H391" t="s">
        <v>26</v>
      </c>
      <c r="I391" t="s">
        <v>34</v>
      </c>
      <c r="J391">
        <v>2.6240000000000001</v>
      </c>
      <c r="K391">
        <v>1</v>
      </c>
      <c r="L391">
        <v>0.2</v>
      </c>
      <c r="M391">
        <v>0.4264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26</v>
      </c>
      <c r="I392" t="s">
        <v>37</v>
      </c>
      <c r="J392">
        <v>23.36</v>
      </c>
      <c r="K392">
        <v>4</v>
      </c>
      <c r="L392">
        <v>0.2</v>
      </c>
      <c r="M392">
        <v>7.8840000000000003</v>
      </c>
    </row>
    <row r="393" spans="1:13" x14ac:dyDescent="0.3">
      <c r="A393" t="s">
        <v>28</v>
      </c>
      <c r="B393" t="s">
        <v>14</v>
      </c>
      <c r="C393" t="s">
        <v>15</v>
      </c>
      <c r="D393" t="s">
        <v>75</v>
      </c>
      <c r="E393" t="s">
        <v>76</v>
      </c>
      <c r="F393">
        <v>10009</v>
      </c>
      <c r="G393" t="s">
        <v>57</v>
      </c>
      <c r="H393" t="s">
        <v>35</v>
      </c>
      <c r="I393" t="s">
        <v>59</v>
      </c>
      <c r="J393">
        <v>39.979999999999997</v>
      </c>
      <c r="K393">
        <v>2</v>
      </c>
      <c r="L393">
        <v>0</v>
      </c>
      <c r="M393">
        <v>13.5932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36</v>
      </c>
      <c r="J394">
        <v>246.38399999999999</v>
      </c>
      <c r="K394">
        <v>2</v>
      </c>
      <c r="L394">
        <v>0.2</v>
      </c>
      <c r="M394">
        <v>27.7182</v>
      </c>
    </row>
    <row r="395" spans="1:13" x14ac:dyDescent="0.3">
      <c r="A395" t="s">
        <v>13</v>
      </c>
      <c r="B395" t="s">
        <v>14</v>
      </c>
      <c r="C395" t="s">
        <v>15</v>
      </c>
      <c r="D395" t="s">
        <v>174</v>
      </c>
      <c r="E395" t="s">
        <v>43</v>
      </c>
      <c r="F395">
        <v>98198</v>
      </c>
      <c r="G395" t="s">
        <v>25</v>
      </c>
      <c r="H395" t="s">
        <v>35</v>
      </c>
      <c r="I395" t="s">
        <v>162</v>
      </c>
      <c r="J395">
        <v>1799.97</v>
      </c>
      <c r="K395">
        <v>3</v>
      </c>
      <c r="L395">
        <v>0</v>
      </c>
      <c r="M395">
        <v>701.98829999999998</v>
      </c>
    </row>
    <row r="396" spans="1:13" x14ac:dyDescent="0.3">
      <c r="A396" t="s">
        <v>13</v>
      </c>
      <c r="B396" t="s">
        <v>22</v>
      </c>
      <c r="C396" t="s">
        <v>15</v>
      </c>
      <c r="D396" t="s">
        <v>175</v>
      </c>
      <c r="E396" t="s">
        <v>65</v>
      </c>
      <c r="F396">
        <v>61604</v>
      </c>
      <c r="G396" t="s">
        <v>47</v>
      </c>
      <c r="H396" t="s">
        <v>26</v>
      </c>
      <c r="I396" t="s">
        <v>37</v>
      </c>
      <c r="J396">
        <v>12.462</v>
      </c>
      <c r="K396">
        <v>3</v>
      </c>
      <c r="L396">
        <v>0.8</v>
      </c>
      <c r="M396">
        <v>-20.5623</v>
      </c>
    </row>
    <row r="397" spans="1:13" x14ac:dyDescent="0.3">
      <c r="A397" t="s">
        <v>28</v>
      </c>
      <c r="B397" t="s">
        <v>44</v>
      </c>
      <c r="C397" t="s">
        <v>15</v>
      </c>
      <c r="D397" t="s">
        <v>176</v>
      </c>
      <c r="E397" t="s">
        <v>177</v>
      </c>
      <c r="F397">
        <v>89115</v>
      </c>
      <c r="G397" t="s">
        <v>25</v>
      </c>
      <c r="H397" t="s">
        <v>26</v>
      </c>
      <c r="I397" t="s">
        <v>37</v>
      </c>
      <c r="J397">
        <v>75.792000000000002</v>
      </c>
      <c r="K397">
        <v>3</v>
      </c>
      <c r="L397">
        <v>0.2</v>
      </c>
      <c r="M397">
        <v>25.579799999999999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32</v>
      </c>
      <c r="J398">
        <v>49.96</v>
      </c>
      <c r="K398">
        <v>2</v>
      </c>
      <c r="L398">
        <v>0</v>
      </c>
      <c r="M398">
        <v>9.4923999999999999</v>
      </c>
    </row>
    <row r="399" spans="1:13" x14ac:dyDescent="0.3">
      <c r="A399" t="s">
        <v>13</v>
      </c>
      <c r="B399" t="s">
        <v>22</v>
      </c>
      <c r="C399" t="s">
        <v>15</v>
      </c>
      <c r="D399" t="s">
        <v>178</v>
      </c>
      <c r="E399" t="s">
        <v>179</v>
      </c>
      <c r="F399">
        <v>2886</v>
      </c>
      <c r="G399" t="s">
        <v>57</v>
      </c>
      <c r="H399" t="s">
        <v>26</v>
      </c>
      <c r="I399" t="s">
        <v>41</v>
      </c>
      <c r="J399">
        <v>12.96</v>
      </c>
      <c r="K399">
        <v>2</v>
      </c>
      <c r="L399">
        <v>0</v>
      </c>
      <c r="M399">
        <v>6.2207999999999997</v>
      </c>
    </row>
    <row r="400" spans="1:13" x14ac:dyDescent="0.3">
      <c r="A400" t="s">
        <v>28</v>
      </c>
      <c r="B400" t="s">
        <v>44</v>
      </c>
      <c r="C400" t="s">
        <v>15</v>
      </c>
      <c r="D400" t="s">
        <v>84</v>
      </c>
      <c r="E400" t="s">
        <v>70</v>
      </c>
      <c r="F400">
        <v>49201</v>
      </c>
      <c r="G400" t="s">
        <v>47</v>
      </c>
      <c r="H400" t="s">
        <v>26</v>
      </c>
      <c r="I400" t="s">
        <v>110</v>
      </c>
      <c r="J400">
        <v>70.12</v>
      </c>
      <c r="K400">
        <v>4</v>
      </c>
      <c r="L400">
        <v>0</v>
      </c>
      <c r="M400">
        <v>21.036000000000001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26</v>
      </c>
      <c r="I401" t="s">
        <v>32</v>
      </c>
      <c r="J401">
        <v>35.951999999999998</v>
      </c>
      <c r="K401">
        <v>3</v>
      </c>
      <c r="L401">
        <v>0.2</v>
      </c>
      <c r="M401">
        <v>3.5952000000000002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19</v>
      </c>
      <c r="I402" t="s">
        <v>20</v>
      </c>
      <c r="J402">
        <v>2396.2656000000002</v>
      </c>
      <c r="K402">
        <v>4</v>
      </c>
      <c r="L402">
        <v>0.32</v>
      </c>
      <c r="M402">
        <v>-317.15280000000001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26</v>
      </c>
      <c r="I403" t="s">
        <v>32</v>
      </c>
      <c r="J403">
        <v>131.136</v>
      </c>
      <c r="K403">
        <v>4</v>
      </c>
      <c r="L403">
        <v>0.2</v>
      </c>
      <c r="M403">
        <v>-32.783999999999999</v>
      </c>
    </row>
    <row r="404" spans="1:13" x14ac:dyDescent="0.3">
      <c r="A404" t="s">
        <v>13</v>
      </c>
      <c r="B404" t="s">
        <v>14</v>
      </c>
      <c r="C404" t="s">
        <v>15</v>
      </c>
      <c r="D404" t="s">
        <v>61</v>
      </c>
      <c r="E404" t="s">
        <v>46</v>
      </c>
      <c r="F404">
        <v>77036</v>
      </c>
      <c r="G404" t="s">
        <v>47</v>
      </c>
      <c r="H404" t="s">
        <v>35</v>
      </c>
      <c r="I404" t="s">
        <v>59</v>
      </c>
      <c r="J404">
        <v>57.584000000000003</v>
      </c>
      <c r="K404">
        <v>2</v>
      </c>
      <c r="L404">
        <v>0.2</v>
      </c>
      <c r="M404">
        <v>0.7198</v>
      </c>
    </row>
    <row r="405" spans="1:13" x14ac:dyDescent="0.3">
      <c r="A405" t="s">
        <v>62</v>
      </c>
      <c r="B405" t="s">
        <v>14</v>
      </c>
      <c r="C405" t="s">
        <v>15</v>
      </c>
      <c r="D405" t="s">
        <v>180</v>
      </c>
      <c r="E405" t="s">
        <v>30</v>
      </c>
      <c r="F405">
        <v>33180</v>
      </c>
      <c r="G405" t="s">
        <v>18</v>
      </c>
      <c r="H405" t="s">
        <v>26</v>
      </c>
      <c r="I405" t="s">
        <v>41</v>
      </c>
      <c r="J405">
        <v>9.5679999999999996</v>
      </c>
      <c r="K405">
        <v>2</v>
      </c>
      <c r="L405">
        <v>0.2</v>
      </c>
      <c r="M405">
        <v>3.4683999999999999</v>
      </c>
    </row>
    <row r="406" spans="1:13" x14ac:dyDescent="0.3">
      <c r="A406" t="s">
        <v>28</v>
      </c>
      <c r="B406" t="s">
        <v>22</v>
      </c>
      <c r="C406" t="s">
        <v>15</v>
      </c>
      <c r="D406" t="s">
        <v>106</v>
      </c>
      <c r="E406" t="s">
        <v>40</v>
      </c>
      <c r="F406">
        <v>28403</v>
      </c>
      <c r="G406" t="s">
        <v>18</v>
      </c>
      <c r="H406" t="s">
        <v>26</v>
      </c>
      <c r="I406" t="s">
        <v>34</v>
      </c>
      <c r="J406">
        <v>39.072000000000003</v>
      </c>
      <c r="K406">
        <v>6</v>
      </c>
      <c r="L406">
        <v>0.2</v>
      </c>
      <c r="M406">
        <v>9.7680000000000007</v>
      </c>
    </row>
    <row r="407" spans="1:13" x14ac:dyDescent="0.3">
      <c r="A407" t="s">
        <v>28</v>
      </c>
      <c r="B407" t="s">
        <v>14</v>
      </c>
      <c r="C407" t="s">
        <v>15</v>
      </c>
      <c r="D407" t="s">
        <v>75</v>
      </c>
      <c r="E407" t="s">
        <v>76</v>
      </c>
      <c r="F407">
        <v>10024</v>
      </c>
      <c r="G407" t="s">
        <v>57</v>
      </c>
      <c r="H407" t="s">
        <v>26</v>
      </c>
      <c r="I407" t="s">
        <v>38</v>
      </c>
      <c r="J407">
        <v>35.909999999999997</v>
      </c>
      <c r="K407">
        <v>3</v>
      </c>
      <c r="L407">
        <v>0</v>
      </c>
      <c r="M407">
        <v>9.6957000000000004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59</v>
      </c>
      <c r="J408">
        <v>179.95</v>
      </c>
      <c r="K408">
        <v>5</v>
      </c>
      <c r="L408">
        <v>0</v>
      </c>
      <c r="M408">
        <v>37.789499999999997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35</v>
      </c>
      <c r="I409" t="s">
        <v>162</v>
      </c>
      <c r="J409">
        <v>1199.9760000000001</v>
      </c>
      <c r="K409">
        <v>3</v>
      </c>
      <c r="L409">
        <v>0.2</v>
      </c>
      <c r="M409">
        <v>434.99130000000002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26</v>
      </c>
      <c r="I410" t="s">
        <v>41</v>
      </c>
      <c r="J410">
        <v>27.15</v>
      </c>
      <c r="K410">
        <v>5</v>
      </c>
      <c r="L410">
        <v>0</v>
      </c>
      <c r="M410">
        <v>13.3035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19</v>
      </c>
      <c r="I411" t="s">
        <v>31</v>
      </c>
      <c r="J411">
        <v>1004.024</v>
      </c>
      <c r="K411">
        <v>7</v>
      </c>
      <c r="L411">
        <v>0.2</v>
      </c>
      <c r="M411">
        <v>-112.95269999999999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41</v>
      </c>
      <c r="J412">
        <v>9.68</v>
      </c>
      <c r="K412">
        <v>1</v>
      </c>
      <c r="L412">
        <v>0</v>
      </c>
      <c r="M412">
        <v>4.6463999999999999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27</v>
      </c>
      <c r="J413">
        <v>28.35</v>
      </c>
      <c r="K413">
        <v>9</v>
      </c>
      <c r="L413">
        <v>0</v>
      </c>
      <c r="M413">
        <v>13.608000000000001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26</v>
      </c>
      <c r="I414" t="s">
        <v>41</v>
      </c>
      <c r="J414">
        <v>55.98</v>
      </c>
      <c r="K414">
        <v>1</v>
      </c>
      <c r="L414">
        <v>0</v>
      </c>
      <c r="M414">
        <v>27.430199999999999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20</v>
      </c>
      <c r="J415">
        <v>1336.829</v>
      </c>
      <c r="K415">
        <v>13</v>
      </c>
      <c r="L415">
        <v>0.15</v>
      </c>
      <c r="M415">
        <v>31.454799999999999</v>
      </c>
    </row>
    <row r="416" spans="1:13" x14ac:dyDescent="0.3">
      <c r="A416" t="s">
        <v>28</v>
      </c>
      <c r="B416" t="s">
        <v>14</v>
      </c>
      <c r="C416" t="s">
        <v>15</v>
      </c>
      <c r="D416" t="s">
        <v>52</v>
      </c>
      <c r="E416" t="s">
        <v>24</v>
      </c>
      <c r="F416">
        <v>94110</v>
      </c>
      <c r="G416" t="s">
        <v>25</v>
      </c>
      <c r="H416" t="s">
        <v>19</v>
      </c>
      <c r="I416" t="s">
        <v>21</v>
      </c>
      <c r="J416">
        <v>113.568</v>
      </c>
      <c r="K416">
        <v>2</v>
      </c>
      <c r="L416">
        <v>0.2</v>
      </c>
      <c r="M416">
        <v>-18.454799999999999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26</v>
      </c>
      <c r="I417" t="s">
        <v>41</v>
      </c>
      <c r="J417">
        <v>139.86000000000001</v>
      </c>
      <c r="K417">
        <v>7</v>
      </c>
      <c r="L417">
        <v>0</v>
      </c>
      <c r="M417">
        <v>65.734200000000001</v>
      </c>
    </row>
    <row r="418" spans="1:13" x14ac:dyDescent="0.3">
      <c r="A418" t="s">
        <v>28</v>
      </c>
      <c r="B418" t="s">
        <v>22</v>
      </c>
      <c r="C418" t="s">
        <v>15</v>
      </c>
      <c r="D418" t="s">
        <v>42</v>
      </c>
      <c r="E418" t="s">
        <v>43</v>
      </c>
      <c r="F418">
        <v>98105</v>
      </c>
      <c r="G418" t="s">
        <v>25</v>
      </c>
      <c r="H418" t="s">
        <v>19</v>
      </c>
      <c r="I418" t="s">
        <v>21</v>
      </c>
      <c r="J418">
        <v>307.13600000000002</v>
      </c>
      <c r="K418">
        <v>4</v>
      </c>
      <c r="L418">
        <v>0.2</v>
      </c>
      <c r="M418">
        <v>26.874400000000001</v>
      </c>
    </row>
    <row r="419" spans="1:13" x14ac:dyDescent="0.3">
      <c r="A419" t="s">
        <v>28</v>
      </c>
      <c r="B419" t="s">
        <v>14</v>
      </c>
      <c r="C419" t="s">
        <v>15</v>
      </c>
      <c r="D419" t="s">
        <v>181</v>
      </c>
      <c r="E419" t="s">
        <v>24</v>
      </c>
      <c r="F419">
        <v>92646</v>
      </c>
      <c r="G419" t="s">
        <v>25</v>
      </c>
      <c r="H419" t="s">
        <v>26</v>
      </c>
      <c r="I419" t="s">
        <v>34</v>
      </c>
      <c r="J419">
        <v>95.92</v>
      </c>
      <c r="K419">
        <v>8</v>
      </c>
      <c r="L419">
        <v>0</v>
      </c>
      <c r="M419">
        <v>25.898399999999999</v>
      </c>
    </row>
    <row r="420" spans="1:13" x14ac:dyDescent="0.3">
      <c r="A420" t="s">
        <v>28</v>
      </c>
      <c r="B420" t="s">
        <v>14</v>
      </c>
      <c r="C420" t="s">
        <v>15</v>
      </c>
      <c r="D420" t="s">
        <v>23</v>
      </c>
      <c r="E420" t="s">
        <v>24</v>
      </c>
      <c r="F420">
        <v>90004</v>
      </c>
      <c r="G420" t="s">
        <v>25</v>
      </c>
      <c r="H420" t="s">
        <v>19</v>
      </c>
      <c r="I420" t="s">
        <v>21</v>
      </c>
      <c r="J420">
        <v>383.8</v>
      </c>
      <c r="K420">
        <v>5</v>
      </c>
      <c r="L420">
        <v>0.2</v>
      </c>
      <c r="M420">
        <v>38.380000000000003</v>
      </c>
    </row>
    <row r="421" spans="1:13" x14ac:dyDescent="0.3">
      <c r="A421" t="s">
        <v>28</v>
      </c>
      <c r="B421" t="s">
        <v>22</v>
      </c>
      <c r="C421" t="s">
        <v>15</v>
      </c>
      <c r="D421" t="s">
        <v>182</v>
      </c>
      <c r="E421" t="s">
        <v>17</v>
      </c>
      <c r="F421">
        <v>40475</v>
      </c>
      <c r="G421" t="s">
        <v>18</v>
      </c>
      <c r="H421" t="s">
        <v>26</v>
      </c>
      <c r="I421" t="s">
        <v>41</v>
      </c>
      <c r="J421">
        <v>5.78</v>
      </c>
      <c r="K421">
        <v>1</v>
      </c>
      <c r="L421">
        <v>0</v>
      </c>
      <c r="M421">
        <v>2.8321999999999998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34</v>
      </c>
      <c r="J422">
        <v>9.32</v>
      </c>
      <c r="K422">
        <v>4</v>
      </c>
      <c r="L422">
        <v>0</v>
      </c>
      <c r="M422">
        <v>2.7027999999999999</v>
      </c>
    </row>
    <row r="423" spans="1:13" x14ac:dyDescent="0.3">
      <c r="A423" t="s">
        <v>28</v>
      </c>
      <c r="B423" t="s">
        <v>22</v>
      </c>
      <c r="C423" t="s">
        <v>15</v>
      </c>
      <c r="D423" t="s">
        <v>23</v>
      </c>
      <c r="E423" t="s">
        <v>24</v>
      </c>
      <c r="F423">
        <v>90045</v>
      </c>
      <c r="G423" t="s">
        <v>25</v>
      </c>
      <c r="H423" t="s">
        <v>26</v>
      </c>
      <c r="I423" t="s">
        <v>60</v>
      </c>
      <c r="J423">
        <v>15.25</v>
      </c>
      <c r="K423">
        <v>1</v>
      </c>
      <c r="L423">
        <v>0</v>
      </c>
      <c r="M423">
        <v>7.0149999999999997</v>
      </c>
    </row>
    <row r="424" spans="1:13" x14ac:dyDescent="0.3">
      <c r="A424" t="s">
        <v>62</v>
      </c>
      <c r="B424" t="s">
        <v>14</v>
      </c>
      <c r="C424" t="s">
        <v>15</v>
      </c>
      <c r="D424" t="s">
        <v>183</v>
      </c>
      <c r="E424" t="s">
        <v>98</v>
      </c>
      <c r="F424">
        <v>80027</v>
      </c>
      <c r="G424" t="s">
        <v>25</v>
      </c>
      <c r="H424" t="s">
        <v>35</v>
      </c>
      <c r="I424" t="s">
        <v>59</v>
      </c>
      <c r="J424">
        <v>196.75200000000001</v>
      </c>
      <c r="K424">
        <v>6</v>
      </c>
      <c r="L424">
        <v>0.2</v>
      </c>
      <c r="M424">
        <v>56.566200000000002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19</v>
      </c>
      <c r="I425" t="s">
        <v>33</v>
      </c>
      <c r="J425">
        <v>56.56</v>
      </c>
      <c r="K425">
        <v>4</v>
      </c>
      <c r="L425">
        <v>0</v>
      </c>
      <c r="M425">
        <v>14.7056</v>
      </c>
    </row>
    <row r="426" spans="1:13" x14ac:dyDescent="0.3">
      <c r="A426" t="s">
        <v>28</v>
      </c>
      <c r="B426" t="s">
        <v>22</v>
      </c>
      <c r="C426" t="s">
        <v>15</v>
      </c>
      <c r="D426" t="s">
        <v>184</v>
      </c>
      <c r="E426" t="s">
        <v>166</v>
      </c>
      <c r="F426">
        <v>1841</v>
      </c>
      <c r="G426" t="s">
        <v>57</v>
      </c>
      <c r="H426" t="s">
        <v>26</v>
      </c>
      <c r="I426" t="s">
        <v>32</v>
      </c>
      <c r="J426">
        <v>32.700000000000003</v>
      </c>
      <c r="K426">
        <v>3</v>
      </c>
      <c r="L426">
        <v>0</v>
      </c>
      <c r="M426">
        <v>8.5020000000000007</v>
      </c>
    </row>
    <row r="427" spans="1:13" x14ac:dyDescent="0.3">
      <c r="A427" t="s">
        <v>13</v>
      </c>
      <c r="B427" t="s">
        <v>14</v>
      </c>
      <c r="C427" t="s">
        <v>15</v>
      </c>
      <c r="D427" t="s">
        <v>84</v>
      </c>
      <c r="E427" t="s">
        <v>185</v>
      </c>
      <c r="F427">
        <v>39212</v>
      </c>
      <c r="G427" t="s">
        <v>18</v>
      </c>
      <c r="H427" t="s">
        <v>19</v>
      </c>
      <c r="I427" t="s">
        <v>21</v>
      </c>
      <c r="J427">
        <v>866.4</v>
      </c>
      <c r="K427">
        <v>4</v>
      </c>
      <c r="L427">
        <v>0</v>
      </c>
      <c r="M427">
        <v>225.26400000000001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19</v>
      </c>
      <c r="I428" t="s">
        <v>33</v>
      </c>
      <c r="J428">
        <v>28.4</v>
      </c>
      <c r="K428">
        <v>2</v>
      </c>
      <c r="L428">
        <v>0</v>
      </c>
      <c r="M428">
        <v>11.076000000000001</v>
      </c>
    </row>
    <row r="429" spans="1:13" x14ac:dyDescent="0.3">
      <c r="A429" t="s">
        <v>13</v>
      </c>
      <c r="B429" t="s">
        <v>22</v>
      </c>
      <c r="C429" t="s">
        <v>15</v>
      </c>
      <c r="D429" t="s">
        <v>186</v>
      </c>
      <c r="E429" t="s">
        <v>70</v>
      </c>
      <c r="F429">
        <v>48187</v>
      </c>
      <c r="G429" t="s">
        <v>47</v>
      </c>
      <c r="H429" t="s">
        <v>26</v>
      </c>
      <c r="I429" t="s">
        <v>37</v>
      </c>
      <c r="J429">
        <v>287.92</v>
      </c>
      <c r="K429">
        <v>8</v>
      </c>
      <c r="L429">
        <v>0</v>
      </c>
      <c r="M429">
        <v>138.20160000000001</v>
      </c>
    </row>
    <row r="430" spans="1:13" x14ac:dyDescent="0.3">
      <c r="A430" t="s">
        <v>62</v>
      </c>
      <c r="B430" t="s">
        <v>44</v>
      </c>
      <c r="C430" t="s">
        <v>15</v>
      </c>
      <c r="D430" t="s">
        <v>187</v>
      </c>
      <c r="E430" t="s">
        <v>76</v>
      </c>
      <c r="F430">
        <v>10801</v>
      </c>
      <c r="G430" t="s">
        <v>57</v>
      </c>
      <c r="H430" t="s">
        <v>35</v>
      </c>
      <c r="I430" t="s">
        <v>123</v>
      </c>
      <c r="J430">
        <v>69.989999999999995</v>
      </c>
      <c r="K430">
        <v>1</v>
      </c>
      <c r="L430">
        <v>0</v>
      </c>
      <c r="M430">
        <v>30.095700000000001</v>
      </c>
    </row>
    <row r="431" spans="1:13" x14ac:dyDescent="0.3">
      <c r="A431" t="s">
        <v>28</v>
      </c>
      <c r="B431" t="s">
        <v>22</v>
      </c>
      <c r="C431" t="s">
        <v>15</v>
      </c>
      <c r="D431" t="s">
        <v>122</v>
      </c>
      <c r="E431" t="s">
        <v>46</v>
      </c>
      <c r="F431">
        <v>78207</v>
      </c>
      <c r="G431" t="s">
        <v>47</v>
      </c>
      <c r="H431" t="s">
        <v>26</v>
      </c>
      <c r="I431" t="s">
        <v>34</v>
      </c>
      <c r="J431">
        <v>6.6719999999999997</v>
      </c>
      <c r="K431">
        <v>6</v>
      </c>
      <c r="L431">
        <v>0.2</v>
      </c>
      <c r="M431">
        <v>0.50039999999999996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26</v>
      </c>
      <c r="I432" t="s">
        <v>37</v>
      </c>
      <c r="J432">
        <v>189.58799999999999</v>
      </c>
      <c r="K432">
        <v>2</v>
      </c>
      <c r="L432">
        <v>0.7</v>
      </c>
      <c r="M432">
        <v>-145.35079999999999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408.74400000000003</v>
      </c>
      <c r="K433">
        <v>7</v>
      </c>
      <c r="L433">
        <v>0.2</v>
      </c>
      <c r="M433">
        <v>76.639499999999998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35</v>
      </c>
      <c r="I434" t="s">
        <v>59</v>
      </c>
      <c r="J434">
        <v>291.95999999999998</v>
      </c>
      <c r="K434">
        <v>5</v>
      </c>
      <c r="L434">
        <v>0.2</v>
      </c>
      <c r="M434">
        <v>54.7425</v>
      </c>
    </row>
    <row r="435" spans="1:13" x14ac:dyDescent="0.3">
      <c r="A435" t="s">
        <v>28</v>
      </c>
      <c r="B435" t="s">
        <v>44</v>
      </c>
      <c r="C435" t="s">
        <v>15</v>
      </c>
      <c r="D435" t="s">
        <v>188</v>
      </c>
      <c r="E435" t="s">
        <v>40</v>
      </c>
      <c r="F435">
        <v>28052</v>
      </c>
      <c r="G435" t="s">
        <v>18</v>
      </c>
      <c r="H435" t="s">
        <v>26</v>
      </c>
      <c r="I435" t="s">
        <v>32</v>
      </c>
      <c r="J435">
        <v>4.7679999999999998</v>
      </c>
      <c r="K435">
        <v>2</v>
      </c>
      <c r="L435">
        <v>0.2</v>
      </c>
      <c r="M435">
        <v>-0.77480000000000004</v>
      </c>
    </row>
    <row r="436" spans="1:13" x14ac:dyDescent="0.3">
      <c r="A436" t="s">
        <v>62</v>
      </c>
      <c r="B436" t="s">
        <v>14</v>
      </c>
      <c r="C436" t="s">
        <v>15</v>
      </c>
      <c r="D436" t="s">
        <v>165</v>
      </c>
      <c r="E436" t="s">
        <v>166</v>
      </c>
      <c r="F436">
        <v>1852</v>
      </c>
      <c r="G436" t="s">
        <v>57</v>
      </c>
      <c r="H436" t="s">
        <v>26</v>
      </c>
      <c r="I436" t="s">
        <v>32</v>
      </c>
      <c r="J436">
        <v>714.3</v>
      </c>
      <c r="K436">
        <v>5</v>
      </c>
      <c r="L436">
        <v>0</v>
      </c>
      <c r="M436">
        <v>207.14699999999999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26</v>
      </c>
      <c r="I437" t="s">
        <v>37</v>
      </c>
      <c r="J437">
        <v>4.8120000000000003</v>
      </c>
      <c r="K437">
        <v>2</v>
      </c>
      <c r="L437">
        <v>0.7</v>
      </c>
      <c r="M437">
        <v>-3.6892</v>
      </c>
    </row>
    <row r="438" spans="1:13" x14ac:dyDescent="0.3">
      <c r="A438" t="s">
        <v>28</v>
      </c>
      <c r="B438" t="s">
        <v>14</v>
      </c>
      <c r="C438" t="s">
        <v>15</v>
      </c>
      <c r="D438" t="s">
        <v>189</v>
      </c>
      <c r="E438" t="s">
        <v>30</v>
      </c>
      <c r="F438">
        <v>32216</v>
      </c>
      <c r="G438" t="s">
        <v>18</v>
      </c>
      <c r="H438" t="s">
        <v>35</v>
      </c>
      <c r="I438" t="s">
        <v>59</v>
      </c>
      <c r="J438">
        <v>247.8</v>
      </c>
      <c r="K438">
        <v>5</v>
      </c>
      <c r="L438">
        <v>0.2</v>
      </c>
      <c r="M438">
        <v>-18.585000000000001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35</v>
      </c>
      <c r="I439" t="s">
        <v>123</v>
      </c>
      <c r="J439">
        <v>1007.979</v>
      </c>
      <c r="K439">
        <v>3</v>
      </c>
      <c r="L439">
        <v>0.3</v>
      </c>
      <c r="M439">
        <v>43.199100000000001</v>
      </c>
    </row>
    <row r="440" spans="1:13" x14ac:dyDescent="0.3">
      <c r="A440" t="s">
        <v>13</v>
      </c>
      <c r="B440" t="s">
        <v>44</v>
      </c>
      <c r="C440" t="s">
        <v>15</v>
      </c>
      <c r="D440" t="s">
        <v>79</v>
      </c>
      <c r="E440" t="s">
        <v>65</v>
      </c>
      <c r="F440">
        <v>60623</v>
      </c>
      <c r="G440" t="s">
        <v>47</v>
      </c>
      <c r="H440" t="s">
        <v>26</v>
      </c>
      <c r="I440" t="s">
        <v>41</v>
      </c>
      <c r="J440">
        <v>313.488</v>
      </c>
      <c r="K440">
        <v>7</v>
      </c>
      <c r="L440">
        <v>0.2</v>
      </c>
      <c r="M440">
        <v>113.63939999999999</v>
      </c>
    </row>
    <row r="441" spans="1:13" x14ac:dyDescent="0.3">
      <c r="A441" t="s">
        <v>28</v>
      </c>
      <c r="B441" t="s">
        <v>22</v>
      </c>
      <c r="C441" t="s">
        <v>15</v>
      </c>
      <c r="D441" t="s">
        <v>61</v>
      </c>
      <c r="E441" t="s">
        <v>46</v>
      </c>
      <c r="F441">
        <v>77070</v>
      </c>
      <c r="G441" t="s">
        <v>47</v>
      </c>
      <c r="H441" t="s">
        <v>26</v>
      </c>
      <c r="I441" t="s">
        <v>41</v>
      </c>
      <c r="J441">
        <v>31.872</v>
      </c>
      <c r="K441">
        <v>8</v>
      </c>
      <c r="L441">
        <v>0.2</v>
      </c>
      <c r="M441">
        <v>11.553599999999999</v>
      </c>
    </row>
    <row r="442" spans="1:13" x14ac:dyDescent="0.3">
      <c r="A442" t="s">
        <v>13</v>
      </c>
      <c r="B442" t="s">
        <v>22</v>
      </c>
      <c r="C442" t="s">
        <v>15</v>
      </c>
      <c r="D442" t="s">
        <v>75</v>
      </c>
      <c r="E442" t="s">
        <v>76</v>
      </c>
      <c r="F442">
        <v>10024</v>
      </c>
      <c r="G442" t="s">
        <v>57</v>
      </c>
      <c r="H442" t="s">
        <v>19</v>
      </c>
      <c r="I442" t="s">
        <v>21</v>
      </c>
      <c r="J442">
        <v>207.846</v>
      </c>
      <c r="K442">
        <v>3</v>
      </c>
      <c r="L442">
        <v>0.1</v>
      </c>
      <c r="M442">
        <v>2.3094000000000001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19</v>
      </c>
      <c r="I443" t="s">
        <v>33</v>
      </c>
      <c r="J443">
        <v>12.22</v>
      </c>
      <c r="K443">
        <v>1</v>
      </c>
      <c r="L443">
        <v>0</v>
      </c>
      <c r="M443">
        <v>3.6659999999999999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194.94</v>
      </c>
      <c r="K444">
        <v>3</v>
      </c>
      <c r="L444">
        <v>0</v>
      </c>
      <c r="M444">
        <v>23.392800000000001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32</v>
      </c>
      <c r="J445">
        <v>70.95</v>
      </c>
      <c r="K445">
        <v>3</v>
      </c>
      <c r="L445">
        <v>0</v>
      </c>
      <c r="M445">
        <v>20.575500000000002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26</v>
      </c>
      <c r="I446" t="s">
        <v>41</v>
      </c>
      <c r="J446">
        <v>91.36</v>
      </c>
      <c r="K446">
        <v>4</v>
      </c>
      <c r="L446">
        <v>0</v>
      </c>
      <c r="M446">
        <v>42.025599999999997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19</v>
      </c>
      <c r="I447" t="s">
        <v>21</v>
      </c>
      <c r="J447">
        <v>242.94</v>
      </c>
      <c r="K447">
        <v>3</v>
      </c>
      <c r="L447">
        <v>0</v>
      </c>
      <c r="M447">
        <v>29.152799999999999</v>
      </c>
    </row>
    <row r="448" spans="1:13" x14ac:dyDescent="0.3">
      <c r="A448" t="s">
        <v>13</v>
      </c>
      <c r="B448" t="s">
        <v>14</v>
      </c>
      <c r="C448" t="s">
        <v>15</v>
      </c>
      <c r="D448" t="s">
        <v>140</v>
      </c>
      <c r="E448" t="s">
        <v>70</v>
      </c>
      <c r="F448">
        <v>48227</v>
      </c>
      <c r="G448" t="s">
        <v>47</v>
      </c>
      <c r="H448" t="s">
        <v>26</v>
      </c>
      <c r="I448" t="s">
        <v>27</v>
      </c>
      <c r="J448">
        <v>22.05</v>
      </c>
      <c r="K448">
        <v>7</v>
      </c>
      <c r="L448">
        <v>0</v>
      </c>
      <c r="M448">
        <v>10.584</v>
      </c>
    </row>
    <row r="449" spans="1:13" x14ac:dyDescent="0.3">
      <c r="A449" t="s">
        <v>13</v>
      </c>
      <c r="B449" t="s">
        <v>14</v>
      </c>
      <c r="C449" t="s">
        <v>15</v>
      </c>
      <c r="D449" t="s">
        <v>103</v>
      </c>
      <c r="E449" t="s">
        <v>74</v>
      </c>
      <c r="F449">
        <v>47201</v>
      </c>
      <c r="G449" t="s">
        <v>47</v>
      </c>
      <c r="H449" t="s">
        <v>19</v>
      </c>
      <c r="I449" t="s">
        <v>33</v>
      </c>
      <c r="J449">
        <v>2.91</v>
      </c>
      <c r="K449">
        <v>1</v>
      </c>
      <c r="L449">
        <v>0</v>
      </c>
      <c r="M449">
        <v>1.3676999999999999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34</v>
      </c>
      <c r="J450">
        <v>59.52</v>
      </c>
      <c r="K450">
        <v>3</v>
      </c>
      <c r="L450">
        <v>0</v>
      </c>
      <c r="M450">
        <v>15.475199999999999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32</v>
      </c>
      <c r="J451">
        <v>161.94</v>
      </c>
      <c r="K451">
        <v>3</v>
      </c>
      <c r="L451">
        <v>0</v>
      </c>
      <c r="M451">
        <v>9.7164000000000001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263.88</v>
      </c>
      <c r="K452">
        <v>6</v>
      </c>
      <c r="L452">
        <v>0</v>
      </c>
      <c r="M452">
        <v>71.247600000000006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30.48</v>
      </c>
      <c r="K453">
        <v>3</v>
      </c>
      <c r="L453">
        <v>0</v>
      </c>
      <c r="M453">
        <v>7.9248000000000003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26</v>
      </c>
      <c r="I454" t="s">
        <v>34</v>
      </c>
      <c r="J454">
        <v>9.84</v>
      </c>
      <c r="K454">
        <v>3</v>
      </c>
      <c r="L454">
        <v>0</v>
      </c>
      <c r="M454">
        <v>2.8536000000000001</v>
      </c>
    </row>
    <row r="455" spans="1:13" x14ac:dyDescent="0.3">
      <c r="A455" t="s">
        <v>13</v>
      </c>
      <c r="B455" t="s">
        <v>14</v>
      </c>
      <c r="C455" t="s">
        <v>15</v>
      </c>
      <c r="D455" t="s">
        <v>190</v>
      </c>
      <c r="E455" t="s">
        <v>76</v>
      </c>
      <c r="F455">
        <v>13021</v>
      </c>
      <c r="G455" t="s">
        <v>57</v>
      </c>
      <c r="H455" t="s">
        <v>35</v>
      </c>
      <c r="I455" t="s">
        <v>36</v>
      </c>
      <c r="J455">
        <v>35.119999999999997</v>
      </c>
      <c r="K455">
        <v>4</v>
      </c>
      <c r="L455">
        <v>0</v>
      </c>
      <c r="M455">
        <v>9.1311999999999998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19</v>
      </c>
      <c r="I456" t="s">
        <v>31</v>
      </c>
      <c r="J456">
        <v>284.36399999999998</v>
      </c>
      <c r="K456">
        <v>2</v>
      </c>
      <c r="L456">
        <v>0.4</v>
      </c>
      <c r="M456">
        <v>-75.830399999999997</v>
      </c>
    </row>
    <row r="457" spans="1:13" x14ac:dyDescent="0.3">
      <c r="A457" t="s">
        <v>28</v>
      </c>
      <c r="B457" t="s">
        <v>22</v>
      </c>
      <c r="C457" t="s">
        <v>15</v>
      </c>
      <c r="D457" t="s">
        <v>133</v>
      </c>
      <c r="E457" t="s">
        <v>104</v>
      </c>
      <c r="F457">
        <v>44312</v>
      </c>
      <c r="G457" t="s">
        <v>57</v>
      </c>
      <c r="H457" t="s">
        <v>26</v>
      </c>
      <c r="I457" t="s">
        <v>32</v>
      </c>
      <c r="J457">
        <v>665.40800000000002</v>
      </c>
      <c r="K457">
        <v>2</v>
      </c>
      <c r="L457">
        <v>0.2</v>
      </c>
      <c r="M457">
        <v>66.540800000000004</v>
      </c>
    </row>
    <row r="458" spans="1:13" x14ac:dyDescent="0.3">
      <c r="A458" t="s">
        <v>28</v>
      </c>
      <c r="B458" t="s">
        <v>22</v>
      </c>
      <c r="C458" t="s">
        <v>15</v>
      </c>
      <c r="D458" t="s">
        <v>191</v>
      </c>
      <c r="E458" t="s">
        <v>119</v>
      </c>
      <c r="F458">
        <v>73071</v>
      </c>
      <c r="G458" t="s">
        <v>47</v>
      </c>
      <c r="H458" t="s">
        <v>35</v>
      </c>
      <c r="I458" t="s">
        <v>59</v>
      </c>
      <c r="J458">
        <v>63.88</v>
      </c>
      <c r="K458">
        <v>4</v>
      </c>
      <c r="L458">
        <v>0</v>
      </c>
      <c r="M458">
        <v>24.9132</v>
      </c>
    </row>
    <row r="459" spans="1:13" x14ac:dyDescent="0.3">
      <c r="A459" t="s">
        <v>28</v>
      </c>
      <c r="B459" t="s">
        <v>14</v>
      </c>
      <c r="C459" t="s">
        <v>15</v>
      </c>
      <c r="D459" t="s">
        <v>39</v>
      </c>
      <c r="E459" t="s">
        <v>24</v>
      </c>
      <c r="F459">
        <v>94521</v>
      </c>
      <c r="G459" t="s">
        <v>25</v>
      </c>
      <c r="H459" t="s">
        <v>19</v>
      </c>
      <c r="I459" t="s">
        <v>21</v>
      </c>
      <c r="J459">
        <v>129.56800000000001</v>
      </c>
      <c r="K459">
        <v>2</v>
      </c>
      <c r="L459">
        <v>0.2</v>
      </c>
      <c r="M459">
        <v>-24.294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19</v>
      </c>
      <c r="I460" t="s">
        <v>21</v>
      </c>
      <c r="J460">
        <v>747.55799999999999</v>
      </c>
      <c r="K460">
        <v>3</v>
      </c>
      <c r="L460">
        <v>0.3</v>
      </c>
      <c r="M460">
        <v>-96.114599999999996</v>
      </c>
    </row>
    <row r="461" spans="1:13" x14ac:dyDescent="0.3">
      <c r="A461" t="s">
        <v>28</v>
      </c>
      <c r="B461" t="s">
        <v>14</v>
      </c>
      <c r="C461" t="s">
        <v>15</v>
      </c>
      <c r="D461" t="s">
        <v>87</v>
      </c>
      <c r="E461" t="s">
        <v>65</v>
      </c>
      <c r="F461">
        <v>62521</v>
      </c>
      <c r="G461" t="s">
        <v>47</v>
      </c>
      <c r="H461" t="s">
        <v>26</v>
      </c>
      <c r="I461" t="s">
        <v>60</v>
      </c>
      <c r="J461">
        <v>8.9280000000000008</v>
      </c>
      <c r="K461">
        <v>2</v>
      </c>
      <c r="L461">
        <v>0.2</v>
      </c>
      <c r="M461">
        <v>3.3479999999999999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26</v>
      </c>
      <c r="I462" t="s">
        <v>38</v>
      </c>
      <c r="J462">
        <v>103.92</v>
      </c>
      <c r="K462">
        <v>4</v>
      </c>
      <c r="L462">
        <v>0</v>
      </c>
      <c r="M462">
        <v>36.372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35</v>
      </c>
      <c r="I463" t="s">
        <v>59</v>
      </c>
      <c r="J463">
        <v>899.91</v>
      </c>
      <c r="K463">
        <v>9</v>
      </c>
      <c r="L463">
        <v>0</v>
      </c>
      <c r="M463">
        <v>377.9622</v>
      </c>
    </row>
    <row r="464" spans="1:13" x14ac:dyDescent="0.3">
      <c r="A464" t="s">
        <v>28</v>
      </c>
      <c r="B464" t="s">
        <v>14</v>
      </c>
      <c r="C464" t="s">
        <v>15</v>
      </c>
      <c r="D464" t="s">
        <v>42</v>
      </c>
      <c r="E464" t="s">
        <v>43</v>
      </c>
      <c r="F464">
        <v>98115</v>
      </c>
      <c r="G464" t="s">
        <v>25</v>
      </c>
      <c r="H464" t="s">
        <v>26</v>
      </c>
      <c r="I464" t="s">
        <v>37</v>
      </c>
      <c r="J464">
        <v>51.311999999999998</v>
      </c>
      <c r="K464">
        <v>3</v>
      </c>
      <c r="L464">
        <v>0.2</v>
      </c>
      <c r="M464">
        <v>18.6006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33</v>
      </c>
      <c r="J465">
        <v>23.56</v>
      </c>
      <c r="K465">
        <v>5</v>
      </c>
      <c r="L465">
        <v>0.2</v>
      </c>
      <c r="M465">
        <v>7.0679999999999996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19</v>
      </c>
      <c r="I466" t="s">
        <v>31</v>
      </c>
      <c r="J466">
        <v>1272.6300000000001</v>
      </c>
      <c r="K466">
        <v>6</v>
      </c>
      <c r="L466">
        <v>0.5</v>
      </c>
      <c r="M466">
        <v>-814.48320000000001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37</v>
      </c>
      <c r="J467">
        <v>28.484999999999999</v>
      </c>
      <c r="K467">
        <v>5</v>
      </c>
      <c r="L467">
        <v>0.7</v>
      </c>
      <c r="M467">
        <v>-20.888999999999999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110</v>
      </c>
      <c r="J468">
        <v>185.376</v>
      </c>
      <c r="K468">
        <v>2</v>
      </c>
      <c r="L468">
        <v>0.2</v>
      </c>
      <c r="M468">
        <v>-34.758000000000003</v>
      </c>
    </row>
    <row r="469" spans="1:13" x14ac:dyDescent="0.3">
      <c r="A469" t="s">
        <v>28</v>
      </c>
      <c r="B469" t="s">
        <v>44</v>
      </c>
      <c r="C469" t="s">
        <v>15</v>
      </c>
      <c r="D469" t="s">
        <v>108</v>
      </c>
      <c r="E469" t="s">
        <v>81</v>
      </c>
      <c r="F469">
        <v>85023</v>
      </c>
      <c r="G469" t="s">
        <v>25</v>
      </c>
      <c r="H469" t="s">
        <v>26</v>
      </c>
      <c r="I469" t="s">
        <v>38</v>
      </c>
      <c r="J469">
        <v>78.272000000000006</v>
      </c>
      <c r="K469">
        <v>2</v>
      </c>
      <c r="L469">
        <v>0.2</v>
      </c>
      <c r="M469">
        <v>5.8704000000000001</v>
      </c>
    </row>
    <row r="470" spans="1:13" x14ac:dyDescent="0.3">
      <c r="A470" t="s">
        <v>28</v>
      </c>
      <c r="B470" t="s">
        <v>44</v>
      </c>
      <c r="C470" t="s">
        <v>15</v>
      </c>
      <c r="D470" t="s">
        <v>192</v>
      </c>
      <c r="E470" t="s">
        <v>65</v>
      </c>
      <c r="F470">
        <v>60068</v>
      </c>
      <c r="G470" t="s">
        <v>47</v>
      </c>
      <c r="H470" t="s">
        <v>19</v>
      </c>
      <c r="I470" t="s">
        <v>33</v>
      </c>
      <c r="J470">
        <v>254.744</v>
      </c>
      <c r="K470">
        <v>7</v>
      </c>
      <c r="L470">
        <v>0.6</v>
      </c>
      <c r="M470">
        <v>-312.06139999999999</v>
      </c>
    </row>
    <row r="471" spans="1:13" x14ac:dyDescent="0.3">
      <c r="A471" t="s">
        <v>28</v>
      </c>
      <c r="B471" t="s">
        <v>22</v>
      </c>
      <c r="C471" t="s">
        <v>15</v>
      </c>
      <c r="D471" t="s">
        <v>193</v>
      </c>
      <c r="E471" t="s">
        <v>46</v>
      </c>
      <c r="F471">
        <v>79109</v>
      </c>
      <c r="G471" t="s">
        <v>47</v>
      </c>
      <c r="H471" t="s">
        <v>19</v>
      </c>
      <c r="I471" t="s">
        <v>20</v>
      </c>
      <c r="J471">
        <v>205.33279999999999</v>
      </c>
      <c r="K471">
        <v>2</v>
      </c>
      <c r="L471">
        <v>0.32</v>
      </c>
      <c r="M471">
        <v>-36.235199999999999</v>
      </c>
    </row>
    <row r="472" spans="1:13" x14ac:dyDescent="0.3">
      <c r="A472" t="s">
        <v>13</v>
      </c>
      <c r="B472" t="s">
        <v>14</v>
      </c>
      <c r="C472" t="s">
        <v>15</v>
      </c>
      <c r="D472" t="s">
        <v>79</v>
      </c>
      <c r="E472" t="s">
        <v>65</v>
      </c>
      <c r="F472">
        <v>60610</v>
      </c>
      <c r="G472" t="s">
        <v>47</v>
      </c>
      <c r="H472" t="s">
        <v>26</v>
      </c>
      <c r="I472" t="s">
        <v>37</v>
      </c>
      <c r="J472">
        <v>4.7880000000000003</v>
      </c>
      <c r="K472">
        <v>3</v>
      </c>
      <c r="L472">
        <v>0.8</v>
      </c>
      <c r="M472">
        <v>-7.9001999999999999</v>
      </c>
    </row>
    <row r="473" spans="1:13" x14ac:dyDescent="0.3">
      <c r="A473" t="s">
        <v>28</v>
      </c>
      <c r="B473" t="s">
        <v>22</v>
      </c>
      <c r="C473" t="s">
        <v>15</v>
      </c>
      <c r="D473" t="s">
        <v>194</v>
      </c>
      <c r="E473" t="s">
        <v>76</v>
      </c>
      <c r="F473">
        <v>11757</v>
      </c>
      <c r="G473" t="s">
        <v>57</v>
      </c>
      <c r="H473" t="s">
        <v>26</v>
      </c>
      <c r="I473" t="s">
        <v>41</v>
      </c>
      <c r="J473">
        <v>55.48</v>
      </c>
      <c r="K473">
        <v>1</v>
      </c>
      <c r="L473">
        <v>0</v>
      </c>
      <c r="M473">
        <v>26.630400000000002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26</v>
      </c>
      <c r="I474" t="s">
        <v>32</v>
      </c>
      <c r="J474">
        <v>340.92</v>
      </c>
      <c r="K474">
        <v>3</v>
      </c>
      <c r="L474">
        <v>0</v>
      </c>
      <c r="M474">
        <v>3.4091999999999998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19</v>
      </c>
      <c r="I475" t="s">
        <v>20</v>
      </c>
      <c r="J475">
        <v>222.666</v>
      </c>
      <c r="K475">
        <v>2</v>
      </c>
      <c r="L475">
        <v>0.15</v>
      </c>
      <c r="M475">
        <v>10.478400000000001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35</v>
      </c>
      <c r="I476" t="s">
        <v>36</v>
      </c>
      <c r="J476">
        <v>703.96799999999996</v>
      </c>
      <c r="K476">
        <v>4</v>
      </c>
      <c r="L476">
        <v>0.2</v>
      </c>
      <c r="M476">
        <v>87.995999999999995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32</v>
      </c>
      <c r="J477">
        <v>92.52</v>
      </c>
      <c r="K477">
        <v>6</v>
      </c>
      <c r="L477">
        <v>0</v>
      </c>
      <c r="M477">
        <v>24.980399999999999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62.65</v>
      </c>
      <c r="K478">
        <v>7</v>
      </c>
      <c r="L478">
        <v>0</v>
      </c>
      <c r="M478">
        <v>28.818999999999999</v>
      </c>
    </row>
    <row r="479" spans="1:13" x14ac:dyDescent="0.3">
      <c r="A479" t="s">
        <v>13</v>
      </c>
      <c r="B479" t="s">
        <v>14</v>
      </c>
      <c r="C479" t="s">
        <v>15</v>
      </c>
      <c r="D479" t="s">
        <v>52</v>
      </c>
      <c r="E479" t="s">
        <v>24</v>
      </c>
      <c r="F479">
        <v>94110</v>
      </c>
      <c r="G479" t="s">
        <v>25</v>
      </c>
      <c r="H479" t="s">
        <v>26</v>
      </c>
      <c r="I479" t="s">
        <v>41</v>
      </c>
      <c r="J479">
        <v>94.85</v>
      </c>
      <c r="K479">
        <v>5</v>
      </c>
      <c r="L479">
        <v>0</v>
      </c>
      <c r="M479">
        <v>45.527999999999999</v>
      </c>
    </row>
    <row r="480" spans="1:13" x14ac:dyDescent="0.3">
      <c r="A480" t="s">
        <v>28</v>
      </c>
      <c r="B480" t="s">
        <v>22</v>
      </c>
      <c r="C480" t="s">
        <v>15</v>
      </c>
      <c r="D480" t="s">
        <v>23</v>
      </c>
      <c r="E480" t="s">
        <v>24</v>
      </c>
      <c r="F480">
        <v>90008</v>
      </c>
      <c r="G480" t="s">
        <v>25</v>
      </c>
      <c r="H480" t="s">
        <v>35</v>
      </c>
      <c r="I480" t="s">
        <v>36</v>
      </c>
      <c r="J480">
        <v>95.76</v>
      </c>
      <c r="K480">
        <v>6</v>
      </c>
      <c r="L480">
        <v>0.2</v>
      </c>
      <c r="M480">
        <v>7.1820000000000004</v>
      </c>
    </row>
    <row r="481" spans="1:13" x14ac:dyDescent="0.3">
      <c r="A481" t="s">
        <v>28</v>
      </c>
      <c r="B481" t="s">
        <v>14</v>
      </c>
      <c r="C481" t="s">
        <v>15</v>
      </c>
      <c r="D481" t="s">
        <v>78</v>
      </c>
      <c r="E481" t="s">
        <v>76</v>
      </c>
      <c r="F481">
        <v>12180</v>
      </c>
      <c r="G481" t="s">
        <v>57</v>
      </c>
      <c r="H481" t="s">
        <v>19</v>
      </c>
      <c r="I481" t="s">
        <v>33</v>
      </c>
      <c r="J481">
        <v>40.200000000000003</v>
      </c>
      <c r="K481">
        <v>3</v>
      </c>
      <c r="L481">
        <v>0</v>
      </c>
      <c r="M481">
        <v>19.295999999999999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34</v>
      </c>
      <c r="J482">
        <v>14.7</v>
      </c>
      <c r="K482">
        <v>5</v>
      </c>
      <c r="L482">
        <v>0</v>
      </c>
      <c r="M482">
        <v>6.6150000000000002</v>
      </c>
    </row>
    <row r="483" spans="1:13" x14ac:dyDescent="0.3">
      <c r="A483" t="s">
        <v>28</v>
      </c>
      <c r="B483" t="s">
        <v>22</v>
      </c>
      <c r="C483" t="s">
        <v>15</v>
      </c>
      <c r="D483" t="s">
        <v>75</v>
      </c>
      <c r="E483" t="s">
        <v>76</v>
      </c>
      <c r="F483">
        <v>10024</v>
      </c>
      <c r="G483" t="s">
        <v>57</v>
      </c>
      <c r="H483" t="s">
        <v>26</v>
      </c>
      <c r="I483" t="s">
        <v>32</v>
      </c>
      <c r="J483">
        <v>704.25</v>
      </c>
      <c r="K483">
        <v>5</v>
      </c>
      <c r="L483">
        <v>0</v>
      </c>
      <c r="M483">
        <v>84.51</v>
      </c>
    </row>
    <row r="484" spans="1:13" x14ac:dyDescent="0.3">
      <c r="A484" t="s">
        <v>28</v>
      </c>
      <c r="B484" t="s">
        <v>14</v>
      </c>
      <c r="C484" t="s">
        <v>15</v>
      </c>
      <c r="D484" t="s">
        <v>144</v>
      </c>
      <c r="E484" t="s">
        <v>24</v>
      </c>
      <c r="F484">
        <v>92024</v>
      </c>
      <c r="G484" t="s">
        <v>25</v>
      </c>
      <c r="H484" t="s">
        <v>35</v>
      </c>
      <c r="I484" t="s">
        <v>59</v>
      </c>
      <c r="J484">
        <v>9.09</v>
      </c>
      <c r="K484">
        <v>3</v>
      </c>
      <c r="L484">
        <v>0</v>
      </c>
      <c r="M484">
        <v>1.9089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26</v>
      </c>
      <c r="I485" t="s">
        <v>34</v>
      </c>
      <c r="J485">
        <v>5.96</v>
      </c>
      <c r="K485">
        <v>2</v>
      </c>
      <c r="L485">
        <v>0</v>
      </c>
      <c r="M485">
        <v>1.6688000000000001</v>
      </c>
    </row>
    <row r="486" spans="1:13" x14ac:dyDescent="0.3">
      <c r="A486" t="s">
        <v>28</v>
      </c>
      <c r="B486" t="s">
        <v>14</v>
      </c>
      <c r="C486" t="s">
        <v>15</v>
      </c>
      <c r="D486" t="s">
        <v>75</v>
      </c>
      <c r="E486" t="s">
        <v>76</v>
      </c>
      <c r="F486">
        <v>10024</v>
      </c>
      <c r="G486" t="s">
        <v>57</v>
      </c>
      <c r="H486" t="s">
        <v>35</v>
      </c>
      <c r="I486" t="s">
        <v>59</v>
      </c>
      <c r="J486">
        <v>159.97999999999999</v>
      </c>
      <c r="K486">
        <v>2</v>
      </c>
      <c r="L486">
        <v>0</v>
      </c>
      <c r="M486">
        <v>57.592799999999997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26</v>
      </c>
      <c r="I487" t="s">
        <v>27</v>
      </c>
      <c r="J487">
        <v>29.6</v>
      </c>
      <c r="K487">
        <v>2</v>
      </c>
      <c r="L487">
        <v>0</v>
      </c>
      <c r="M487">
        <v>14.8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19</v>
      </c>
      <c r="I488" t="s">
        <v>20</v>
      </c>
      <c r="J488">
        <v>514.16499999999996</v>
      </c>
      <c r="K488">
        <v>5</v>
      </c>
      <c r="L488">
        <v>0.15</v>
      </c>
      <c r="M488">
        <v>-30.245000000000001</v>
      </c>
    </row>
    <row r="489" spans="1:13" x14ac:dyDescent="0.3">
      <c r="A489" t="s">
        <v>62</v>
      </c>
      <c r="B489" t="s">
        <v>44</v>
      </c>
      <c r="C489" t="s">
        <v>15</v>
      </c>
      <c r="D489" t="s">
        <v>23</v>
      </c>
      <c r="E489" t="s">
        <v>24</v>
      </c>
      <c r="F489">
        <v>90045</v>
      </c>
      <c r="G489" t="s">
        <v>25</v>
      </c>
      <c r="H489" t="s">
        <v>35</v>
      </c>
      <c r="I489" t="s">
        <v>36</v>
      </c>
      <c r="J489">
        <v>279.95999999999998</v>
      </c>
      <c r="K489">
        <v>5</v>
      </c>
      <c r="L489">
        <v>0.2</v>
      </c>
      <c r="M489">
        <v>17.497499999999999</v>
      </c>
    </row>
    <row r="490" spans="1:13" x14ac:dyDescent="0.3">
      <c r="A490" t="s">
        <v>62</v>
      </c>
      <c r="B490" t="s">
        <v>14</v>
      </c>
      <c r="C490" t="s">
        <v>15</v>
      </c>
      <c r="D490" t="s">
        <v>79</v>
      </c>
      <c r="E490" t="s">
        <v>65</v>
      </c>
      <c r="F490">
        <v>60610</v>
      </c>
      <c r="G490" t="s">
        <v>47</v>
      </c>
      <c r="H490" t="s">
        <v>35</v>
      </c>
      <c r="I490" t="s">
        <v>36</v>
      </c>
      <c r="J490">
        <v>2735.9520000000002</v>
      </c>
      <c r="K490">
        <v>6</v>
      </c>
      <c r="L490">
        <v>0.2</v>
      </c>
      <c r="M490">
        <v>341.99400000000003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36</v>
      </c>
      <c r="J491">
        <v>7.992</v>
      </c>
      <c r="K491">
        <v>1</v>
      </c>
      <c r="L491">
        <v>0.2</v>
      </c>
      <c r="M491">
        <v>0.59940000000000004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35</v>
      </c>
      <c r="I492" t="s">
        <v>59</v>
      </c>
      <c r="J492">
        <v>63.984000000000002</v>
      </c>
      <c r="K492">
        <v>2</v>
      </c>
      <c r="L492">
        <v>0.2</v>
      </c>
      <c r="M492">
        <v>10.397399999999999</v>
      </c>
    </row>
    <row r="493" spans="1:13" x14ac:dyDescent="0.3">
      <c r="A493" t="s">
        <v>13</v>
      </c>
      <c r="B493" t="s">
        <v>44</v>
      </c>
      <c r="C493" t="s">
        <v>15</v>
      </c>
      <c r="D493" t="s">
        <v>195</v>
      </c>
      <c r="E493" t="s">
        <v>46</v>
      </c>
      <c r="F493">
        <v>77340</v>
      </c>
      <c r="G493" t="s">
        <v>47</v>
      </c>
      <c r="H493" t="s">
        <v>26</v>
      </c>
      <c r="I493" t="s">
        <v>34</v>
      </c>
      <c r="J493">
        <v>70.367999999999995</v>
      </c>
      <c r="K493">
        <v>2</v>
      </c>
      <c r="L493">
        <v>0.2</v>
      </c>
      <c r="M493">
        <v>6.1571999999999996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32</v>
      </c>
      <c r="J494">
        <v>449.15</v>
      </c>
      <c r="K494">
        <v>5</v>
      </c>
      <c r="L494">
        <v>0</v>
      </c>
      <c r="M494">
        <v>8.9830000000000005</v>
      </c>
    </row>
    <row r="495" spans="1:13" x14ac:dyDescent="0.3">
      <c r="A495" t="s">
        <v>28</v>
      </c>
      <c r="B495" t="s">
        <v>14</v>
      </c>
      <c r="C495" t="s">
        <v>15</v>
      </c>
      <c r="D495" t="s">
        <v>92</v>
      </c>
      <c r="E495" t="s">
        <v>76</v>
      </c>
      <c r="F495">
        <v>14609</v>
      </c>
      <c r="G495" t="s">
        <v>57</v>
      </c>
      <c r="H495" t="s">
        <v>26</v>
      </c>
      <c r="I495" t="s">
        <v>60</v>
      </c>
      <c r="J495">
        <v>11.07</v>
      </c>
      <c r="K495">
        <v>3</v>
      </c>
      <c r="L495">
        <v>0</v>
      </c>
      <c r="M495">
        <v>5.0922000000000001</v>
      </c>
    </row>
    <row r="496" spans="1:13" x14ac:dyDescent="0.3">
      <c r="A496" t="s">
        <v>28</v>
      </c>
      <c r="B496" t="s">
        <v>14</v>
      </c>
      <c r="C496" t="s">
        <v>15</v>
      </c>
      <c r="D496" t="s">
        <v>42</v>
      </c>
      <c r="E496" t="s">
        <v>43</v>
      </c>
      <c r="F496">
        <v>98115</v>
      </c>
      <c r="G496" t="s">
        <v>25</v>
      </c>
      <c r="H496" t="s">
        <v>35</v>
      </c>
      <c r="I496" t="s">
        <v>59</v>
      </c>
      <c r="J496">
        <v>93.98</v>
      </c>
      <c r="K496">
        <v>2</v>
      </c>
      <c r="L496">
        <v>0</v>
      </c>
      <c r="M496">
        <v>13.1572</v>
      </c>
    </row>
    <row r="497" spans="1:13" x14ac:dyDescent="0.3">
      <c r="A497" t="s">
        <v>13</v>
      </c>
      <c r="B497" t="s">
        <v>14</v>
      </c>
      <c r="C497" t="s">
        <v>15</v>
      </c>
      <c r="D497" t="s">
        <v>85</v>
      </c>
      <c r="E497" t="s">
        <v>86</v>
      </c>
      <c r="F497">
        <v>38109</v>
      </c>
      <c r="G497" t="s">
        <v>18</v>
      </c>
      <c r="H497" t="s">
        <v>19</v>
      </c>
      <c r="I497" t="s">
        <v>31</v>
      </c>
      <c r="J497">
        <v>189.88200000000001</v>
      </c>
      <c r="K497">
        <v>3</v>
      </c>
      <c r="L497">
        <v>0.4</v>
      </c>
      <c r="M497">
        <v>-94.941000000000003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196</v>
      </c>
      <c r="E498" t="s">
        <v>197</v>
      </c>
      <c r="F498">
        <v>72701</v>
      </c>
      <c r="G498" t="s">
        <v>18</v>
      </c>
      <c r="H498" t="s">
        <v>26</v>
      </c>
      <c r="I498" t="s">
        <v>60</v>
      </c>
      <c r="J498">
        <v>105.42</v>
      </c>
      <c r="K498">
        <v>2</v>
      </c>
      <c r="L498">
        <v>0</v>
      </c>
      <c r="M498">
        <v>51.655799999999999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26</v>
      </c>
      <c r="I499" t="s">
        <v>37</v>
      </c>
      <c r="J499">
        <v>119.616</v>
      </c>
      <c r="K499">
        <v>8</v>
      </c>
      <c r="L499">
        <v>0.2</v>
      </c>
      <c r="M499">
        <v>40.370399999999997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33</v>
      </c>
      <c r="J500">
        <v>255.76</v>
      </c>
      <c r="K500">
        <v>4</v>
      </c>
      <c r="L500">
        <v>0</v>
      </c>
      <c r="M500">
        <v>81.843199999999996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21</v>
      </c>
      <c r="J501">
        <v>241.56800000000001</v>
      </c>
      <c r="K501">
        <v>2</v>
      </c>
      <c r="L501">
        <v>0.2</v>
      </c>
      <c r="M501">
        <v>18.117599999999999</v>
      </c>
    </row>
    <row r="502" spans="1:13" x14ac:dyDescent="0.3">
      <c r="A502" t="s">
        <v>28</v>
      </c>
      <c r="B502" t="s">
        <v>14</v>
      </c>
      <c r="C502" t="s">
        <v>15</v>
      </c>
      <c r="D502" t="s">
        <v>198</v>
      </c>
      <c r="E502" t="s">
        <v>24</v>
      </c>
      <c r="F502">
        <v>92627</v>
      </c>
      <c r="G502" t="s">
        <v>25</v>
      </c>
      <c r="H502" t="s">
        <v>19</v>
      </c>
      <c r="I502" t="s">
        <v>33</v>
      </c>
      <c r="J502">
        <v>69.3</v>
      </c>
      <c r="K502">
        <v>9</v>
      </c>
      <c r="L502">
        <v>0</v>
      </c>
      <c r="M502">
        <v>22.869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22.62</v>
      </c>
      <c r="K503">
        <v>2</v>
      </c>
      <c r="L503">
        <v>0.7</v>
      </c>
      <c r="M503">
        <v>-15.08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26</v>
      </c>
      <c r="I504" t="s">
        <v>37</v>
      </c>
      <c r="J504">
        <v>14.952</v>
      </c>
      <c r="K504">
        <v>2</v>
      </c>
      <c r="L504">
        <v>0.7</v>
      </c>
      <c r="M504">
        <v>-11.961600000000001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19</v>
      </c>
      <c r="I505" t="s">
        <v>21</v>
      </c>
      <c r="J505">
        <v>801.56799999999998</v>
      </c>
      <c r="K505">
        <v>2</v>
      </c>
      <c r="L505">
        <v>0.2</v>
      </c>
      <c r="M505">
        <v>50.097999999999999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37</v>
      </c>
      <c r="J506">
        <v>2.3759999999999999</v>
      </c>
      <c r="K506">
        <v>3</v>
      </c>
      <c r="L506">
        <v>0.7</v>
      </c>
      <c r="M506">
        <v>-1.9008</v>
      </c>
    </row>
    <row r="507" spans="1:13" x14ac:dyDescent="0.3">
      <c r="A507" t="s">
        <v>28</v>
      </c>
      <c r="B507" t="s">
        <v>22</v>
      </c>
      <c r="C507" t="s">
        <v>15</v>
      </c>
      <c r="D507" t="s">
        <v>199</v>
      </c>
      <c r="E507" t="s">
        <v>98</v>
      </c>
      <c r="F507">
        <v>80134</v>
      </c>
      <c r="G507" t="s">
        <v>25</v>
      </c>
      <c r="H507" t="s">
        <v>26</v>
      </c>
      <c r="I507" t="s">
        <v>41</v>
      </c>
      <c r="J507">
        <v>32.792000000000002</v>
      </c>
      <c r="K507">
        <v>1</v>
      </c>
      <c r="L507">
        <v>0.2</v>
      </c>
      <c r="M507">
        <v>11.8871</v>
      </c>
    </row>
    <row r="508" spans="1:13" x14ac:dyDescent="0.3">
      <c r="A508" t="s">
        <v>13</v>
      </c>
      <c r="B508" t="s">
        <v>22</v>
      </c>
      <c r="C508" t="s">
        <v>15</v>
      </c>
      <c r="D508" t="s">
        <v>75</v>
      </c>
      <c r="E508" t="s">
        <v>76</v>
      </c>
      <c r="F508">
        <v>10024</v>
      </c>
      <c r="G508" t="s">
        <v>57</v>
      </c>
      <c r="H508" t="s">
        <v>26</v>
      </c>
      <c r="I508" t="s">
        <v>37</v>
      </c>
      <c r="J508">
        <v>15.92</v>
      </c>
      <c r="K508">
        <v>5</v>
      </c>
      <c r="L508">
        <v>0.2</v>
      </c>
      <c r="M508">
        <v>5.3730000000000002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2.74</v>
      </c>
      <c r="K509">
        <v>1</v>
      </c>
      <c r="L509">
        <v>0</v>
      </c>
      <c r="M509">
        <v>0.73980000000000001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34</v>
      </c>
      <c r="J510">
        <v>8.34</v>
      </c>
      <c r="K510">
        <v>3</v>
      </c>
      <c r="L510">
        <v>0</v>
      </c>
      <c r="M510">
        <v>2.1684000000000001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32</v>
      </c>
      <c r="J511">
        <v>46.74</v>
      </c>
      <c r="K511">
        <v>3</v>
      </c>
      <c r="L511">
        <v>0</v>
      </c>
      <c r="M511">
        <v>11.685</v>
      </c>
    </row>
    <row r="512" spans="1:13" x14ac:dyDescent="0.3">
      <c r="A512" t="s">
        <v>28</v>
      </c>
      <c r="B512" t="s">
        <v>14</v>
      </c>
      <c r="C512" t="s">
        <v>15</v>
      </c>
      <c r="D512" t="s">
        <v>200</v>
      </c>
      <c r="E512" t="s">
        <v>167</v>
      </c>
      <c r="F512">
        <v>30318</v>
      </c>
      <c r="G512" t="s">
        <v>18</v>
      </c>
      <c r="H512" t="s">
        <v>26</v>
      </c>
      <c r="I512" t="s">
        <v>37</v>
      </c>
      <c r="J512">
        <v>6354.95</v>
      </c>
      <c r="K512">
        <v>5</v>
      </c>
      <c r="L512">
        <v>0</v>
      </c>
      <c r="M512">
        <v>3177.4749999999999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19</v>
      </c>
      <c r="I513" t="s">
        <v>33</v>
      </c>
      <c r="J513">
        <v>126.3</v>
      </c>
      <c r="K513">
        <v>3</v>
      </c>
      <c r="L513">
        <v>0</v>
      </c>
      <c r="M513">
        <v>40.415999999999997</v>
      </c>
    </row>
    <row r="514" spans="1:13" x14ac:dyDescent="0.3">
      <c r="A514" t="s">
        <v>62</v>
      </c>
      <c r="B514" t="s">
        <v>14</v>
      </c>
      <c r="C514" t="s">
        <v>15</v>
      </c>
      <c r="D514" t="s">
        <v>201</v>
      </c>
      <c r="E514" t="s">
        <v>112</v>
      </c>
      <c r="F514">
        <v>64118</v>
      </c>
      <c r="G514" t="s">
        <v>47</v>
      </c>
      <c r="H514" t="s">
        <v>35</v>
      </c>
      <c r="I514" t="s">
        <v>59</v>
      </c>
      <c r="J514">
        <v>38.04</v>
      </c>
      <c r="K514">
        <v>2</v>
      </c>
      <c r="L514">
        <v>0</v>
      </c>
      <c r="M514">
        <v>12.172800000000001</v>
      </c>
    </row>
    <row r="515" spans="1:13" x14ac:dyDescent="0.3">
      <c r="A515" t="s">
        <v>62</v>
      </c>
      <c r="B515" t="s">
        <v>14</v>
      </c>
      <c r="C515" t="s">
        <v>15</v>
      </c>
      <c r="D515" t="s">
        <v>114</v>
      </c>
      <c r="E515" t="s">
        <v>104</v>
      </c>
      <c r="F515">
        <v>43055</v>
      </c>
      <c r="G515" t="s">
        <v>57</v>
      </c>
      <c r="H515" t="s">
        <v>26</v>
      </c>
      <c r="I515" t="s">
        <v>34</v>
      </c>
      <c r="J515">
        <v>7.1520000000000001</v>
      </c>
      <c r="K515">
        <v>3</v>
      </c>
      <c r="L515">
        <v>0.2</v>
      </c>
      <c r="M515">
        <v>0.71519999999999995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6.63</v>
      </c>
      <c r="K516">
        <v>3</v>
      </c>
      <c r="L516">
        <v>0</v>
      </c>
      <c r="M516">
        <v>1.7901</v>
      </c>
    </row>
    <row r="517" spans="1:13" x14ac:dyDescent="0.3">
      <c r="A517" t="s">
        <v>28</v>
      </c>
      <c r="B517" t="s">
        <v>14</v>
      </c>
      <c r="C517" t="s">
        <v>15</v>
      </c>
      <c r="D517" t="s">
        <v>23</v>
      </c>
      <c r="E517" t="s">
        <v>24</v>
      </c>
      <c r="F517">
        <v>90049</v>
      </c>
      <c r="G517" t="s">
        <v>25</v>
      </c>
      <c r="H517" t="s">
        <v>26</v>
      </c>
      <c r="I517" t="s">
        <v>34</v>
      </c>
      <c r="J517">
        <v>5.88</v>
      </c>
      <c r="K517">
        <v>2</v>
      </c>
      <c r="L517">
        <v>0</v>
      </c>
      <c r="M517">
        <v>1.7052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35</v>
      </c>
      <c r="I518" t="s">
        <v>162</v>
      </c>
      <c r="J518">
        <v>2999.95</v>
      </c>
      <c r="K518">
        <v>5</v>
      </c>
      <c r="L518">
        <v>0</v>
      </c>
      <c r="M518">
        <v>1379.9770000000001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32</v>
      </c>
      <c r="J519">
        <v>51.45</v>
      </c>
      <c r="K519">
        <v>3</v>
      </c>
      <c r="L519">
        <v>0</v>
      </c>
      <c r="M519">
        <v>13.891500000000001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41</v>
      </c>
      <c r="J520">
        <v>11.96</v>
      </c>
      <c r="K520">
        <v>2</v>
      </c>
      <c r="L520">
        <v>0</v>
      </c>
      <c r="M520">
        <v>5.3819999999999997</v>
      </c>
    </row>
    <row r="521" spans="1:13" x14ac:dyDescent="0.3">
      <c r="A521" t="s">
        <v>28</v>
      </c>
      <c r="B521" t="s">
        <v>44</v>
      </c>
      <c r="C521" t="s">
        <v>15</v>
      </c>
      <c r="D521" t="s">
        <v>202</v>
      </c>
      <c r="E521" t="s">
        <v>203</v>
      </c>
      <c r="F521">
        <v>59405</v>
      </c>
      <c r="G521" t="s">
        <v>25</v>
      </c>
      <c r="H521" t="s">
        <v>26</v>
      </c>
      <c r="I521" t="s">
        <v>32</v>
      </c>
      <c r="J521">
        <v>1126.02</v>
      </c>
      <c r="K521">
        <v>3</v>
      </c>
      <c r="L521">
        <v>0</v>
      </c>
      <c r="M521">
        <v>56.301000000000002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35</v>
      </c>
      <c r="I522" t="s">
        <v>59</v>
      </c>
      <c r="J522">
        <v>18.391999999999999</v>
      </c>
      <c r="K522">
        <v>1</v>
      </c>
      <c r="L522">
        <v>0.2</v>
      </c>
      <c r="M522">
        <v>5.2877000000000001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32</v>
      </c>
      <c r="J523">
        <v>129.56800000000001</v>
      </c>
      <c r="K523">
        <v>2</v>
      </c>
      <c r="L523">
        <v>0.2</v>
      </c>
      <c r="M523">
        <v>-25.913599999999999</v>
      </c>
    </row>
    <row r="524" spans="1:13" x14ac:dyDescent="0.3">
      <c r="A524" t="s">
        <v>28</v>
      </c>
      <c r="B524" t="s">
        <v>14</v>
      </c>
      <c r="C524" t="s">
        <v>15</v>
      </c>
      <c r="D524" t="s">
        <v>61</v>
      </c>
      <c r="E524" t="s">
        <v>46</v>
      </c>
      <c r="F524">
        <v>77041</v>
      </c>
      <c r="G524" t="s">
        <v>47</v>
      </c>
      <c r="H524" t="s">
        <v>26</v>
      </c>
      <c r="I524" t="s">
        <v>37</v>
      </c>
      <c r="J524">
        <v>14.112</v>
      </c>
      <c r="K524">
        <v>9</v>
      </c>
      <c r="L524">
        <v>0.8</v>
      </c>
      <c r="M524">
        <v>-21.167999999999999</v>
      </c>
    </row>
    <row r="525" spans="1:13" x14ac:dyDescent="0.3">
      <c r="A525" t="s">
        <v>62</v>
      </c>
      <c r="B525" t="s">
        <v>22</v>
      </c>
      <c r="C525" t="s">
        <v>15</v>
      </c>
      <c r="D525" t="s">
        <v>140</v>
      </c>
      <c r="E525" t="s">
        <v>70</v>
      </c>
      <c r="F525">
        <v>48234</v>
      </c>
      <c r="G525" t="s">
        <v>47</v>
      </c>
      <c r="H525" t="s">
        <v>19</v>
      </c>
      <c r="I525" t="s">
        <v>31</v>
      </c>
      <c r="J525">
        <v>210.98</v>
      </c>
      <c r="K525">
        <v>2</v>
      </c>
      <c r="L525">
        <v>0</v>
      </c>
      <c r="M525">
        <v>21.097999999999999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36</v>
      </c>
      <c r="J526">
        <v>55.176000000000002</v>
      </c>
      <c r="K526">
        <v>3</v>
      </c>
      <c r="L526">
        <v>0.2</v>
      </c>
      <c r="M526">
        <v>-12.4146</v>
      </c>
    </row>
    <row r="527" spans="1:13" x14ac:dyDescent="0.3">
      <c r="A527" t="s">
        <v>62</v>
      </c>
      <c r="B527" t="s">
        <v>14</v>
      </c>
      <c r="C527" t="s">
        <v>15</v>
      </c>
      <c r="D527" t="s">
        <v>23</v>
      </c>
      <c r="E527" t="s">
        <v>24</v>
      </c>
      <c r="F527">
        <v>90032</v>
      </c>
      <c r="G527" t="s">
        <v>25</v>
      </c>
      <c r="H527" t="s">
        <v>35</v>
      </c>
      <c r="I527" t="s">
        <v>59</v>
      </c>
      <c r="J527">
        <v>66.260000000000005</v>
      </c>
      <c r="K527">
        <v>2</v>
      </c>
      <c r="L527">
        <v>0</v>
      </c>
      <c r="M527">
        <v>27.166599999999999</v>
      </c>
    </row>
    <row r="528" spans="1:13" x14ac:dyDescent="0.3">
      <c r="A528" t="s">
        <v>28</v>
      </c>
      <c r="B528" t="s">
        <v>14</v>
      </c>
      <c r="C528" t="s">
        <v>15</v>
      </c>
      <c r="D528" t="s">
        <v>184</v>
      </c>
      <c r="E528" t="s">
        <v>166</v>
      </c>
      <c r="F528">
        <v>1841</v>
      </c>
      <c r="G528" t="s">
        <v>57</v>
      </c>
      <c r="H528" t="s">
        <v>26</v>
      </c>
      <c r="I528" t="s">
        <v>77</v>
      </c>
      <c r="J528">
        <v>22.2</v>
      </c>
      <c r="K528">
        <v>5</v>
      </c>
      <c r="L528">
        <v>0</v>
      </c>
      <c r="M528">
        <v>10.433999999999999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21</v>
      </c>
      <c r="J529">
        <v>683.952</v>
      </c>
      <c r="K529">
        <v>3</v>
      </c>
      <c r="L529">
        <v>0.2</v>
      </c>
      <c r="M529">
        <v>42.747</v>
      </c>
    </row>
    <row r="530" spans="1:13" x14ac:dyDescent="0.3">
      <c r="A530" t="s">
        <v>28</v>
      </c>
      <c r="B530" t="s">
        <v>44</v>
      </c>
      <c r="C530" t="s">
        <v>15</v>
      </c>
      <c r="D530" t="s">
        <v>204</v>
      </c>
      <c r="E530" t="s">
        <v>30</v>
      </c>
      <c r="F530">
        <v>33801</v>
      </c>
      <c r="G530" t="s">
        <v>18</v>
      </c>
      <c r="H530" t="s">
        <v>19</v>
      </c>
      <c r="I530" t="s">
        <v>33</v>
      </c>
      <c r="J530">
        <v>45.695999999999998</v>
      </c>
      <c r="K530">
        <v>3</v>
      </c>
      <c r="L530">
        <v>0.2</v>
      </c>
      <c r="M530">
        <v>5.1407999999999996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32</v>
      </c>
      <c r="J531">
        <v>36.335999999999999</v>
      </c>
      <c r="K531">
        <v>3</v>
      </c>
      <c r="L531">
        <v>0.2</v>
      </c>
      <c r="M531">
        <v>-7.2671999999999999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110</v>
      </c>
      <c r="J532">
        <v>666.24800000000005</v>
      </c>
      <c r="K532">
        <v>1</v>
      </c>
      <c r="L532">
        <v>0.2</v>
      </c>
      <c r="M532">
        <v>-149.9058</v>
      </c>
    </row>
    <row r="533" spans="1:13" x14ac:dyDescent="0.3">
      <c r="A533" t="s">
        <v>28</v>
      </c>
      <c r="B533" t="s">
        <v>14</v>
      </c>
      <c r="C533" t="s">
        <v>15</v>
      </c>
      <c r="D533" t="s">
        <v>55</v>
      </c>
      <c r="E533" t="s">
        <v>56</v>
      </c>
      <c r="F533">
        <v>19134</v>
      </c>
      <c r="G533" t="s">
        <v>57</v>
      </c>
      <c r="H533" t="s">
        <v>26</v>
      </c>
      <c r="I533" t="s">
        <v>60</v>
      </c>
      <c r="J533">
        <v>52.512</v>
      </c>
      <c r="K533">
        <v>6</v>
      </c>
      <c r="L533">
        <v>0.2</v>
      </c>
      <c r="M533">
        <v>19.692</v>
      </c>
    </row>
    <row r="534" spans="1:13" x14ac:dyDescent="0.3">
      <c r="A534" t="s">
        <v>13</v>
      </c>
      <c r="B534" t="s">
        <v>22</v>
      </c>
      <c r="C534" t="s">
        <v>15</v>
      </c>
      <c r="D534" t="s">
        <v>23</v>
      </c>
      <c r="E534" t="s">
        <v>24</v>
      </c>
      <c r="F534">
        <v>90036</v>
      </c>
      <c r="G534" t="s">
        <v>25</v>
      </c>
      <c r="H534" t="s">
        <v>19</v>
      </c>
      <c r="I534" t="s">
        <v>21</v>
      </c>
      <c r="J534">
        <v>190.72</v>
      </c>
      <c r="K534">
        <v>1</v>
      </c>
      <c r="L534">
        <v>0.2</v>
      </c>
      <c r="M534">
        <v>11.92</v>
      </c>
    </row>
    <row r="535" spans="1:13" x14ac:dyDescent="0.3">
      <c r="A535" t="s">
        <v>28</v>
      </c>
      <c r="B535" t="s">
        <v>14</v>
      </c>
      <c r="C535" t="s">
        <v>15</v>
      </c>
      <c r="D535" t="s">
        <v>23</v>
      </c>
      <c r="E535" t="s">
        <v>24</v>
      </c>
      <c r="F535">
        <v>90032</v>
      </c>
      <c r="G535" t="s">
        <v>25</v>
      </c>
      <c r="H535" t="s">
        <v>19</v>
      </c>
      <c r="I535" t="s">
        <v>33</v>
      </c>
      <c r="J535">
        <v>47.94</v>
      </c>
      <c r="K535">
        <v>3</v>
      </c>
      <c r="L535">
        <v>0</v>
      </c>
      <c r="M535">
        <v>2.3969999999999998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35</v>
      </c>
      <c r="I536" t="s">
        <v>36</v>
      </c>
      <c r="J536">
        <v>979.95</v>
      </c>
      <c r="K536">
        <v>5</v>
      </c>
      <c r="L536">
        <v>0</v>
      </c>
      <c r="M536">
        <v>274.38600000000002</v>
      </c>
    </row>
    <row r="537" spans="1:13" x14ac:dyDescent="0.3">
      <c r="A537" t="s">
        <v>13</v>
      </c>
      <c r="B537" t="s">
        <v>14</v>
      </c>
      <c r="C537" t="s">
        <v>15</v>
      </c>
      <c r="D537" t="s">
        <v>205</v>
      </c>
      <c r="E537" t="s">
        <v>88</v>
      </c>
      <c r="F537">
        <v>36116</v>
      </c>
      <c r="G537" t="s">
        <v>18</v>
      </c>
      <c r="H537" t="s">
        <v>26</v>
      </c>
      <c r="I537" t="s">
        <v>37</v>
      </c>
      <c r="J537">
        <v>22.75</v>
      </c>
      <c r="K537">
        <v>5</v>
      </c>
      <c r="L537">
        <v>0</v>
      </c>
      <c r="M537">
        <v>11.375</v>
      </c>
    </row>
    <row r="538" spans="1:13" x14ac:dyDescent="0.3">
      <c r="A538" t="s">
        <v>28</v>
      </c>
      <c r="B538" t="s">
        <v>14</v>
      </c>
      <c r="C538" t="s">
        <v>15</v>
      </c>
      <c r="D538" t="s">
        <v>206</v>
      </c>
      <c r="E538" t="s">
        <v>81</v>
      </c>
      <c r="F538">
        <v>85204</v>
      </c>
      <c r="G538" t="s">
        <v>25</v>
      </c>
      <c r="H538" t="s">
        <v>26</v>
      </c>
      <c r="I538" t="s">
        <v>32</v>
      </c>
      <c r="J538">
        <v>16.768000000000001</v>
      </c>
      <c r="K538">
        <v>2</v>
      </c>
      <c r="L538">
        <v>0.2</v>
      </c>
      <c r="M538">
        <v>1.4672000000000001</v>
      </c>
    </row>
    <row r="539" spans="1:13" x14ac:dyDescent="0.3">
      <c r="A539" t="s">
        <v>13</v>
      </c>
      <c r="B539" t="s">
        <v>14</v>
      </c>
      <c r="C539" t="s">
        <v>15</v>
      </c>
      <c r="D539" t="s">
        <v>79</v>
      </c>
      <c r="E539" t="s">
        <v>65</v>
      </c>
      <c r="F539">
        <v>60653</v>
      </c>
      <c r="G539" t="s">
        <v>47</v>
      </c>
      <c r="H539" t="s">
        <v>26</v>
      </c>
      <c r="I539" t="s">
        <v>37</v>
      </c>
      <c r="J539">
        <v>42.616</v>
      </c>
      <c r="K539">
        <v>7</v>
      </c>
      <c r="L539">
        <v>0.8</v>
      </c>
      <c r="M539">
        <v>-68.185599999999994</v>
      </c>
    </row>
    <row r="540" spans="1:13" x14ac:dyDescent="0.3">
      <c r="A540" t="s">
        <v>28</v>
      </c>
      <c r="B540" t="s">
        <v>44</v>
      </c>
      <c r="C540" t="s">
        <v>15</v>
      </c>
      <c r="D540" t="s">
        <v>75</v>
      </c>
      <c r="E540" t="s">
        <v>76</v>
      </c>
      <c r="F540">
        <v>10009</v>
      </c>
      <c r="G540" t="s">
        <v>57</v>
      </c>
      <c r="H540" t="s">
        <v>26</v>
      </c>
      <c r="I540" t="s">
        <v>37</v>
      </c>
      <c r="J540">
        <v>10.752000000000001</v>
      </c>
      <c r="K540">
        <v>4</v>
      </c>
      <c r="L540">
        <v>0.2</v>
      </c>
      <c r="M540">
        <v>3.36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26</v>
      </c>
      <c r="I541" t="s">
        <v>38</v>
      </c>
      <c r="J541">
        <v>152.94</v>
      </c>
      <c r="K541">
        <v>3</v>
      </c>
      <c r="L541">
        <v>0</v>
      </c>
      <c r="M541">
        <v>41.293799999999997</v>
      </c>
    </row>
    <row r="542" spans="1:13" x14ac:dyDescent="0.3">
      <c r="A542" t="s">
        <v>28</v>
      </c>
      <c r="B542" t="s">
        <v>14</v>
      </c>
      <c r="C542" t="s">
        <v>15</v>
      </c>
      <c r="D542" t="s">
        <v>16</v>
      </c>
      <c r="E542" t="s">
        <v>17</v>
      </c>
      <c r="F542">
        <v>42420</v>
      </c>
      <c r="G542" t="s">
        <v>18</v>
      </c>
      <c r="H542" t="s">
        <v>19</v>
      </c>
      <c r="I542" t="s">
        <v>21</v>
      </c>
      <c r="J542">
        <v>283.92</v>
      </c>
      <c r="K542">
        <v>4</v>
      </c>
      <c r="L542">
        <v>0</v>
      </c>
      <c r="M542">
        <v>70.98</v>
      </c>
    </row>
    <row r="543" spans="1:13" x14ac:dyDescent="0.3">
      <c r="A543" t="s">
        <v>62</v>
      </c>
      <c r="B543" t="s">
        <v>14</v>
      </c>
      <c r="C543" t="s">
        <v>15</v>
      </c>
      <c r="D543" t="s">
        <v>207</v>
      </c>
      <c r="E543" t="s">
        <v>49</v>
      </c>
      <c r="F543">
        <v>54302</v>
      </c>
      <c r="G543" t="s">
        <v>47</v>
      </c>
      <c r="H543" t="s">
        <v>35</v>
      </c>
      <c r="I543" t="s">
        <v>59</v>
      </c>
      <c r="J543">
        <v>468.9</v>
      </c>
      <c r="K543">
        <v>6</v>
      </c>
      <c r="L543">
        <v>0</v>
      </c>
      <c r="M543">
        <v>206.316</v>
      </c>
    </row>
    <row r="544" spans="1:13" x14ac:dyDescent="0.3">
      <c r="A544" t="s">
        <v>62</v>
      </c>
      <c r="B544" t="s">
        <v>22</v>
      </c>
      <c r="C544" t="s">
        <v>15</v>
      </c>
      <c r="D544" t="s">
        <v>171</v>
      </c>
      <c r="E544" t="s">
        <v>81</v>
      </c>
      <c r="F544">
        <v>85705</v>
      </c>
      <c r="G544" t="s">
        <v>25</v>
      </c>
      <c r="H544" t="s">
        <v>35</v>
      </c>
      <c r="I544" t="s">
        <v>36</v>
      </c>
      <c r="J544">
        <v>380.86399999999998</v>
      </c>
      <c r="K544">
        <v>8</v>
      </c>
      <c r="L544">
        <v>0.2</v>
      </c>
      <c r="M544">
        <v>38.086399999999998</v>
      </c>
    </row>
    <row r="545" spans="1:13" x14ac:dyDescent="0.3">
      <c r="A545" t="s">
        <v>28</v>
      </c>
      <c r="B545" t="s">
        <v>14</v>
      </c>
      <c r="C545" t="s">
        <v>15</v>
      </c>
      <c r="D545" t="s">
        <v>82</v>
      </c>
      <c r="E545" t="s">
        <v>104</v>
      </c>
      <c r="F545">
        <v>45503</v>
      </c>
      <c r="G545" t="s">
        <v>57</v>
      </c>
      <c r="H545" t="s">
        <v>26</v>
      </c>
      <c r="I545" t="s">
        <v>32</v>
      </c>
      <c r="J545">
        <v>646.77599999999995</v>
      </c>
      <c r="K545">
        <v>9</v>
      </c>
      <c r="L545">
        <v>0.2</v>
      </c>
      <c r="M545">
        <v>-145.52459999999999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59</v>
      </c>
      <c r="J546">
        <v>58.112000000000002</v>
      </c>
      <c r="K546">
        <v>2</v>
      </c>
      <c r="L546">
        <v>0.2</v>
      </c>
      <c r="M546">
        <v>7.2640000000000002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35</v>
      </c>
      <c r="I547" t="s">
        <v>36</v>
      </c>
      <c r="J547">
        <v>100.792</v>
      </c>
      <c r="K547">
        <v>1</v>
      </c>
      <c r="L547">
        <v>0.2</v>
      </c>
      <c r="M547">
        <v>6.2995000000000001</v>
      </c>
    </row>
    <row r="548" spans="1:13" x14ac:dyDescent="0.3">
      <c r="A548" t="s">
        <v>28</v>
      </c>
      <c r="B548" t="s">
        <v>14</v>
      </c>
      <c r="C548" t="s">
        <v>15</v>
      </c>
      <c r="D548" t="s">
        <v>45</v>
      </c>
      <c r="E548" t="s">
        <v>46</v>
      </c>
      <c r="F548">
        <v>76106</v>
      </c>
      <c r="G548" t="s">
        <v>47</v>
      </c>
      <c r="H548" t="s">
        <v>19</v>
      </c>
      <c r="I548" t="s">
        <v>33</v>
      </c>
      <c r="J548">
        <v>66.111999999999995</v>
      </c>
      <c r="K548">
        <v>4</v>
      </c>
      <c r="L548">
        <v>0.6</v>
      </c>
      <c r="M548">
        <v>-84.2928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37</v>
      </c>
      <c r="J549">
        <v>41.28</v>
      </c>
      <c r="K549">
        <v>6</v>
      </c>
      <c r="L549">
        <v>0.2</v>
      </c>
      <c r="M549">
        <v>13.932</v>
      </c>
    </row>
    <row r="550" spans="1:13" x14ac:dyDescent="0.3">
      <c r="A550" t="s">
        <v>62</v>
      </c>
      <c r="B550" t="s">
        <v>44</v>
      </c>
      <c r="C550" t="s">
        <v>15</v>
      </c>
      <c r="D550" t="s">
        <v>75</v>
      </c>
      <c r="E550" t="s">
        <v>76</v>
      </c>
      <c r="F550">
        <v>10035</v>
      </c>
      <c r="G550" t="s">
        <v>57</v>
      </c>
      <c r="H550" t="s">
        <v>26</v>
      </c>
      <c r="I550" t="s">
        <v>41</v>
      </c>
      <c r="J550">
        <v>13.36</v>
      </c>
      <c r="K550">
        <v>2</v>
      </c>
      <c r="L550">
        <v>0</v>
      </c>
      <c r="M550">
        <v>6.4127999999999998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32</v>
      </c>
      <c r="J551">
        <v>250.27199999999999</v>
      </c>
      <c r="K551">
        <v>9</v>
      </c>
      <c r="L551">
        <v>0.2</v>
      </c>
      <c r="M551">
        <v>15.641999999999999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37</v>
      </c>
      <c r="J552">
        <v>11.364000000000001</v>
      </c>
      <c r="K552">
        <v>3</v>
      </c>
      <c r="L552">
        <v>0.8</v>
      </c>
      <c r="M552">
        <v>-17.045999999999999</v>
      </c>
    </row>
    <row r="553" spans="1:13" x14ac:dyDescent="0.3">
      <c r="A553" t="s">
        <v>13</v>
      </c>
      <c r="B553" t="s">
        <v>22</v>
      </c>
      <c r="C553" t="s">
        <v>15</v>
      </c>
      <c r="D553" t="s">
        <v>79</v>
      </c>
      <c r="E553" t="s">
        <v>65</v>
      </c>
      <c r="F553">
        <v>60653</v>
      </c>
      <c r="G553" t="s">
        <v>47</v>
      </c>
      <c r="H553" t="s">
        <v>26</v>
      </c>
      <c r="I553" t="s">
        <v>110</v>
      </c>
      <c r="J553">
        <v>8.7200000000000006</v>
      </c>
      <c r="K553">
        <v>5</v>
      </c>
      <c r="L553">
        <v>0.2</v>
      </c>
      <c r="M553">
        <v>-1.744</v>
      </c>
    </row>
    <row r="554" spans="1:13" x14ac:dyDescent="0.3">
      <c r="A554" t="s">
        <v>13</v>
      </c>
      <c r="B554" t="s">
        <v>14</v>
      </c>
      <c r="C554" t="s">
        <v>15</v>
      </c>
      <c r="D554" t="s">
        <v>52</v>
      </c>
      <c r="E554" t="s">
        <v>24</v>
      </c>
      <c r="F554">
        <v>94110</v>
      </c>
      <c r="G554" t="s">
        <v>25</v>
      </c>
      <c r="H554" t="s">
        <v>19</v>
      </c>
      <c r="I554" t="s">
        <v>21</v>
      </c>
      <c r="J554">
        <v>1121.568</v>
      </c>
      <c r="K554">
        <v>2</v>
      </c>
      <c r="L554">
        <v>0.2</v>
      </c>
      <c r="M554">
        <v>0</v>
      </c>
    </row>
    <row r="555" spans="1:13" x14ac:dyDescent="0.3">
      <c r="A555" t="s">
        <v>62</v>
      </c>
      <c r="B555" t="s">
        <v>14</v>
      </c>
      <c r="C555" t="s">
        <v>15</v>
      </c>
      <c r="D555" t="s">
        <v>189</v>
      </c>
      <c r="E555" t="s">
        <v>30</v>
      </c>
      <c r="F555">
        <v>32216</v>
      </c>
      <c r="G555" t="s">
        <v>18</v>
      </c>
      <c r="H555" t="s">
        <v>19</v>
      </c>
      <c r="I555" t="s">
        <v>33</v>
      </c>
      <c r="J555">
        <v>34.503999999999998</v>
      </c>
      <c r="K555">
        <v>1</v>
      </c>
      <c r="L555">
        <v>0.2</v>
      </c>
      <c r="M555">
        <v>6.0381999999999998</v>
      </c>
    </row>
    <row r="556" spans="1:13" x14ac:dyDescent="0.3">
      <c r="A556" t="s">
        <v>28</v>
      </c>
      <c r="B556" t="s">
        <v>14</v>
      </c>
      <c r="C556" t="s">
        <v>15</v>
      </c>
      <c r="D556" t="s">
        <v>61</v>
      </c>
      <c r="E556" t="s">
        <v>46</v>
      </c>
      <c r="F556">
        <v>77070</v>
      </c>
      <c r="G556" t="s">
        <v>47</v>
      </c>
      <c r="H556" t="s">
        <v>26</v>
      </c>
      <c r="I556" t="s">
        <v>77</v>
      </c>
      <c r="J556">
        <v>10.824</v>
      </c>
      <c r="K556">
        <v>3</v>
      </c>
      <c r="L556">
        <v>0.2</v>
      </c>
      <c r="M556">
        <v>2.5707</v>
      </c>
    </row>
    <row r="557" spans="1:13" x14ac:dyDescent="0.3">
      <c r="A557" t="s">
        <v>13</v>
      </c>
      <c r="B557" t="s">
        <v>22</v>
      </c>
      <c r="C557" t="s">
        <v>15</v>
      </c>
      <c r="D557" t="s">
        <v>208</v>
      </c>
      <c r="E557" t="s">
        <v>24</v>
      </c>
      <c r="F557">
        <v>92804</v>
      </c>
      <c r="G557" t="s">
        <v>25</v>
      </c>
      <c r="H557" t="s">
        <v>26</v>
      </c>
      <c r="I557" t="s">
        <v>32</v>
      </c>
      <c r="J557">
        <v>1295.78</v>
      </c>
      <c r="K557">
        <v>2</v>
      </c>
      <c r="L557">
        <v>0</v>
      </c>
      <c r="M557">
        <v>310.98719999999997</v>
      </c>
    </row>
    <row r="558" spans="1:13" x14ac:dyDescent="0.3">
      <c r="A558" t="s">
        <v>13</v>
      </c>
      <c r="B558" t="s">
        <v>14</v>
      </c>
      <c r="C558" t="s">
        <v>15</v>
      </c>
      <c r="D558" t="s">
        <v>106</v>
      </c>
      <c r="E558" t="s">
        <v>40</v>
      </c>
      <c r="F558">
        <v>28403</v>
      </c>
      <c r="G558" t="s">
        <v>18</v>
      </c>
      <c r="H558" t="s">
        <v>26</v>
      </c>
      <c r="I558" t="s">
        <v>34</v>
      </c>
      <c r="J558">
        <v>19.456</v>
      </c>
      <c r="K558">
        <v>4</v>
      </c>
      <c r="L558">
        <v>0.2</v>
      </c>
      <c r="M558">
        <v>3.4047999999999998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26</v>
      </c>
      <c r="I559" t="s">
        <v>27</v>
      </c>
      <c r="J559">
        <v>20.7</v>
      </c>
      <c r="K559">
        <v>2</v>
      </c>
      <c r="L559">
        <v>0</v>
      </c>
      <c r="M559">
        <v>9.9359999999999999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19</v>
      </c>
      <c r="I560" t="s">
        <v>31</v>
      </c>
      <c r="J560">
        <v>1335.68</v>
      </c>
      <c r="K560">
        <v>4</v>
      </c>
      <c r="L560">
        <v>0.2</v>
      </c>
      <c r="M560">
        <v>-217.048</v>
      </c>
    </row>
    <row r="561" spans="1:13" x14ac:dyDescent="0.3">
      <c r="A561" t="s">
        <v>28</v>
      </c>
      <c r="B561" t="s">
        <v>14</v>
      </c>
      <c r="C561" t="s">
        <v>15</v>
      </c>
      <c r="D561" t="s">
        <v>23</v>
      </c>
      <c r="E561" t="s">
        <v>24</v>
      </c>
      <c r="F561">
        <v>90045</v>
      </c>
      <c r="G561" t="s">
        <v>25</v>
      </c>
      <c r="H561" t="s">
        <v>26</v>
      </c>
      <c r="I561" t="s">
        <v>41</v>
      </c>
      <c r="J561">
        <v>32.4</v>
      </c>
      <c r="K561">
        <v>5</v>
      </c>
      <c r="L561">
        <v>0</v>
      </c>
      <c r="M561">
        <v>15.552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19</v>
      </c>
      <c r="I562" t="s">
        <v>33</v>
      </c>
      <c r="J562">
        <v>42.6</v>
      </c>
      <c r="K562">
        <v>3</v>
      </c>
      <c r="L562">
        <v>0</v>
      </c>
      <c r="M562">
        <v>16.614000000000001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52</v>
      </c>
      <c r="E563" t="s">
        <v>24</v>
      </c>
      <c r="F563">
        <v>94110</v>
      </c>
      <c r="G563" t="s">
        <v>25</v>
      </c>
      <c r="H563" t="s">
        <v>26</v>
      </c>
      <c r="I563" t="s">
        <v>37</v>
      </c>
      <c r="J563">
        <v>84.055999999999997</v>
      </c>
      <c r="K563">
        <v>7</v>
      </c>
      <c r="L563">
        <v>0.2</v>
      </c>
      <c r="M563">
        <v>27.318200000000001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26</v>
      </c>
      <c r="I564" t="s">
        <v>38</v>
      </c>
      <c r="J564">
        <v>13</v>
      </c>
      <c r="K564">
        <v>5</v>
      </c>
      <c r="L564">
        <v>0.2</v>
      </c>
      <c r="M564">
        <v>1.3</v>
      </c>
    </row>
    <row r="565" spans="1:13" x14ac:dyDescent="0.3">
      <c r="A565" t="s">
        <v>13</v>
      </c>
      <c r="B565" t="s">
        <v>14</v>
      </c>
      <c r="C565" t="s">
        <v>15</v>
      </c>
      <c r="D565" t="s">
        <v>141</v>
      </c>
      <c r="E565" t="s">
        <v>30</v>
      </c>
      <c r="F565">
        <v>33614</v>
      </c>
      <c r="G565" t="s">
        <v>18</v>
      </c>
      <c r="H565" t="s">
        <v>19</v>
      </c>
      <c r="I565" t="s">
        <v>33</v>
      </c>
      <c r="J565">
        <v>13.128</v>
      </c>
      <c r="K565">
        <v>3</v>
      </c>
      <c r="L565">
        <v>0.2</v>
      </c>
      <c r="M565">
        <v>3.7743000000000002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77</v>
      </c>
      <c r="J566">
        <v>3.96</v>
      </c>
      <c r="K566">
        <v>2</v>
      </c>
      <c r="L566">
        <v>0</v>
      </c>
      <c r="M566">
        <v>0</v>
      </c>
    </row>
    <row r="567" spans="1:13" x14ac:dyDescent="0.3">
      <c r="A567" t="s">
        <v>62</v>
      </c>
      <c r="B567" t="s">
        <v>14</v>
      </c>
      <c r="C567" t="s">
        <v>15</v>
      </c>
      <c r="D567" t="s">
        <v>42</v>
      </c>
      <c r="E567" t="s">
        <v>43</v>
      </c>
      <c r="F567">
        <v>98105</v>
      </c>
      <c r="G567" t="s">
        <v>25</v>
      </c>
      <c r="H567" t="s">
        <v>26</v>
      </c>
      <c r="I567" t="s">
        <v>27</v>
      </c>
      <c r="J567">
        <v>2.61</v>
      </c>
      <c r="K567">
        <v>1</v>
      </c>
      <c r="L567">
        <v>0</v>
      </c>
      <c r="M567">
        <v>1.2005999999999999</v>
      </c>
    </row>
    <row r="568" spans="1:13" x14ac:dyDescent="0.3">
      <c r="A568" t="s">
        <v>62</v>
      </c>
      <c r="B568" t="s">
        <v>14</v>
      </c>
      <c r="C568" t="s">
        <v>15</v>
      </c>
      <c r="D568" t="s">
        <v>23</v>
      </c>
      <c r="E568" t="s">
        <v>24</v>
      </c>
      <c r="F568">
        <v>90008</v>
      </c>
      <c r="G568" t="s">
        <v>25</v>
      </c>
      <c r="H568" t="s">
        <v>35</v>
      </c>
      <c r="I568" t="s">
        <v>36</v>
      </c>
      <c r="J568">
        <v>374.37599999999998</v>
      </c>
      <c r="K568">
        <v>3</v>
      </c>
      <c r="L568">
        <v>0.2</v>
      </c>
      <c r="M568">
        <v>46.796999999999997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41</v>
      </c>
      <c r="J569">
        <v>91.84</v>
      </c>
      <c r="K569">
        <v>8</v>
      </c>
      <c r="L569">
        <v>0</v>
      </c>
      <c r="M569">
        <v>45.001600000000003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37</v>
      </c>
      <c r="J570">
        <v>81.087999999999994</v>
      </c>
      <c r="K570">
        <v>7</v>
      </c>
      <c r="L570">
        <v>0.2</v>
      </c>
      <c r="M570">
        <v>27.3672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26</v>
      </c>
      <c r="I571" t="s">
        <v>41</v>
      </c>
      <c r="J571">
        <v>19.440000000000001</v>
      </c>
      <c r="K571">
        <v>3</v>
      </c>
      <c r="L571">
        <v>0</v>
      </c>
      <c r="M571">
        <v>9.3312000000000008</v>
      </c>
    </row>
    <row r="572" spans="1:13" x14ac:dyDescent="0.3">
      <c r="A572" t="s">
        <v>28</v>
      </c>
      <c r="B572" t="s">
        <v>22</v>
      </c>
      <c r="C572" t="s">
        <v>15</v>
      </c>
      <c r="D572" t="s">
        <v>42</v>
      </c>
      <c r="E572" t="s">
        <v>43</v>
      </c>
      <c r="F572">
        <v>98105</v>
      </c>
      <c r="G572" t="s">
        <v>25</v>
      </c>
      <c r="H572" t="s">
        <v>19</v>
      </c>
      <c r="I572" t="s">
        <v>21</v>
      </c>
      <c r="J572">
        <v>451.15199999999999</v>
      </c>
      <c r="K572">
        <v>3</v>
      </c>
      <c r="L572">
        <v>0.2</v>
      </c>
      <c r="M572">
        <v>0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27</v>
      </c>
      <c r="J573">
        <v>72.45</v>
      </c>
      <c r="K573">
        <v>7</v>
      </c>
      <c r="L573">
        <v>0</v>
      </c>
      <c r="M573">
        <v>34.776000000000003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77</v>
      </c>
      <c r="J574">
        <v>13.96</v>
      </c>
      <c r="K574">
        <v>4</v>
      </c>
      <c r="L574">
        <v>0</v>
      </c>
      <c r="M574">
        <v>6.4215999999999998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26</v>
      </c>
      <c r="I575" t="s">
        <v>37</v>
      </c>
      <c r="J575">
        <v>33.264000000000003</v>
      </c>
      <c r="K575">
        <v>7</v>
      </c>
      <c r="L575">
        <v>0.2</v>
      </c>
      <c r="M575">
        <v>11.226599999999999</v>
      </c>
    </row>
    <row r="576" spans="1:13" x14ac:dyDescent="0.3">
      <c r="A576" t="s">
        <v>28</v>
      </c>
      <c r="B576" t="s">
        <v>14</v>
      </c>
      <c r="C576" t="s">
        <v>15</v>
      </c>
      <c r="D576" t="s">
        <v>75</v>
      </c>
      <c r="E576" t="s">
        <v>76</v>
      </c>
      <c r="F576">
        <v>10024</v>
      </c>
      <c r="G576" t="s">
        <v>57</v>
      </c>
      <c r="H576" t="s">
        <v>35</v>
      </c>
      <c r="I576" t="s">
        <v>36</v>
      </c>
      <c r="J576">
        <v>14.85</v>
      </c>
      <c r="K576">
        <v>3</v>
      </c>
      <c r="L576">
        <v>0</v>
      </c>
      <c r="M576">
        <v>4.0095000000000001</v>
      </c>
    </row>
    <row r="577" spans="1:13" x14ac:dyDescent="0.3">
      <c r="A577" t="s">
        <v>28</v>
      </c>
      <c r="B577" t="s">
        <v>14</v>
      </c>
      <c r="C577" t="s">
        <v>15</v>
      </c>
      <c r="D577" t="s">
        <v>209</v>
      </c>
      <c r="E577" t="s">
        <v>43</v>
      </c>
      <c r="F577">
        <v>98270</v>
      </c>
      <c r="G577" t="s">
        <v>25</v>
      </c>
      <c r="H577" t="s">
        <v>26</v>
      </c>
      <c r="I577" t="s">
        <v>34</v>
      </c>
      <c r="J577">
        <v>8.82</v>
      </c>
      <c r="K577">
        <v>3</v>
      </c>
      <c r="L577">
        <v>0</v>
      </c>
      <c r="M577">
        <v>2.3814000000000002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160.72</v>
      </c>
      <c r="K578">
        <v>14</v>
      </c>
      <c r="L578">
        <v>0</v>
      </c>
      <c r="M578">
        <v>78.752799999999993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41</v>
      </c>
      <c r="J579">
        <v>19.920000000000002</v>
      </c>
      <c r="K579">
        <v>4</v>
      </c>
      <c r="L579">
        <v>0</v>
      </c>
      <c r="M579">
        <v>9.7607999999999997</v>
      </c>
    </row>
    <row r="580" spans="1:13" x14ac:dyDescent="0.3">
      <c r="A580" t="s">
        <v>13</v>
      </c>
      <c r="B580" t="s">
        <v>14</v>
      </c>
      <c r="C580" t="s">
        <v>15</v>
      </c>
      <c r="D580" t="s">
        <v>159</v>
      </c>
      <c r="E580" t="s">
        <v>24</v>
      </c>
      <c r="F580">
        <v>90805</v>
      </c>
      <c r="G580" t="s">
        <v>25</v>
      </c>
      <c r="H580" t="s">
        <v>26</v>
      </c>
      <c r="I580" t="s">
        <v>110</v>
      </c>
      <c r="J580">
        <v>7.3</v>
      </c>
      <c r="K580">
        <v>2</v>
      </c>
      <c r="L580">
        <v>0</v>
      </c>
      <c r="M580">
        <v>2.19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26</v>
      </c>
      <c r="I581" t="s">
        <v>32</v>
      </c>
      <c r="J581">
        <v>69.712000000000003</v>
      </c>
      <c r="K581">
        <v>2</v>
      </c>
      <c r="L581">
        <v>0.2</v>
      </c>
      <c r="M581">
        <v>8.7140000000000004</v>
      </c>
    </row>
    <row r="582" spans="1:13" x14ac:dyDescent="0.3">
      <c r="A582" t="s">
        <v>28</v>
      </c>
      <c r="B582" t="s">
        <v>14</v>
      </c>
      <c r="C582" t="s">
        <v>15</v>
      </c>
      <c r="D582" t="s">
        <v>79</v>
      </c>
      <c r="E582" t="s">
        <v>65</v>
      </c>
      <c r="F582">
        <v>60610</v>
      </c>
      <c r="G582" t="s">
        <v>47</v>
      </c>
      <c r="H582" t="s">
        <v>19</v>
      </c>
      <c r="I582" t="s">
        <v>33</v>
      </c>
      <c r="J582">
        <v>8.7919999999999998</v>
      </c>
      <c r="K582">
        <v>1</v>
      </c>
      <c r="L582">
        <v>0.6</v>
      </c>
      <c r="M582">
        <v>-5.7148000000000003</v>
      </c>
    </row>
    <row r="583" spans="1:13" x14ac:dyDescent="0.3">
      <c r="A583" t="s">
        <v>28</v>
      </c>
      <c r="B583" t="s">
        <v>14</v>
      </c>
      <c r="C583" t="s">
        <v>15</v>
      </c>
      <c r="D583" t="s">
        <v>23</v>
      </c>
      <c r="E583" t="s">
        <v>24</v>
      </c>
      <c r="F583">
        <v>90004</v>
      </c>
      <c r="G583" t="s">
        <v>25</v>
      </c>
      <c r="H583" t="s">
        <v>26</v>
      </c>
      <c r="I583" t="s">
        <v>110</v>
      </c>
      <c r="J583">
        <v>51.52</v>
      </c>
      <c r="K583">
        <v>4</v>
      </c>
      <c r="L583">
        <v>0</v>
      </c>
      <c r="M583">
        <v>1.5456000000000001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470.37599999999998</v>
      </c>
      <c r="K584">
        <v>3</v>
      </c>
      <c r="L584">
        <v>0.2</v>
      </c>
      <c r="M584">
        <v>52.917299999999997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35</v>
      </c>
      <c r="I585" t="s">
        <v>36</v>
      </c>
      <c r="J585">
        <v>105.584</v>
      </c>
      <c r="K585">
        <v>2</v>
      </c>
      <c r="L585">
        <v>0.2</v>
      </c>
      <c r="M585">
        <v>9.2385999999999999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38</v>
      </c>
      <c r="J586">
        <v>31.152000000000001</v>
      </c>
      <c r="K586">
        <v>3</v>
      </c>
      <c r="L586">
        <v>0.2</v>
      </c>
      <c r="M586">
        <v>3.5045999999999999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26</v>
      </c>
      <c r="I587" t="s">
        <v>37</v>
      </c>
      <c r="J587">
        <v>6.7830000000000004</v>
      </c>
      <c r="K587">
        <v>7</v>
      </c>
      <c r="L587">
        <v>0.7</v>
      </c>
      <c r="M587">
        <v>-4.7481</v>
      </c>
    </row>
    <row r="588" spans="1:13" x14ac:dyDescent="0.3">
      <c r="A588" t="s">
        <v>28</v>
      </c>
      <c r="B588" t="s">
        <v>14</v>
      </c>
      <c r="C588" t="s">
        <v>15</v>
      </c>
      <c r="D588" t="s">
        <v>134</v>
      </c>
      <c r="E588" t="s">
        <v>98</v>
      </c>
      <c r="F588">
        <v>80219</v>
      </c>
      <c r="G588" t="s">
        <v>25</v>
      </c>
      <c r="H588" t="s">
        <v>35</v>
      </c>
      <c r="I588" t="s">
        <v>36</v>
      </c>
      <c r="J588">
        <v>406.36799999999999</v>
      </c>
      <c r="K588">
        <v>4</v>
      </c>
      <c r="L588">
        <v>0.2</v>
      </c>
      <c r="M588">
        <v>30.477599999999999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19</v>
      </c>
      <c r="I589" t="s">
        <v>21</v>
      </c>
      <c r="J589">
        <v>70.98</v>
      </c>
      <c r="K589">
        <v>1</v>
      </c>
      <c r="L589">
        <v>0</v>
      </c>
      <c r="M589">
        <v>4.9686000000000003</v>
      </c>
    </row>
    <row r="590" spans="1:13" x14ac:dyDescent="0.3">
      <c r="A590" t="s">
        <v>28</v>
      </c>
      <c r="B590" t="s">
        <v>14</v>
      </c>
      <c r="C590" t="s">
        <v>15</v>
      </c>
      <c r="D590" t="s">
        <v>182</v>
      </c>
      <c r="E590" t="s">
        <v>17</v>
      </c>
      <c r="F590">
        <v>40475</v>
      </c>
      <c r="G590" t="s">
        <v>18</v>
      </c>
      <c r="H590" t="s">
        <v>26</v>
      </c>
      <c r="I590" t="s">
        <v>27</v>
      </c>
      <c r="J590">
        <v>294.93</v>
      </c>
      <c r="K590">
        <v>3</v>
      </c>
      <c r="L590">
        <v>0</v>
      </c>
      <c r="M590">
        <v>144.51570000000001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35</v>
      </c>
      <c r="I591" t="s">
        <v>36</v>
      </c>
      <c r="J591">
        <v>84.784000000000006</v>
      </c>
      <c r="K591">
        <v>2</v>
      </c>
      <c r="L591">
        <v>0.2</v>
      </c>
      <c r="M591">
        <v>-20.136199999999999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41</v>
      </c>
      <c r="J592">
        <v>20.736000000000001</v>
      </c>
      <c r="K592">
        <v>4</v>
      </c>
      <c r="L592">
        <v>0.2</v>
      </c>
      <c r="M592">
        <v>7.2576000000000001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37</v>
      </c>
      <c r="J593">
        <v>16.821000000000002</v>
      </c>
      <c r="K593">
        <v>3</v>
      </c>
      <c r="L593">
        <v>0.7</v>
      </c>
      <c r="M593">
        <v>-12.896100000000001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210</v>
      </c>
      <c r="E594" t="s">
        <v>95</v>
      </c>
      <c r="F594">
        <v>97301</v>
      </c>
      <c r="G594" t="s">
        <v>25</v>
      </c>
      <c r="H594" t="s">
        <v>26</v>
      </c>
      <c r="I594" t="s">
        <v>41</v>
      </c>
      <c r="J594">
        <v>10.368</v>
      </c>
      <c r="K594">
        <v>2</v>
      </c>
      <c r="L594">
        <v>0.2</v>
      </c>
      <c r="M594">
        <v>3.6288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26</v>
      </c>
      <c r="I595" t="s">
        <v>34</v>
      </c>
      <c r="J595">
        <v>9.3439999999999994</v>
      </c>
      <c r="K595">
        <v>2</v>
      </c>
      <c r="L595">
        <v>0.2</v>
      </c>
      <c r="M595">
        <v>1.1679999999999999</v>
      </c>
    </row>
    <row r="596" spans="1:13" x14ac:dyDescent="0.3">
      <c r="A596" t="s">
        <v>28</v>
      </c>
      <c r="B596" t="s">
        <v>14</v>
      </c>
      <c r="C596" t="s">
        <v>15</v>
      </c>
      <c r="D596" t="s">
        <v>211</v>
      </c>
      <c r="E596" t="s">
        <v>46</v>
      </c>
      <c r="F596">
        <v>78041</v>
      </c>
      <c r="G596" t="s">
        <v>47</v>
      </c>
      <c r="H596" t="s">
        <v>35</v>
      </c>
      <c r="I596" t="s">
        <v>59</v>
      </c>
      <c r="J596">
        <v>31.2</v>
      </c>
      <c r="K596">
        <v>3</v>
      </c>
      <c r="L596">
        <v>0.2</v>
      </c>
      <c r="M596">
        <v>9.75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26</v>
      </c>
      <c r="I597" t="s">
        <v>38</v>
      </c>
      <c r="J597">
        <v>76.12</v>
      </c>
      <c r="K597">
        <v>2</v>
      </c>
      <c r="L597">
        <v>0</v>
      </c>
      <c r="M597">
        <v>22.0748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162</v>
      </c>
      <c r="J598">
        <v>1199.9760000000001</v>
      </c>
      <c r="K598">
        <v>3</v>
      </c>
      <c r="L598">
        <v>0.2</v>
      </c>
      <c r="M598">
        <v>434.99130000000002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35</v>
      </c>
      <c r="I599" t="s">
        <v>36</v>
      </c>
      <c r="J599">
        <v>445.96</v>
      </c>
      <c r="K599">
        <v>5</v>
      </c>
      <c r="L599">
        <v>0.2</v>
      </c>
      <c r="M599">
        <v>55.744999999999997</v>
      </c>
    </row>
    <row r="600" spans="1:13" x14ac:dyDescent="0.3">
      <c r="A600" t="s">
        <v>28</v>
      </c>
      <c r="B600" t="s">
        <v>14</v>
      </c>
      <c r="C600" t="s">
        <v>15</v>
      </c>
      <c r="D600" t="s">
        <v>144</v>
      </c>
      <c r="E600" t="s">
        <v>24</v>
      </c>
      <c r="F600">
        <v>92024</v>
      </c>
      <c r="G600" t="s">
        <v>25</v>
      </c>
      <c r="H600" t="s">
        <v>19</v>
      </c>
      <c r="I600" t="s">
        <v>33</v>
      </c>
      <c r="J600">
        <v>327.76</v>
      </c>
      <c r="K600">
        <v>8</v>
      </c>
      <c r="L600">
        <v>0</v>
      </c>
      <c r="M600">
        <v>91.772800000000004</v>
      </c>
    </row>
    <row r="601" spans="1:13" x14ac:dyDescent="0.3">
      <c r="A601" t="s">
        <v>62</v>
      </c>
      <c r="B601" t="s">
        <v>14</v>
      </c>
      <c r="C601" t="s">
        <v>15</v>
      </c>
      <c r="D601" t="s">
        <v>55</v>
      </c>
      <c r="E601" t="s">
        <v>56</v>
      </c>
      <c r="F601">
        <v>19134</v>
      </c>
      <c r="G601" t="s">
        <v>57</v>
      </c>
      <c r="H601" t="s">
        <v>26</v>
      </c>
      <c r="I601" t="s">
        <v>110</v>
      </c>
      <c r="J601">
        <v>11.632</v>
      </c>
      <c r="K601">
        <v>2</v>
      </c>
      <c r="L601">
        <v>0.2</v>
      </c>
      <c r="M601">
        <v>1.0178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143.982</v>
      </c>
      <c r="K602">
        <v>3</v>
      </c>
      <c r="L602">
        <v>0.4</v>
      </c>
      <c r="M602">
        <v>-28.796399999999998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35</v>
      </c>
      <c r="I603" t="s">
        <v>36</v>
      </c>
      <c r="J603">
        <v>494.37599999999998</v>
      </c>
      <c r="K603">
        <v>4</v>
      </c>
      <c r="L603">
        <v>0.4</v>
      </c>
      <c r="M603">
        <v>-115.3544</v>
      </c>
    </row>
    <row r="604" spans="1:13" x14ac:dyDescent="0.3">
      <c r="A604" t="s">
        <v>28</v>
      </c>
      <c r="B604" t="s">
        <v>14</v>
      </c>
      <c r="C604" t="s">
        <v>15</v>
      </c>
      <c r="D604" t="s">
        <v>55</v>
      </c>
      <c r="E604" t="s">
        <v>56</v>
      </c>
      <c r="F604">
        <v>19120</v>
      </c>
      <c r="G604" t="s">
        <v>57</v>
      </c>
      <c r="H604" t="s">
        <v>26</v>
      </c>
      <c r="I604" t="s">
        <v>110</v>
      </c>
      <c r="J604">
        <v>5.84</v>
      </c>
      <c r="K604">
        <v>2</v>
      </c>
      <c r="L604">
        <v>0.2</v>
      </c>
      <c r="M604">
        <v>0.73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26</v>
      </c>
      <c r="I605" t="s">
        <v>32</v>
      </c>
      <c r="J605">
        <v>142.77600000000001</v>
      </c>
      <c r="K605">
        <v>1</v>
      </c>
      <c r="L605">
        <v>0.2</v>
      </c>
      <c r="M605">
        <v>17.847000000000001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19</v>
      </c>
      <c r="I606" t="s">
        <v>33</v>
      </c>
      <c r="J606">
        <v>45.695999999999998</v>
      </c>
      <c r="K606">
        <v>3</v>
      </c>
      <c r="L606">
        <v>0.2</v>
      </c>
      <c r="M606">
        <v>5.1407999999999996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7.218</v>
      </c>
      <c r="K607">
        <v>3</v>
      </c>
      <c r="L607">
        <v>0.7</v>
      </c>
      <c r="M607">
        <v>-5.5338000000000003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37</v>
      </c>
      <c r="J608">
        <v>43.188000000000002</v>
      </c>
      <c r="K608">
        <v>4</v>
      </c>
      <c r="L608">
        <v>0.7</v>
      </c>
      <c r="M608">
        <v>-31.671199999999999</v>
      </c>
    </row>
    <row r="609" spans="1:13" x14ac:dyDescent="0.3">
      <c r="A609" t="s">
        <v>28</v>
      </c>
      <c r="B609" t="s">
        <v>14</v>
      </c>
      <c r="C609" t="s">
        <v>15</v>
      </c>
      <c r="D609" t="s">
        <v>141</v>
      </c>
      <c r="E609" t="s">
        <v>30</v>
      </c>
      <c r="F609">
        <v>33614</v>
      </c>
      <c r="G609" t="s">
        <v>18</v>
      </c>
      <c r="H609" t="s">
        <v>26</v>
      </c>
      <c r="I609" t="s">
        <v>41</v>
      </c>
      <c r="J609">
        <v>131.904</v>
      </c>
      <c r="K609">
        <v>3</v>
      </c>
      <c r="L609">
        <v>0.2</v>
      </c>
      <c r="M609">
        <v>47.815199999999997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37</v>
      </c>
      <c r="J610">
        <v>3.282</v>
      </c>
      <c r="K610">
        <v>2</v>
      </c>
      <c r="L610">
        <v>0.7</v>
      </c>
      <c r="M610">
        <v>-2.6255999999999999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26</v>
      </c>
      <c r="I611" t="s">
        <v>34</v>
      </c>
      <c r="J611">
        <v>21.167999999999999</v>
      </c>
      <c r="K611">
        <v>9</v>
      </c>
      <c r="L611">
        <v>0.2</v>
      </c>
      <c r="M611">
        <v>2.3814000000000002</v>
      </c>
    </row>
    <row r="612" spans="1:13" x14ac:dyDescent="0.3">
      <c r="A612" t="s">
        <v>28</v>
      </c>
      <c r="B612" t="s">
        <v>14</v>
      </c>
      <c r="C612" t="s">
        <v>15</v>
      </c>
      <c r="D612" t="s">
        <v>55</v>
      </c>
      <c r="E612" t="s">
        <v>56</v>
      </c>
      <c r="F612">
        <v>19134</v>
      </c>
      <c r="G612" t="s">
        <v>57</v>
      </c>
      <c r="H612" t="s">
        <v>35</v>
      </c>
      <c r="I612" t="s">
        <v>36</v>
      </c>
      <c r="J612">
        <v>55.188000000000002</v>
      </c>
      <c r="K612">
        <v>2</v>
      </c>
      <c r="L612">
        <v>0.4</v>
      </c>
      <c r="M612">
        <v>-10.117800000000001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35</v>
      </c>
      <c r="I613" t="s">
        <v>36</v>
      </c>
      <c r="J613">
        <v>369.57600000000002</v>
      </c>
      <c r="K613">
        <v>3</v>
      </c>
      <c r="L613">
        <v>0.2</v>
      </c>
      <c r="M613">
        <v>41.577300000000001</v>
      </c>
    </row>
    <row r="614" spans="1:13" x14ac:dyDescent="0.3">
      <c r="A614" t="s">
        <v>62</v>
      </c>
      <c r="B614" t="s">
        <v>22</v>
      </c>
      <c r="C614" t="s">
        <v>15</v>
      </c>
      <c r="D614" t="s">
        <v>135</v>
      </c>
      <c r="E614" t="s">
        <v>46</v>
      </c>
      <c r="F614">
        <v>75217</v>
      </c>
      <c r="G614" t="s">
        <v>47</v>
      </c>
      <c r="H614" t="s">
        <v>26</v>
      </c>
      <c r="I614" t="s">
        <v>27</v>
      </c>
      <c r="J614">
        <v>15.712</v>
      </c>
      <c r="K614">
        <v>4</v>
      </c>
      <c r="L614">
        <v>0.2</v>
      </c>
      <c r="M614">
        <v>5.6955999999999998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26</v>
      </c>
      <c r="I615" t="s">
        <v>41</v>
      </c>
      <c r="J615">
        <v>8.4480000000000004</v>
      </c>
      <c r="K615">
        <v>2</v>
      </c>
      <c r="L615">
        <v>0.2</v>
      </c>
      <c r="M615">
        <v>2.64</v>
      </c>
    </row>
    <row r="616" spans="1:13" x14ac:dyDescent="0.3">
      <c r="A616" t="s">
        <v>13</v>
      </c>
      <c r="B616" t="s">
        <v>22</v>
      </c>
      <c r="C616" t="s">
        <v>15</v>
      </c>
      <c r="D616" t="s">
        <v>55</v>
      </c>
      <c r="E616" t="s">
        <v>56</v>
      </c>
      <c r="F616">
        <v>19143</v>
      </c>
      <c r="G616" t="s">
        <v>57</v>
      </c>
      <c r="H616" t="s">
        <v>35</v>
      </c>
      <c r="I616" t="s">
        <v>36</v>
      </c>
      <c r="J616">
        <v>728.94600000000003</v>
      </c>
      <c r="K616">
        <v>9</v>
      </c>
      <c r="L616">
        <v>0.4</v>
      </c>
      <c r="M616">
        <v>-157.9383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35</v>
      </c>
      <c r="I617" t="s">
        <v>36</v>
      </c>
      <c r="J617">
        <v>119.94</v>
      </c>
      <c r="K617">
        <v>10</v>
      </c>
      <c r="L617">
        <v>0.4</v>
      </c>
      <c r="M617">
        <v>15.992000000000001</v>
      </c>
    </row>
    <row r="618" spans="1:13" x14ac:dyDescent="0.3">
      <c r="A618" t="s">
        <v>13</v>
      </c>
      <c r="B618" t="s">
        <v>14</v>
      </c>
      <c r="C618" t="s">
        <v>15</v>
      </c>
      <c r="D618" t="s">
        <v>212</v>
      </c>
      <c r="E618" t="s">
        <v>104</v>
      </c>
      <c r="F618">
        <v>43123</v>
      </c>
      <c r="G618" t="s">
        <v>57</v>
      </c>
      <c r="H618" t="s">
        <v>26</v>
      </c>
      <c r="I618" t="s">
        <v>37</v>
      </c>
      <c r="J618">
        <v>3.6480000000000001</v>
      </c>
      <c r="K618">
        <v>2</v>
      </c>
      <c r="L618">
        <v>0.7</v>
      </c>
      <c r="M618">
        <v>-2.7968000000000002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40.479999999999997</v>
      </c>
      <c r="K619">
        <v>2</v>
      </c>
      <c r="L619">
        <v>0</v>
      </c>
      <c r="M619">
        <v>15.7872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19</v>
      </c>
      <c r="I620" t="s">
        <v>33</v>
      </c>
      <c r="J620">
        <v>9.94</v>
      </c>
      <c r="K620">
        <v>2</v>
      </c>
      <c r="L620">
        <v>0</v>
      </c>
      <c r="M620">
        <v>3.0813999999999999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26</v>
      </c>
      <c r="I621" t="s">
        <v>37</v>
      </c>
      <c r="J621">
        <v>107.42400000000001</v>
      </c>
      <c r="K621">
        <v>9</v>
      </c>
      <c r="L621">
        <v>0.2</v>
      </c>
      <c r="M621">
        <v>33.57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35</v>
      </c>
      <c r="I622" t="s">
        <v>36</v>
      </c>
      <c r="J622">
        <v>37.909999999999997</v>
      </c>
      <c r="K622">
        <v>1</v>
      </c>
      <c r="L622">
        <v>0</v>
      </c>
      <c r="M622">
        <v>10.9939</v>
      </c>
    </row>
    <row r="623" spans="1:13" x14ac:dyDescent="0.3">
      <c r="A623" t="s">
        <v>13</v>
      </c>
      <c r="B623" t="s">
        <v>22</v>
      </c>
      <c r="C623" t="s">
        <v>15</v>
      </c>
      <c r="D623" t="s">
        <v>75</v>
      </c>
      <c r="E623" t="s">
        <v>76</v>
      </c>
      <c r="F623">
        <v>10011</v>
      </c>
      <c r="G623" t="s">
        <v>57</v>
      </c>
      <c r="H623" t="s">
        <v>19</v>
      </c>
      <c r="I623" t="s">
        <v>33</v>
      </c>
      <c r="J623">
        <v>88.02</v>
      </c>
      <c r="K623">
        <v>3</v>
      </c>
      <c r="L623">
        <v>0</v>
      </c>
      <c r="M623">
        <v>27.286200000000001</v>
      </c>
    </row>
    <row r="624" spans="1:13" x14ac:dyDescent="0.3">
      <c r="A624" t="s">
        <v>28</v>
      </c>
      <c r="B624" t="s">
        <v>14</v>
      </c>
      <c r="C624" t="s">
        <v>15</v>
      </c>
      <c r="D624" t="s">
        <v>79</v>
      </c>
      <c r="E624" t="s">
        <v>65</v>
      </c>
      <c r="F624">
        <v>60610</v>
      </c>
      <c r="G624" t="s">
        <v>47</v>
      </c>
      <c r="H624" t="s">
        <v>26</v>
      </c>
      <c r="I624" t="s">
        <v>37</v>
      </c>
      <c r="J624">
        <v>8.69</v>
      </c>
      <c r="K624">
        <v>5</v>
      </c>
      <c r="L624">
        <v>0.8</v>
      </c>
      <c r="M624">
        <v>-14.773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19</v>
      </c>
      <c r="I625" t="s">
        <v>21</v>
      </c>
      <c r="J625">
        <v>301.95999999999998</v>
      </c>
      <c r="K625">
        <v>2</v>
      </c>
      <c r="L625">
        <v>0</v>
      </c>
      <c r="M625">
        <v>87.568399999999997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38</v>
      </c>
      <c r="J626">
        <v>555.21</v>
      </c>
      <c r="K626">
        <v>5</v>
      </c>
      <c r="L626">
        <v>0.1</v>
      </c>
      <c r="M626">
        <v>178.90100000000001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32</v>
      </c>
      <c r="J627">
        <v>523.48</v>
      </c>
      <c r="K627">
        <v>4</v>
      </c>
      <c r="L627">
        <v>0</v>
      </c>
      <c r="M627">
        <v>130.87</v>
      </c>
    </row>
    <row r="628" spans="1:13" x14ac:dyDescent="0.3">
      <c r="A628" t="s">
        <v>28</v>
      </c>
      <c r="B628" t="s">
        <v>22</v>
      </c>
      <c r="C628" t="s">
        <v>15</v>
      </c>
      <c r="D628" t="s">
        <v>213</v>
      </c>
      <c r="E628" t="s">
        <v>70</v>
      </c>
      <c r="F628">
        <v>48126</v>
      </c>
      <c r="G628" t="s">
        <v>47</v>
      </c>
      <c r="H628" t="s">
        <v>26</v>
      </c>
      <c r="I628" t="s">
        <v>34</v>
      </c>
      <c r="J628">
        <v>161.82</v>
      </c>
      <c r="K628">
        <v>9</v>
      </c>
      <c r="L628">
        <v>0</v>
      </c>
      <c r="M628">
        <v>46.927799999999998</v>
      </c>
    </row>
    <row r="629" spans="1:13" x14ac:dyDescent="0.3">
      <c r="A629" t="s">
        <v>28</v>
      </c>
      <c r="B629" t="s">
        <v>44</v>
      </c>
      <c r="C629" t="s">
        <v>15</v>
      </c>
      <c r="D629" t="s">
        <v>75</v>
      </c>
      <c r="E629" t="s">
        <v>76</v>
      </c>
      <c r="F629">
        <v>10009</v>
      </c>
      <c r="G629" t="s">
        <v>57</v>
      </c>
      <c r="H629" t="s">
        <v>19</v>
      </c>
      <c r="I629" t="s">
        <v>33</v>
      </c>
      <c r="J629">
        <v>35.56</v>
      </c>
      <c r="K629">
        <v>7</v>
      </c>
      <c r="L629">
        <v>0</v>
      </c>
      <c r="M629">
        <v>12.090400000000001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42</v>
      </c>
      <c r="E630" t="s">
        <v>43</v>
      </c>
      <c r="F630">
        <v>98115</v>
      </c>
      <c r="G630" t="s">
        <v>25</v>
      </c>
      <c r="H630" t="s">
        <v>26</v>
      </c>
      <c r="I630" t="s">
        <v>38</v>
      </c>
      <c r="J630">
        <v>97.16</v>
      </c>
      <c r="K630">
        <v>2</v>
      </c>
      <c r="L630">
        <v>0</v>
      </c>
      <c r="M630">
        <v>28.176400000000001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37</v>
      </c>
      <c r="J631">
        <v>15.24</v>
      </c>
      <c r="K631">
        <v>5</v>
      </c>
      <c r="L631">
        <v>0.2</v>
      </c>
      <c r="M631">
        <v>5.1435000000000004</v>
      </c>
    </row>
    <row r="632" spans="1:13" x14ac:dyDescent="0.3">
      <c r="A632" t="s">
        <v>28</v>
      </c>
      <c r="B632" t="s">
        <v>14</v>
      </c>
      <c r="C632" t="s">
        <v>15</v>
      </c>
      <c r="D632" t="s">
        <v>52</v>
      </c>
      <c r="E632" t="s">
        <v>24</v>
      </c>
      <c r="F632">
        <v>94122</v>
      </c>
      <c r="G632" t="s">
        <v>25</v>
      </c>
      <c r="H632" t="s">
        <v>26</v>
      </c>
      <c r="I632" t="s">
        <v>41</v>
      </c>
      <c r="J632">
        <v>13.23</v>
      </c>
      <c r="K632">
        <v>3</v>
      </c>
      <c r="L632">
        <v>0</v>
      </c>
      <c r="M632">
        <v>6.0857999999999999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26</v>
      </c>
      <c r="I633" t="s">
        <v>32</v>
      </c>
      <c r="J633">
        <v>243.38399999999999</v>
      </c>
      <c r="K633">
        <v>3</v>
      </c>
      <c r="L633">
        <v>0.2</v>
      </c>
      <c r="M633">
        <v>-51.719099999999997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59</v>
      </c>
      <c r="J634">
        <v>119.8</v>
      </c>
      <c r="K634">
        <v>5</v>
      </c>
      <c r="L634">
        <v>0.2</v>
      </c>
      <c r="M634">
        <v>29.95</v>
      </c>
    </row>
    <row r="635" spans="1:13" x14ac:dyDescent="0.3">
      <c r="A635" t="s">
        <v>13</v>
      </c>
      <c r="B635" t="s">
        <v>14</v>
      </c>
      <c r="C635" t="s">
        <v>15</v>
      </c>
      <c r="D635" t="s">
        <v>97</v>
      </c>
      <c r="E635" t="s">
        <v>98</v>
      </c>
      <c r="F635">
        <v>80013</v>
      </c>
      <c r="G635" t="s">
        <v>25</v>
      </c>
      <c r="H635" t="s">
        <v>35</v>
      </c>
      <c r="I635" t="s">
        <v>36</v>
      </c>
      <c r="J635">
        <v>300.76799999999997</v>
      </c>
      <c r="K635">
        <v>4</v>
      </c>
      <c r="L635">
        <v>0.2</v>
      </c>
      <c r="M635">
        <v>30.076799999999999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35</v>
      </c>
      <c r="I636" t="s">
        <v>59</v>
      </c>
      <c r="J636">
        <v>17.88</v>
      </c>
      <c r="K636">
        <v>3</v>
      </c>
      <c r="L636">
        <v>0.2</v>
      </c>
      <c r="M636">
        <v>2.4584999999999999</v>
      </c>
    </row>
    <row r="637" spans="1:13" x14ac:dyDescent="0.3">
      <c r="A637" t="s">
        <v>13</v>
      </c>
      <c r="B637" t="s">
        <v>14</v>
      </c>
      <c r="C637" t="s">
        <v>15</v>
      </c>
      <c r="D637" t="s">
        <v>180</v>
      </c>
      <c r="E637" t="s">
        <v>30</v>
      </c>
      <c r="F637">
        <v>33180</v>
      </c>
      <c r="G637" t="s">
        <v>18</v>
      </c>
      <c r="H637" t="s">
        <v>26</v>
      </c>
      <c r="I637" t="s">
        <v>27</v>
      </c>
      <c r="J637">
        <v>235.94399999999999</v>
      </c>
      <c r="K637">
        <v>3</v>
      </c>
      <c r="L637">
        <v>0.2</v>
      </c>
      <c r="M637">
        <v>85.529700000000005</v>
      </c>
    </row>
    <row r="638" spans="1:13" x14ac:dyDescent="0.3">
      <c r="A638" t="s">
        <v>13</v>
      </c>
      <c r="B638" t="s">
        <v>22</v>
      </c>
      <c r="C638" t="s">
        <v>15</v>
      </c>
      <c r="D638" t="s">
        <v>214</v>
      </c>
      <c r="E638" t="s">
        <v>167</v>
      </c>
      <c r="F638">
        <v>31088</v>
      </c>
      <c r="G638" t="s">
        <v>18</v>
      </c>
      <c r="H638" t="s">
        <v>19</v>
      </c>
      <c r="I638" t="s">
        <v>21</v>
      </c>
      <c r="J638">
        <v>392.94</v>
      </c>
      <c r="K638">
        <v>3</v>
      </c>
      <c r="L638">
        <v>0</v>
      </c>
      <c r="M638">
        <v>43.223399999999998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37</v>
      </c>
      <c r="J639">
        <v>18.882000000000001</v>
      </c>
      <c r="K639">
        <v>3</v>
      </c>
      <c r="L639">
        <v>0.7</v>
      </c>
      <c r="M639">
        <v>-13.8468</v>
      </c>
    </row>
    <row r="640" spans="1:13" x14ac:dyDescent="0.3">
      <c r="A640" t="s">
        <v>28</v>
      </c>
      <c r="B640" t="s">
        <v>14</v>
      </c>
      <c r="C640" t="s">
        <v>15</v>
      </c>
      <c r="D640" t="s">
        <v>97</v>
      </c>
      <c r="E640" t="s">
        <v>98</v>
      </c>
      <c r="F640">
        <v>80013</v>
      </c>
      <c r="G640" t="s">
        <v>25</v>
      </c>
      <c r="H640" t="s">
        <v>26</v>
      </c>
      <c r="I640" t="s">
        <v>38</v>
      </c>
      <c r="J640">
        <v>122.328</v>
      </c>
      <c r="K640">
        <v>3</v>
      </c>
      <c r="L640">
        <v>0.2</v>
      </c>
      <c r="M640">
        <v>12.232799999999999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19</v>
      </c>
      <c r="I641" t="s">
        <v>33</v>
      </c>
      <c r="J641">
        <v>1049.2</v>
      </c>
      <c r="K641">
        <v>5</v>
      </c>
      <c r="L641">
        <v>0</v>
      </c>
      <c r="M641">
        <v>272.79199999999997</v>
      </c>
    </row>
    <row r="642" spans="1:13" x14ac:dyDescent="0.3">
      <c r="A642" t="s">
        <v>28</v>
      </c>
      <c r="B642" t="s">
        <v>44</v>
      </c>
      <c r="C642" t="s">
        <v>15</v>
      </c>
      <c r="D642" t="s">
        <v>215</v>
      </c>
      <c r="E642" t="s">
        <v>24</v>
      </c>
      <c r="F642">
        <v>94591</v>
      </c>
      <c r="G642" t="s">
        <v>25</v>
      </c>
      <c r="H642" t="s">
        <v>26</v>
      </c>
      <c r="I642" t="s">
        <v>37</v>
      </c>
      <c r="J642">
        <v>15.423999999999999</v>
      </c>
      <c r="K642">
        <v>4</v>
      </c>
      <c r="L642">
        <v>0.2</v>
      </c>
      <c r="M642">
        <v>5.0128000000000004</v>
      </c>
    </row>
    <row r="643" spans="1:13" x14ac:dyDescent="0.3">
      <c r="A643" t="s">
        <v>28</v>
      </c>
      <c r="B643" t="s">
        <v>22</v>
      </c>
      <c r="C643" t="s">
        <v>15</v>
      </c>
      <c r="D643" t="s">
        <v>93</v>
      </c>
      <c r="E643" t="s">
        <v>68</v>
      </c>
      <c r="F643">
        <v>55407</v>
      </c>
      <c r="G643" t="s">
        <v>47</v>
      </c>
      <c r="H643" t="s">
        <v>19</v>
      </c>
      <c r="I643" t="s">
        <v>33</v>
      </c>
      <c r="J643">
        <v>18.84</v>
      </c>
      <c r="K643">
        <v>3</v>
      </c>
      <c r="L643">
        <v>0</v>
      </c>
      <c r="M643">
        <v>6.0288000000000004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32</v>
      </c>
      <c r="J644">
        <v>330.4</v>
      </c>
      <c r="K644">
        <v>2</v>
      </c>
      <c r="L644">
        <v>0</v>
      </c>
      <c r="M644">
        <v>85.903999999999996</v>
      </c>
    </row>
    <row r="645" spans="1:13" x14ac:dyDescent="0.3">
      <c r="A645" t="s">
        <v>13</v>
      </c>
      <c r="B645" t="s">
        <v>14</v>
      </c>
      <c r="C645" t="s">
        <v>15</v>
      </c>
      <c r="D645" t="s">
        <v>216</v>
      </c>
      <c r="E645" t="s">
        <v>24</v>
      </c>
      <c r="F645">
        <v>92691</v>
      </c>
      <c r="G645" t="s">
        <v>25</v>
      </c>
      <c r="H645" t="s">
        <v>26</v>
      </c>
      <c r="I645" t="s">
        <v>27</v>
      </c>
      <c r="J645">
        <v>26.25</v>
      </c>
      <c r="K645">
        <v>7</v>
      </c>
      <c r="L645">
        <v>0</v>
      </c>
      <c r="M645">
        <v>12.6</v>
      </c>
    </row>
    <row r="646" spans="1:13" x14ac:dyDescent="0.3">
      <c r="A646" t="s">
        <v>28</v>
      </c>
      <c r="B646" t="s">
        <v>14</v>
      </c>
      <c r="C646" t="s">
        <v>15</v>
      </c>
      <c r="D646" t="s">
        <v>217</v>
      </c>
      <c r="E646" t="s">
        <v>70</v>
      </c>
      <c r="F646">
        <v>48307</v>
      </c>
      <c r="G646" t="s">
        <v>47</v>
      </c>
      <c r="H646" t="s">
        <v>35</v>
      </c>
      <c r="I646" t="s">
        <v>59</v>
      </c>
      <c r="J646">
        <v>132.52000000000001</v>
      </c>
      <c r="K646">
        <v>4</v>
      </c>
      <c r="L646">
        <v>0</v>
      </c>
      <c r="M646">
        <v>54.333199999999998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218</v>
      </c>
      <c r="E647" t="s">
        <v>132</v>
      </c>
      <c r="F647">
        <v>7060</v>
      </c>
      <c r="G647" t="s">
        <v>57</v>
      </c>
      <c r="H647" t="s">
        <v>26</v>
      </c>
      <c r="I647" t="s">
        <v>41</v>
      </c>
      <c r="J647">
        <v>6.48</v>
      </c>
      <c r="K647">
        <v>1</v>
      </c>
      <c r="L647">
        <v>0</v>
      </c>
      <c r="M647">
        <v>3.1751999999999998</v>
      </c>
    </row>
    <row r="648" spans="1:13" x14ac:dyDescent="0.3">
      <c r="A648" t="s">
        <v>28</v>
      </c>
      <c r="B648" t="s">
        <v>44</v>
      </c>
      <c r="C648" t="s">
        <v>15</v>
      </c>
      <c r="D648" t="s">
        <v>103</v>
      </c>
      <c r="E648" t="s">
        <v>74</v>
      </c>
      <c r="F648">
        <v>47201</v>
      </c>
      <c r="G648" t="s">
        <v>47</v>
      </c>
      <c r="H648" t="s">
        <v>26</v>
      </c>
      <c r="I648" t="s">
        <v>38</v>
      </c>
      <c r="J648">
        <v>209.3</v>
      </c>
      <c r="K648">
        <v>2</v>
      </c>
      <c r="L648">
        <v>0</v>
      </c>
      <c r="M648">
        <v>56.511000000000003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77</v>
      </c>
      <c r="J649">
        <v>31.56</v>
      </c>
      <c r="K649">
        <v>5</v>
      </c>
      <c r="L649">
        <v>0.2</v>
      </c>
      <c r="M649">
        <v>9.8625000000000007</v>
      </c>
    </row>
    <row r="650" spans="1:13" x14ac:dyDescent="0.3">
      <c r="A650" t="s">
        <v>28</v>
      </c>
      <c r="B650" t="s">
        <v>22</v>
      </c>
      <c r="C650" t="s">
        <v>15</v>
      </c>
      <c r="D650" t="s">
        <v>219</v>
      </c>
      <c r="E650" t="s">
        <v>81</v>
      </c>
      <c r="F650">
        <v>85635</v>
      </c>
      <c r="G650" t="s">
        <v>25</v>
      </c>
      <c r="H650" t="s">
        <v>26</v>
      </c>
      <c r="I650" t="s">
        <v>38</v>
      </c>
      <c r="J650">
        <v>30.143999999999998</v>
      </c>
      <c r="K650">
        <v>2</v>
      </c>
      <c r="L650">
        <v>0.2</v>
      </c>
      <c r="M650">
        <v>3.0144000000000002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19</v>
      </c>
      <c r="I651" t="s">
        <v>33</v>
      </c>
      <c r="J651">
        <v>14.8</v>
      </c>
      <c r="K651">
        <v>4</v>
      </c>
      <c r="L651">
        <v>0</v>
      </c>
      <c r="M651">
        <v>6.0679999999999996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36</v>
      </c>
      <c r="J652">
        <v>302.37599999999998</v>
      </c>
      <c r="K652">
        <v>3</v>
      </c>
      <c r="L652">
        <v>0.2</v>
      </c>
      <c r="M652">
        <v>22.6782</v>
      </c>
    </row>
    <row r="653" spans="1:13" x14ac:dyDescent="0.3">
      <c r="A653" t="s">
        <v>13</v>
      </c>
      <c r="B653" t="s">
        <v>22</v>
      </c>
      <c r="C653" t="s">
        <v>15</v>
      </c>
      <c r="D653" t="s">
        <v>220</v>
      </c>
      <c r="E653" t="s">
        <v>43</v>
      </c>
      <c r="F653">
        <v>98661</v>
      </c>
      <c r="G653" t="s">
        <v>25</v>
      </c>
      <c r="H653" t="s">
        <v>35</v>
      </c>
      <c r="I653" t="s">
        <v>59</v>
      </c>
      <c r="J653">
        <v>316</v>
      </c>
      <c r="K653">
        <v>4</v>
      </c>
      <c r="L653">
        <v>0</v>
      </c>
      <c r="M653">
        <v>31.6</v>
      </c>
    </row>
    <row r="654" spans="1:13" x14ac:dyDescent="0.3">
      <c r="A654" t="s">
        <v>28</v>
      </c>
      <c r="B654" t="s">
        <v>44</v>
      </c>
      <c r="C654" t="s">
        <v>15</v>
      </c>
      <c r="D654" t="s">
        <v>75</v>
      </c>
      <c r="E654" t="s">
        <v>76</v>
      </c>
      <c r="F654">
        <v>10024</v>
      </c>
      <c r="G654" t="s">
        <v>57</v>
      </c>
      <c r="H654" t="s">
        <v>26</v>
      </c>
      <c r="I654" t="s">
        <v>41</v>
      </c>
      <c r="J654">
        <v>379.4</v>
      </c>
      <c r="K654">
        <v>10</v>
      </c>
      <c r="L654">
        <v>0</v>
      </c>
      <c r="M654">
        <v>178.31800000000001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26</v>
      </c>
      <c r="I655" t="s">
        <v>41</v>
      </c>
      <c r="J655">
        <v>97.82</v>
      </c>
      <c r="K655">
        <v>2</v>
      </c>
      <c r="L655">
        <v>0</v>
      </c>
      <c r="M655">
        <v>45.9754</v>
      </c>
    </row>
    <row r="656" spans="1:13" x14ac:dyDescent="0.3">
      <c r="A656" t="s">
        <v>28</v>
      </c>
      <c r="B656" t="s">
        <v>22</v>
      </c>
      <c r="C656" t="s">
        <v>15</v>
      </c>
      <c r="D656" t="s">
        <v>75</v>
      </c>
      <c r="E656" t="s">
        <v>76</v>
      </c>
      <c r="F656">
        <v>10035</v>
      </c>
      <c r="G656" t="s">
        <v>57</v>
      </c>
      <c r="H656" t="s">
        <v>35</v>
      </c>
      <c r="I656" t="s">
        <v>59</v>
      </c>
      <c r="J656">
        <v>103.12</v>
      </c>
      <c r="K656">
        <v>8</v>
      </c>
      <c r="L656">
        <v>0</v>
      </c>
      <c r="M656">
        <v>10.311999999999999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38</v>
      </c>
      <c r="J657">
        <v>113.55200000000001</v>
      </c>
      <c r="K657">
        <v>2</v>
      </c>
      <c r="L657">
        <v>0.2</v>
      </c>
      <c r="M657">
        <v>8.5164000000000009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37</v>
      </c>
      <c r="J658">
        <v>3.3180000000000001</v>
      </c>
      <c r="K658">
        <v>2</v>
      </c>
      <c r="L658">
        <v>0.7</v>
      </c>
      <c r="M658">
        <v>-2.6543999999999999</v>
      </c>
    </row>
    <row r="659" spans="1:13" x14ac:dyDescent="0.3">
      <c r="A659" t="s">
        <v>28</v>
      </c>
      <c r="B659" t="s">
        <v>14</v>
      </c>
      <c r="C659" t="s">
        <v>15</v>
      </c>
      <c r="D659" t="s">
        <v>103</v>
      </c>
      <c r="E659" t="s">
        <v>104</v>
      </c>
      <c r="F659">
        <v>43229</v>
      </c>
      <c r="G659" t="s">
        <v>57</v>
      </c>
      <c r="H659" t="s">
        <v>26</v>
      </c>
      <c r="I659" t="s">
        <v>60</v>
      </c>
      <c r="J659">
        <v>134.28800000000001</v>
      </c>
      <c r="K659">
        <v>2</v>
      </c>
      <c r="L659">
        <v>0.2</v>
      </c>
      <c r="M659">
        <v>45.322200000000002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19</v>
      </c>
      <c r="I660" t="s">
        <v>21</v>
      </c>
      <c r="J660">
        <v>701.37199999999996</v>
      </c>
      <c r="K660">
        <v>2</v>
      </c>
      <c r="L660">
        <v>0.3</v>
      </c>
      <c r="M660">
        <v>-50.097999999999999</v>
      </c>
    </row>
    <row r="661" spans="1:13" x14ac:dyDescent="0.3">
      <c r="A661" t="s">
        <v>168</v>
      </c>
      <c r="B661" t="s">
        <v>44</v>
      </c>
      <c r="C661" t="s">
        <v>15</v>
      </c>
      <c r="D661" t="s">
        <v>97</v>
      </c>
      <c r="E661" t="s">
        <v>65</v>
      </c>
      <c r="F661">
        <v>60505</v>
      </c>
      <c r="G661" t="s">
        <v>47</v>
      </c>
      <c r="H661" t="s">
        <v>26</v>
      </c>
      <c r="I661" t="s">
        <v>37</v>
      </c>
      <c r="J661">
        <v>2.3079999999999998</v>
      </c>
      <c r="K661">
        <v>2</v>
      </c>
      <c r="L661">
        <v>0.8</v>
      </c>
      <c r="M661">
        <v>-3.4620000000000002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999.43200000000002</v>
      </c>
      <c r="K662">
        <v>7</v>
      </c>
      <c r="L662">
        <v>0.2</v>
      </c>
      <c r="M662">
        <v>124.929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26</v>
      </c>
      <c r="I663" t="s">
        <v>32</v>
      </c>
      <c r="J663">
        <v>724.08</v>
      </c>
      <c r="K663">
        <v>14</v>
      </c>
      <c r="L663">
        <v>0.2</v>
      </c>
      <c r="M663">
        <v>-135.76499999999999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19</v>
      </c>
      <c r="I664" t="s">
        <v>31</v>
      </c>
      <c r="J664">
        <v>918.78499999999997</v>
      </c>
      <c r="K664">
        <v>5</v>
      </c>
      <c r="L664">
        <v>0.3</v>
      </c>
      <c r="M664">
        <v>-118.12949999999999</v>
      </c>
    </row>
    <row r="665" spans="1:13" x14ac:dyDescent="0.3">
      <c r="A665" t="s">
        <v>28</v>
      </c>
      <c r="B665" t="s">
        <v>14</v>
      </c>
      <c r="C665" t="s">
        <v>15</v>
      </c>
      <c r="D665" t="s">
        <v>155</v>
      </c>
      <c r="E665" t="s">
        <v>46</v>
      </c>
      <c r="F665">
        <v>76017</v>
      </c>
      <c r="G665" t="s">
        <v>47</v>
      </c>
      <c r="H665" t="s">
        <v>26</v>
      </c>
      <c r="I665" t="s">
        <v>37</v>
      </c>
      <c r="J665">
        <v>2.7240000000000002</v>
      </c>
      <c r="K665">
        <v>3</v>
      </c>
      <c r="L665">
        <v>0.8</v>
      </c>
      <c r="M665">
        <v>-4.2222</v>
      </c>
    </row>
    <row r="666" spans="1:13" x14ac:dyDescent="0.3">
      <c r="A666" t="s">
        <v>28</v>
      </c>
      <c r="B666" t="s">
        <v>22</v>
      </c>
      <c r="C666" t="s">
        <v>15</v>
      </c>
      <c r="D666" t="s">
        <v>75</v>
      </c>
      <c r="E666" t="s">
        <v>76</v>
      </c>
      <c r="F666">
        <v>10011</v>
      </c>
      <c r="G666" t="s">
        <v>57</v>
      </c>
      <c r="H666" t="s">
        <v>26</v>
      </c>
      <c r="I666" t="s">
        <v>32</v>
      </c>
      <c r="J666">
        <v>459.95</v>
      </c>
      <c r="K666">
        <v>5</v>
      </c>
      <c r="L666">
        <v>0</v>
      </c>
      <c r="M666">
        <v>18.398</v>
      </c>
    </row>
    <row r="667" spans="1:13" x14ac:dyDescent="0.3">
      <c r="A667" t="s">
        <v>168</v>
      </c>
      <c r="B667" t="s">
        <v>14</v>
      </c>
      <c r="C667" t="s">
        <v>15</v>
      </c>
      <c r="D667" t="s">
        <v>183</v>
      </c>
      <c r="E667" t="s">
        <v>17</v>
      </c>
      <c r="F667">
        <v>40214</v>
      </c>
      <c r="G667" t="s">
        <v>18</v>
      </c>
      <c r="H667" t="s">
        <v>26</v>
      </c>
      <c r="I667" t="s">
        <v>77</v>
      </c>
      <c r="J667">
        <v>10.74</v>
      </c>
      <c r="K667">
        <v>3</v>
      </c>
      <c r="L667">
        <v>0</v>
      </c>
      <c r="M667">
        <v>5.2625999999999999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110</v>
      </c>
      <c r="J668">
        <v>23.76</v>
      </c>
      <c r="K668">
        <v>3</v>
      </c>
      <c r="L668">
        <v>0.2</v>
      </c>
      <c r="M668">
        <v>2.0790000000000002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26</v>
      </c>
      <c r="I669" t="s">
        <v>41</v>
      </c>
      <c r="J669">
        <v>85.055999999999997</v>
      </c>
      <c r="K669">
        <v>3</v>
      </c>
      <c r="L669">
        <v>0.2</v>
      </c>
      <c r="M669">
        <v>28.706399999999999</v>
      </c>
    </row>
    <row r="670" spans="1:13" x14ac:dyDescent="0.3">
      <c r="A670" t="s">
        <v>13</v>
      </c>
      <c r="B670" t="s">
        <v>22</v>
      </c>
      <c r="C670" t="s">
        <v>15</v>
      </c>
      <c r="D670" t="s">
        <v>135</v>
      </c>
      <c r="E670" t="s">
        <v>46</v>
      </c>
      <c r="F670">
        <v>75081</v>
      </c>
      <c r="G670" t="s">
        <v>47</v>
      </c>
      <c r="H670" t="s">
        <v>35</v>
      </c>
      <c r="I670" t="s">
        <v>36</v>
      </c>
      <c r="J670">
        <v>381.57600000000002</v>
      </c>
      <c r="K670">
        <v>3</v>
      </c>
      <c r="L670">
        <v>0.2</v>
      </c>
      <c r="M670">
        <v>28.618200000000002</v>
      </c>
    </row>
    <row r="671" spans="1:13" x14ac:dyDescent="0.3">
      <c r="A671" t="s">
        <v>62</v>
      </c>
      <c r="B671" t="s">
        <v>14</v>
      </c>
      <c r="C671" t="s">
        <v>15</v>
      </c>
      <c r="D671" t="s">
        <v>221</v>
      </c>
      <c r="E671" t="s">
        <v>104</v>
      </c>
      <c r="F671">
        <v>44105</v>
      </c>
      <c r="G671" t="s">
        <v>57</v>
      </c>
      <c r="H671" t="s">
        <v>19</v>
      </c>
      <c r="I671" t="s">
        <v>33</v>
      </c>
      <c r="J671">
        <v>30.36</v>
      </c>
      <c r="K671">
        <v>5</v>
      </c>
      <c r="L671">
        <v>0.2</v>
      </c>
      <c r="M671">
        <v>8.7285000000000004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33</v>
      </c>
      <c r="J672">
        <v>23.975999999999999</v>
      </c>
      <c r="K672">
        <v>3</v>
      </c>
      <c r="L672">
        <v>0.6</v>
      </c>
      <c r="M672">
        <v>-14.3856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19</v>
      </c>
      <c r="I673" t="s">
        <v>31</v>
      </c>
      <c r="J673">
        <v>108.925</v>
      </c>
      <c r="K673">
        <v>1</v>
      </c>
      <c r="L673">
        <v>0.5</v>
      </c>
      <c r="M673">
        <v>-71.890500000000003</v>
      </c>
    </row>
    <row r="674" spans="1:13" x14ac:dyDescent="0.3">
      <c r="A674" t="s">
        <v>28</v>
      </c>
      <c r="B674" t="s">
        <v>44</v>
      </c>
      <c r="C674" t="s">
        <v>15</v>
      </c>
      <c r="D674" t="s">
        <v>79</v>
      </c>
      <c r="E674" t="s">
        <v>65</v>
      </c>
      <c r="F674">
        <v>60653</v>
      </c>
      <c r="G674" t="s">
        <v>47</v>
      </c>
      <c r="H674" t="s">
        <v>26</v>
      </c>
      <c r="I674" t="s">
        <v>41</v>
      </c>
      <c r="J674">
        <v>36.351999999999997</v>
      </c>
      <c r="K674">
        <v>8</v>
      </c>
      <c r="L674">
        <v>0.2</v>
      </c>
      <c r="M674">
        <v>11.36</v>
      </c>
    </row>
    <row r="675" spans="1:13" x14ac:dyDescent="0.3">
      <c r="A675" t="s">
        <v>28</v>
      </c>
      <c r="B675" t="s">
        <v>14</v>
      </c>
      <c r="C675" t="s">
        <v>15</v>
      </c>
      <c r="D675" t="s">
        <v>172</v>
      </c>
      <c r="E675" t="s">
        <v>65</v>
      </c>
      <c r="F675">
        <v>62301</v>
      </c>
      <c r="G675" t="s">
        <v>47</v>
      </c>
      <c r="H675" t="s">
        <v>26</v>
      </c>
      <c r="I675" t="s">
        <v>34</v>
      </c>
      <c r="J675">
        <v>19.559999999999999</v>
      </c>
      <c r="K675">
        <v>5</v>
      </c>
      <c r="L675">
        <v>0.2</v>
      </c>
      <c r="M675">
        <v>1.7115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38</v>
      </c>
      <c r="J676">
        <v>61.44</v>
      </c>
      <c r="K676">
        <v>3</v>
      </c>
      <c r="L676">
        <v>0</v>
      </c>
      <c r="M676">
        <v>16.588799999999999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26</v>
      </c>
      <c r="I677" t="s">
        <v>41</v>
      </c>
      <c r="J677">
        <v>38.9</v>
      </c>
      <c r="K677">
        <v>5</v>
      </c>
      <c r="L677">
        <v>0</v>
      </c>
      <c r="M677">
        <v>17.504999999999999</v>
      </c>
    </row>
    <row r="678" spans="1:13" x14ac:dyDescent="0.3">
      <c r="A678" t="s">
        <v>62</v>
      </c>
      <c r="B678" t="s">
        <v>14</v>
      </c>
      <c r="C678" t="s">
        <v>15</v>
      </c>
      <c r="D678" t="s">
        <v>103</v>
      </c>
      <c r="E678" t="s">
        <v>74</v>
      </c>
      <c r="F678">
        <v>47201</v>
      </c>
      <c r="G678" t="s">
        <v>47</v>
      </c>
      <c r="H678" t="s">
        <v>35</v>
      </c>
      <c r="I678" t="s">
        <v>59</v>
      </c>
      <c r="J678">
        <v>99.39</v>
      </c>
      <c r="K678">
        <v>3</v>
      </c>
      <c r="L678">
        <v>0</v>
      </c>
      <c r="M678">
        <v>40.749899999999997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26</v>
      </c>
      <c r="I679" t="s">
        <v>38</v>
      </c>
      <c r="J679">
        <v>2.6880000000000002</v>
      </c>
      <c r="K679">
        <v>3</v>
      </c>
      <c r="L679">
        <v>0.8</v>
      </c>
      <c r="M679">
        <v>-7.3920000000000003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35</v>
      </c>
      <c r="I680" t="s">
        <v>59</v>
      </c>
      <c r="J680">
        <v>27.815999999999999</v>
      </c>
      <c r="K680">
        <v>3</v>
      </c>
      <c r="L680">
        <v>0.2</v>
      </c>
      <c r="M680">
        <v>4.5201000000000002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19</v>
      </c>
      <c r="I681" t="s">
        <v>33</v>
      </c>
      <c r="J681">
        <v>82.524000000000001</v>
      </c>
      <c r="K681">
        <v>3</v>
      </c>
      <c r="L681">
        <v>0.6</v>
      </c>
      <c r="M681">
        <v>-41.262</v>
      </c>
    </row>
    <row r="682" spans="1:13" x14ac:dyDescent="0.3">
      <c r="A682" t="s">
        <v>28</v>
      </c>
      <c r="B682" t="s">
        <v>14</v>
      </c>
      <c r="C682" t="s">
        <v>15</v>
      </c>
      <c r="D682" t="s">
        <v>222</v>
      </c>
      <c r="E682" t="s">
        <v>46</v>
      </c>
      <c r="F682">
        <v>75701</v>
      </c>
      <c r="G682" t="s">
        <v>47</v>
      </c>
      <c r="H682" t="s">
        <v>26</v>
      </c>
      <c r="I682" t="s">
        <v>37</v>
      </c>
      <c r="J682">
        <v>182.994</v>
      </c>
      <c r="K682">
        <v>3</v>
      </c>
      <c r="L682">
        <v>0.8</v>
      </c>
      <c r="M682">
        <v>-320.23950000000002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37</v>
      </c>
      <c r="J683">
        <v>14.352</v>
      </c>
      <c r="K683">
        <v>3</v>
      </c>
      <c r="L683">
        <v>0.2</v>
      </c>
      <c r="M683">
        <v>4.6643999999999997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64.959999999999994</v>
      </c>
      <c r="K684">
        <v>2</v>
      </c>
      <c r="L684">
        <v>0</v>
      </c>
      <c r="M684">
        <v>2.5983999999999998</v>
      </c>
    </row>
    <row r="685" spans="1:13" x14ac:dyDescent="0.3">
      <c r="A685" t="s">
        <v>28</v>
      </c>
      <c r="B685" t="s">
        <v>14</v>
      </c>
      <c r="C685" t="s">
        <v>15</v>
      </c>
      <c r="D685" t="s">
        <v>75</v>
      </c>
      <c r="E685" t="s">
        <v>76</v>
      </c>
      <c r="F685">
        <v>10024</v>
      </c>
      <c r="G685" t="s">
        <v>57</v>
      </c>
      <c r="H685" t="s">
        <v>26</v>
      </c>
      <c r="I685" t="s">
        <v>32</v>
      </c>
      <c r="J685">
        <v>68.599999999999994</v>
      </c>
      <c r="K685">
        <v>4</v>
      </c>
      <c r="L685">
        <v>0</v>
      </c>
      <c r="M685">
        <v>18.521999999999998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35</v>
      </c>
      <c r="I686" t="s">
        <v>123</v>
      </c>
      <c r="J686">
        <v>7999.98</v>
      </c>
      <c r="K686">
        <v>4</v>
      </c>
      <c r="L686">
        <v>0.5</v>
      </c>
      <c r="M686">
        <v>-3839.9904000000001</v>
      </c>
    </row>
    <row r="687" spans="1:13" x14ac:dyDescent="0.3">
      <c r="A687" t="s">
        <v>168</v>
      </c>
      <c r="B687" t="s">
        <v>22</v>
      </c>
      <c r="C687" t="s">
        <v>15</v>
      </c>
      <c r="D687" t="s">
        <v>223</v>
      </c>
      <c r="E687" t="s">
        <v>40</v>
      </c>
      <c r="F687">
        <v>27217</v>
      </c>
      <c r="G687" t="s">
        <v>18</v>
      </c>
      <c r="H687" t="s">
        <v>26</v>
      </c>
      <c r="I687" t="s">
        <v>38</v>
      </c>
      <c r="J687">
        <v>167.44</v>
      </c>
      <c r="K687">
        <v>2</v>
      </c>
      <c r="L687">
        <v>0.2</v>
      </c>
      <c r="M687">
        <v>14.651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35</v>
      </c>
      <c r="I688" t="s">
        <v>59</v>
      </c>
      <c r="J688">
        <v>479.97</v>
      </c>
      <c r="K688">
        <v>3</v>
      </c>
      <c r="L688">
        <v>0</v>
      </c>
      <c r="M688">
        <v>163.18979999999999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27</v>
      </c>
      <c r="J689">
        <v>14.62</v>
      </c>
      <c r="K689">
        <v>2</v>
      </c>
      <c r="L689">
        <v>0</v>
      </c>
      <c r="M689">
        <v>6.8714000000000004</v>
      </c>
    </row>
    <row r="690" spans="1:13" x14ac:dyDescent="0.3">
      <c r="A690" t="s">
        <v>62</v>
      </c>
      <c r="B690" t="s">
        <v>14</v>
      </c>
      <c r="C690" t="s">
        <v>15</v>
      </c>
      <c r="D690" t="s">
        <v>84</v>
      </c>
      <c r="E690" t="s">
        <v>185</v>
      </c>
      <c r="F690">
        <v>39212</v>
      </c>
      <c r="G690" t="s">
        <v>18</v>
      </c>
      <c r="H690" t="s">
        <v>26</v>
      </c>
      <c r="I690" t="s">
        <v>41</v>
      </c>
      <c r="J690">
        <v>19.440000000000001</v>
      </c>
      <c r="K690">
        <v>3</v>
      </c>
      <c r="L690">
        <v>0</v>
      </c>
      <c r="M690">
        <v>9.3312000000000008</v>
      </c>
    </row>
    <row r="691" spans="1:13" x14ac:dyDescent="0.3">
      <c r="A691" t="s">
        <v>28</v>
      </c>
      <c r="B691" t="s">
        <v>14</v>
      </c>
      <c r="C691" t="s">
        <v>15</v>
      </c>
      <c r="D691" t="s">
        <v>75</v>
      </c>
      <c r="E691" t="s">
        <v>76</v>
      </c>
      <c r="F691">
        <v>10035</v>
      </c>
      <c r="G691" t="s">
        <v>57</v>
      </c>
      <c r="H691" t="s">
        <v>19</v>
      </c>
      <c r="I691" t="s">
        <v>20</v>
      </c>
      <c r="J691">
        <v>191.98400000000001</v>
      </c>
      <c r="K691">
        <v>2</v>
      </c>
      <c r="L691">
        <v>0.2</v>
      </c>
      <c r="M691">
        <v>4.7995999999999999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19</v>
      </c>
      <c r="I692" t="s">
        <v>33</v>
      </c>
      <c r="J692">
        <v>104.01</v>
      </c>
      <c r="K692">
        <v>1</v>
      </c>
      <c r="L692">
        <v>0</v>
      </c>
      <c r="M692">
        <v>14.561400000000001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35</v>
      </c>
      <c r="I693" t="s">
        <v>36</v>
      </c>
      <c r="J693">
        <v>284.82</v>
      </c>
      <c r="K693">
        <v>1</v>
      </c>
      <c r="L693">
        <v>0</v>
      </c>
      <c r="M693">
        <v>74.053200000000004</v>
      </c>
    </row>
    <row r="694" spans="1:13" x14ac:dyDescent="0.3">
      <c r="A694" t="s">
        <v>13</v>
      </c>
      <c r="B694" t="s">
        <v>14</v>
      </c>
      <c r="C694" t="s">
        <v>15</v>
      </c>
      <c r="D694" t="s">
        <v>224</v>
      </c>
      <c r="E694" t="s">
        <v>83</v>
      </c>
      <c r="F694">
        <v>22980</v>
      </c>
      <c r="G694" t="s">
        <v>18</v>
      </c>
      <c r="H694" t="s">
        <v>26</v>
      </c>
      <c r="I694" t="s">
        <v>32</v>
      </c>
      <c r="J694">
        <v>36.840000000000003</v>
      </c>
      <c r="K694">
        <v>3</v>
      </c>
      <c r="L694">
        <v>0</v>
      </c>
      <c r="M694">
        <v>10.315200000000001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35</v>
      </c>
      <c r="I695" t="s">
        <v>59</v>
      </c>
      <c r="J695">
        <v>166.24</v>
      </c>
      <c r="K695">
        <v>1</v>
      </c>
      <c r="L695">
        <v>0</v>
      </c>
      <c r="M695">
        <v>24.936</v>
      </c>
    </row>
    <row r="696" spans="1:13" x14ac:dyDescent="0.3">
      <c r="A696" t="s">
        <v>28</v>
      </c>
      <c r="B696" t="s">
        <v>14</v>
      </c>
      <c r="C696" t="s">
        <v>15</v>
      </c>
      <c r="D696" t="s">
        <v>23</v>
      </c>
      <c r="E696" t="s">
        <v>24</v>
      </c>
      <c r="F696">
        <v>90036</v>
      </c>
      <c r="G696" t="s">
        <v>25</v>
      </c>
      <c r="H696" t="s">
        <v>26</v>
      </c>
      <c r="I696" t="s">
        <v>41</v>
      </c>
      <c r="J696">
        <v>33.4</v>
      </c>
      <c r="K696">
        <v>5</v>
      </c>
      <c r="L696">
        <v>0</v>
      </c>
      <c r="M696">
        <v>16.032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34</v>
      </c>
      <c r="J697">
        <v>198.27199999999999</v>
      </c>
      <c r="K697">
        <v>8</v>
      </c>
      <c r="L697">
        <v>0.2</v>
      </c>
      <c r="M697">
        <v>17.348800000000001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27</v>
      </c>
      <c r="J698">
        <v>47.36</v>
      </c>
      <c r="K698">
        <v>4</v>
      </c>
      <c r="L698">
        <v>0.2</v>
      </c>
      <c r="M698">
        <v>17.760000000000002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60</v>
      </c>
      <c r="J699">
        <v>200.98400000000001</v>
      </c>
      <c r="K699">
        <v>7</v>
      </c>
      <c r="L699">
        <v>0.2</v>
      </c>
      <c r="M699">
        <v>62.807499999999997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27</v>
      </c>
      <c r="J700">
        <v>97.695999999999998</v>
      </c>
      <c r="K700">
        <v>4</v>
      </c>
      <c r="L700">
        <v>0.2</v>
      </c>
      <c r="M700">
        <v>31.751200000000001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34</v>
      </c>
      <c r="J701">
        <v>2.6960000000000002</v>
      </c>
      <c r="K701">
        <v>1</v>
      </c>
      <c r="L701">
        <v>0.2</v>
      </c>
      <c r="M701">
        <v>0.80879999999999996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18.588000000000001</v>
      </c>
      <c r="K702">
        <v>2</v>
      </c>
      <c r="L702">
        <v>0.7</v>
      </c>
      <c r="M702">
        <v>-13.6312</v>
      </c>
    </row>
    <row r="703" spans="1:13" x14ac:dyDescent="0.3">
      <c r="A703" t="s">
        <v>62</v>
      </c>
      <c r="B703" t="s">
        <v>44</v>
      </c>
      <c r="C703" t="s">
        <v>15</v>
      </c>
      <c r="D703" t="s">
        <v>225</v>
      </c>
      <c r="E703" t="s">
        <v>56</v>
      </c>
      <c r="F703">
        <v>19013</v>
      </c>
      <c r="G703" t="s">
        <v>57</v>
      </c>
      <c r="H703" t="s">
        <v>26</v>
      </c>
      <c r="I703" t="s">
        <v>37</v>
      </c>
      <c r="J703">
        <v>4.8959999999999999</v>
      </c>
      <c r="K703">
        <v>3</v>
      </c>
      <c r="L703">
        <v>0.7</v>
      </c>
      <c r="M703">
        <v>-3.4272</v>
      </c>
    </row>
    <row r="704" spans="1:13" x14ac:dyDescent="0.3">
      <c r="A704" t="s">
        <v>28</v>
      </c>
      <c r="B704" t="s">
        <v>22</v>
      </c>
      <c r="C704" t="s">
        <v>15</v>
      </c>
      <c r="D704" t="s">
        <v>221</v>
      </c>
      <c r="E704" t="s">
        <v>104</v>
      </c>
      <c r="F704">
        <v>44105</v>
      </c>
      <c r="G704" t="s">
        <v>57</v>
      </c>
      <c r="H704" t="s">
        <v>19</v>
      </c>
      <c r="I704" t="s">
        <v>33</v>
      </c>
      <c r="J704">
        <v>15.071999999999999</v>
      </c>
      <c r="K704">
        <v>3</v>
      </c>
      <c r="L704">
        <v>0.2</v>
      </c>
      <c r="M704">
        <v>4.1448</v>
      </c>
    </row>
    <row r="705" spans="1:13" x14ac:dyDescent="0.3">
      <c r="A705" t="s">
        <v>13</v>
      </c>
      <c r="B705" t="s">
        <v>22</v>
      </c>
      <c r="C705" t="s">
        <v>15</v>
      </c>
      <c r="D705" t="s">
        <v>42</v>
      </c>
      <c r="E705" t="s">
        <v>43</v>
      </c>
      <c r="F705">
        <v>98103</v>
      </c>
      <c r="G705" t="s">
        <v>25</v>
      </c>
      <c r="H705" t="s">
        <v>19</v>
      </c>
      <c r="I705" t="s">
        <v>33</v>
      </c>
      <c r="J705">
        <v>209.88</v>
      </c>
      <c r="K705">
        <v>3</v>
      </c>
      <c r="L705">
        <v>0</v>
      </c>
      <c r="M705">
        <v>35.679600000000001</v>
      </c>
    </row>
    <row r="706" spans="1:13" x14ac:dyDescent="0.3">
      <c r="A706" t="s">
        <v>28</v>
      </c>
      <c r="B706" t="s">
        <v>14</v>
      </c>
      <c r="C706" t="s">
        <v>15</v>
      </c>
      <c r="D706" t="s">
        <v>159</v>
      </c>
      <c r="E706" t="s">
        <v>24</v>
      </c>
      <c r="F706">
        <v>90805</v>
      </c>
      <c r="G706" t="s">
        <v>25</v>
      </c>
      <c r="H706" t="s">
        <v>19</v>
      </c>
      <c r="I706" t="s">
        <v>31</v>
      </c>
      <c r="J706">
        <v>369.91199999999998</v>
      </c>
      <c r="K706">
        <v>3</v>
      </c>
      <c r="L706">
        <v>0.2</v>
      </c>
      <c r="M706">
        <v>-13.871700000000001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41</v>
      </c>
      <c r="J707">
        <v>10.368</v>
      </c>
      <c r="K707">
        <v>2</v>
      </c>
      <c r="L707">
        <v>0.2</v>
      </c>
      <c r="M707">
        <v>3.6288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26</v>
      </c>
      <c r="I708" t="s">
        <v>38</v>
      </c>
      <c r="J708">
        <v>166.84</v>
      </c>
      <c r="K708">
        <v>5</v>
      </c>
      <c r="L708">
        <v>0.2</v>
      </c>
      <c r="M708">
        <v>18.769500000000001</v>
      </c>
    </row>
    <row r="709" spans="1:13" x14ac:dyDescent="0.3">
      <c r="A709" t="s">
        <v>28</v>
      </c>
      <c r="B709" t="s">
        <v>22</v>
      </c>
      <c r="C709" t="s">
        <v>15</v>
      </c>
      <c r="D709" t="s">
        <v>226</v>
      </c>
      <c r="E709" t="s">
        <v>40</v>
      </c>
      <c r="F709">
        <v>27511</v>
      </c>
      <c r="G709" t="s">
        <v>18</v>
      </c>
      <c r="H709" t="s">
        <v>35</v>
      </c>
      <c r="I709" t="s">
        <v>59</v>
      </c>
      <c r="J709">
        <v>15.215999999999999</v>
      </c>
      <c r="K709">
        <v>1</v>
      </c>
      <c r="L709">
        <v>0.2</v>
      </c>
      <c r="M709">
        <v>2.2824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35</v>
      </c>
      <c r="I710" t="s">
        <v>59</v>
      </c>
      <c r="J710">
        <v>119.96</v>
      </c>
      <c r="K710">
        <v>4</v>
      </c>
      <c r="L710">
        <v>0</v>
      </c>
      <c r="M710">
        <v>52.782400000000003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19</v>
      </c>
      <c r="I711" t="s">
        <v>20</v>
      </c>
      <c r="J711">
        <v>883.92</v>
      </c>
      <c r="K711">
        <v>5</v>
      </c>
      <c r="L711">
        <v>0.2</v>
      </c>
      <c r="M711">
        <v>-110.49</v>
      </c>
    </row>
    <row r="712" spans="1:13" x14ac:dyDescent="0.3">
      <c r="A712" t="s">
        <v>62</v>
      </c>
      <c r="B712" t="s">
        <v>14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37</v>
      </c>
      <c r="J712">
        <v>46.72</v>
      </c>
      <c r="K712">
        <v>8</v>
      </c>
      <c r="L712">
        <v>0.2</v>
      </c>
      <c r="M712">
        <v>15.768000000000001</v>
      </c>
    </row>
    <row r="713" spans="1:13" x14ac:dyDescent="0.3">
      <c r="A713" t="s">
        <v>62</v>
      </c>
      <c r="B713" t="s">
        <v>44</v>
      </c>
      <c r="C713" t="s">
        <v>15</v>
      </c>
      <c r="D713" t="s">
        <v>75</v>
      </c>
      <c r="E713" t="s">
        <v>76</v>
      </c>
      <c r="F713">
        <v>10035</v>
      </c>
      <c r="G713" t="s">
        <v>57</v>
      </c>
      <c r="H713" t="s">
        <v>26</v>
      </c>
      <c r="I713" t="s">
        <v>41</v>
      </c>
      <c r="J713">
        <v>55.48</v>
      </c>
      <c r="K713">
        <v>1</v>
      </c>
      <c r="L713">
        <v>0</v>
      </c>
      <c r="M713">
        <v>26.630400000000002</v>
      </c>
    </row>
    <row r="714" spans="1:13" x14ac:dyDescent="0.3">
      <c r="A714" t="s">
        <v>28</v>
      </c>
      <c r="B714" t="s">
        <v>14</v>
      </c>
      <c r="C714" t="s">
        <v>15</v>
      </c>
      <c r="D714" t="s">
        <v>227</v>
      </c>
      <c r="E714" t="s">
        <v>30</v>
      </c>
      <c r="F714">
        <v>32137</v>
      </c>
      <c r="G714" t="s">
        <v>18</v>
      </c>
      <c r="H714" t="s">
        <v>26</v>
      </c>
      <c r="I714" t="s">
        <v>60</v>
      </c>
      <c r="J714">
        <v>24.448</v>
      </c>
      <c r="K714">
        <v>4</v>
      </c>
      <c r="L714">
        <v>0.2</v>
      </c>
      <c r="M714">
        <v>8.8623999999999992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26</v>
      </c>
      <c r="I715" t="s">
        <v>38</v>
      </c>
      <c r="J715">
        <v>281.33999999999997</v>
      </c>
      <c r="K715">
        <v>6</v>
      </c>
      <c r="L715">
        <v>0</v>
      </c>
      <c r="M715">
        <v>109.7226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36</v>
      </c>
      <c r="J716">
        <v>307.98</v>
      </c>
      <c r="K716">
        <v>2</v>
      </c>
      <c r="L716">
        <v>0</v>
      </c>
      <c r="M716">
        <v>89.3142</v>
      </c>
    </row>
    <row r="717" spans="1:13" x14ac:dyDescent="0.3">
      <c r="A717" t="s">
        <v>28</v>
      </c>
      <c r="B717" t="s">
        <v>22</v>
      </c>
      <c r="C717" t="s">
        <v>15</v>
      </c>
      <c r="D717" t="s">
        <v>228</v>
      </c>
      <c r="E717" t="s">
        <v>76</v>
      </c>
      <c r="F717">
        <v>10550</v>
      </c>
      <c r="G717" t="s">
        <v>57</v>
      </c>
      <c r="H717" t="s">
        <v>35</v>
      </c>
      <c r="I717" t="s">
        <v>59</v>
      </c>
      <c r="J717">
        <v>299.97000000000003</v>
      </c>
      <c r="K717">
        <v>3</v>
      </c>
      <c r="L717">
        <v>0</v>
      </c>
      <c r="M717">
        <v>113.98860000000001</v>
      </c>
    </row>
    <row r="718" spans="1:13" x14ac:dyDescent="0.3">
      <c r="A718" t="s">
        <v>13</v>
      </c>
      <c r="B718" t="s">
        <v>22</v>
      </c>
      <c r="C718" t="s">
        <v>15</v>
      </c>
      <c r="D718" t="s">
        <v>42</v>
      </c>
      <c r="E718" t="s">
        <v>43</v>
      </c>
      <c r="F718">
        <v>98105</v>
      </c>
      <c r="G718" t="s">
        <v>25</v>
      </c>
      <c r="H718" t="s">
        <v>26</v>
      </c>
      <c r="I718" t="s">
        <v>37</v>
      </c>
      <c r="J718">
        <v>19.920000000000002</v>
      </c>
      <c r="K718">
        <v>5</v>
      </c>
      <c r="L718">
        <v>0.2</v>
      </c>
      <c r="M718">
        <v>6.9720000000000004</v>
      </c>
    </row>
    <row r="719" spans="1:13" x14ac:dyDescent="0.3">
      <c r="A719" t="s">
        <v>62</v>
      </c>
      <c r="B719" t="s">
        <v>14</v>
      </c>
      <c r="C719" t="s">
        <v>15</v>
      </c>
      <c r="D719" t="s">
        <v>71</v>
      </c>
      <c r="E719" t="s">
        <v>72</v>
      </c>
      <c r="F719">
        <v>19901</v>
      </c>
      <c r="G719" t="s">
        <v>57</v>
      </c>
      <c r="H719" t="s">
        <v>19</v>
      </c>
      <c r="I719" t="s">
        <v>33</v>
      </c>
      <c r="J719">
        <v>9.94</v>
      </c>
      <c r="K719">
        <v>2</v>
      </c>
      <c r="L719">
        <v>0</v>
      </c>
      <c r="M719">
        <v>3.0813999999999999</v>
      </c>
    </row>
    <row r="720" spans="1:13" x14ac:dyDescent="0.3">
      <c r="A720" t="s">
        <v>28</v>
      </c>
      <c r="B720" t="s">
        <v>14</v>
      </c>
      <c r="C720" t="s">
        <v>15</v>
      </c>
      <c r="D720" t="s">
        <v>114</v>
      </c>
      <c r="E720" t="s">
        <v>104</v>
      </c>
      <c r="F720">
        <v>43055</v>
      </c>
      <c r="G720" t="s">
        <v>57</v>
      </c>
      <c r="H720" t="s">
        <v>19</v>
      </c>
      <c r="I720" t="s">
        <v>33</v>
      </c>
      <c r="J720">
        <v>103.056</v>
      </c>
      <c r="K720">
        <v>3</v>
      </c>
      <c r="L720">
        <v>0.2</v>
      </c>
      <c r="M720">
        <v>24.4758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26</v>
      </c>
      <c r="I721" t="s">
        <v>37</v>
      </c>
      <c r="J721">
        <v>59.808</v>
      </c>
      <c r="K721">
        <v>3</v>
      </c>
      <c r="L721">
        <v>0.2</v>
      </c>
      <c r="M721">
        <v>19.4376</v>
      </c>
    </row>
    <row r="722" spans="1:13" x14ac:dyDescent="0.3">
      <c r="A722" t="s">
        <v>28</v>
      </c>
      <c r="B722" t="s">
        <v>44</v>
      </c>
      <c r="C722" t="s">
        <v>15</v>
      </c>
      <c r="D722" t="s">
        <v>58</v>
      </c>
      <c r="E722" t="s">
        <v>51</v>
      </c>
      <c r="F722">
        <v>84057</v>
      </c>
      <c r="G722" t="s">
        <v>25</v>
      </c>
      <c r="H722" t="s">
        <v>19</v>
      </c>
      <c r="I722" t="s">
        <v>33</v>
      </c>
      <c r="J722">
        <v>73.319999999999993</v>
      </c>
      <c r="K722">
        <v>6</v>
      </c>
      <c r="L722">
        <v>0</v>
      </c>
      <c r="M722">
        <v>21.995999999999999</v>
      </c>
    </row>
    <row r="723" spans="1:13" x14ac:dyDescent="0.3">
      <c r="A723" t="s">
        <v>28</v>
      </c>
      <c r="B723" t="s">
        <v>44</v>
      </c>
      <c r="C723" t="s">
        <v>15</v>
      </c>
      <c r="D723" t="s">
        <v>23</v>
      </c>
      <c r="E723" t="s">
        <v>24</v>
      </c>
      <c r="F723">
        <v>90045</v>
      </c>
      <c r="G723" t="s">
        <v>25</v>
      </c>
      <c r="H723" t="s">
        <v>26</v>
      </c>
      <c r="I723" t="s">
        <v>41</v>
      </c>
      <c r="J723">
        <v>146.82</v>
      </c>
      <c r="K723">
        <v>3</v>
      </c>
      <c r="L723">
        <v>0</v>
      </c>
      <c r="M723">
        <v>73.41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19</v>
      </c>
      <c r="I724" t="s">
        <v>31</v>
      </c>
      <c r="J724">
        <v>1652.94</v>
      </c>
      <c r="K724">
        <v>3</v>
      </c>
      <c r="L724">
        <v>0</v>
      </c>
      <c r="M724">
        <v>231.41159999999999</v>
      </c>
    </row>
    <row r="725" spans="1:13" x14ac:dyDescent="0.3">
      <c r="A725" t="s">
        <v>28</v>
      </c>
      <c r="B725" t="s">
        <v>22</v>
      </c>
      <c r="C725" t="s">
        <v>15</v>
      </c>
      <c r="D725" t="s">
        <v>140</v>
      </c>
      <c r="E725" t="s">
        <v>70</v>
      </c>
      <c r="F725">
        <v>48205</v>
      </c>
      <c r="G725" t="s">
        <v>47</v>
      </c>
      <c r="H725" t="s">
        <v>26</v>
      </c>
      <c r="I725" t="s">
        <v>32</v>
      </c>
      <c r="J725">
        <v>296.37</v>
      </c>
      <c r="K725">
        <v>3</v>
      </c>
      <c r="L725">
        <v>0</v>
      </c>
      <c r="M725">
        <v>80.019900000000007</v>
      </c>
    </row>
    <row r="726" spans="1:13" x14ac:dyDescent="0.3">
      <c r="A726" t="s">
        <v>28</v>
      </c>
      <c r="B726" t="s">
        <v>44</v>
      </c>
      <c r="C726" t="s">
        <v>15</v>
      </c>
      <c r="D726" t="s">
        <v>55</v>
      </c>
      <c r="E726" t="s">
        <v>56</v>
      </c>
      <c r="F726">
        <v>19140</v>
      </c>
      <c r="G726" t="s">
        <v>57</v>
      </c>
      <c r="H726" t="s">
        <v>19</v>
      </c>
      <c r="I726" t="s">
        <v>33</v>
      </c>
      <c r="J726">
        <v>129.91999999999999</v>
      </c>
      <c r="K726">
        <v>5</v>
      </c>
      <c r="L726">
        <v>0.2</v>
      </c>
      <c r="M726">
        <v>21.111999999999998</v>
      </c>
    </row>
    <row r="727" spans="1:13" x14ac:dyDescent="0.3">
      <c r="A727" t="s">
        <v>28</v>
      </c>
      <c r="B727" t="s">
        <v>22</v>
      </c>
      <c r="C727" t="s">
        <v>15</v>
      </c>
      <c r="D727" t="s">
        <v>229</v>
      </c>
      <c r="E727" t="s">
        <v>30</v>
      </c>
      <c r="F727">
        <v>33012</v>
      </c>
      <c r="G727" t="s">
        <v>18</v>
      </c>
      <c r="H727" t="s">
        <v>26</v>
      </c>
      <c r="I727" t="s">
        <v>110</v>
      </c>
      <c r="J727">
        <v>45.584000000000003</v>
      </c>
      <c r="K727">
        <v>7</v>
      </c>
      <c r="L727">
        <v>0.2</v>
      </c>
      <c r="M727">
        <v>5.1281999999999996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26</v>
      </c>
      <c r="I728" t="s">
        <v>60</v>
      </c>
      <c r="J728">
        <v>17.568000000000001</v>
      </c>
      <c r="K728">
        <v>2</v>
      </c>
      <c r="L728">
        <v>0.2</v>
      </c>
      <c r="M728">
        <v>6.3684000000000003</v>
      </c>
    </row>
    <row r="729" spans="1:13" x14ac:dyDescent="0.3">
      <c r="A729" t="s">
        <v>28</v>
      </c>
      <c r="B729" t="s">
        <v>14</v>
      </c>
      <c r="C729" t="s">
        <v>15</v>
      </c>
      <c r="D729" t="s">
        <v>164</v>
      </c>
      <c r="E729" t="s">
        <v>46</v>
      </c>
      <c r="F729">
        <v>78745</v>
      </c>
      <c r="G729" t="s">
        <v>47</v>
      </c>
      <c r="H729" t="s">
        <v>35</v>
      </c>
      <c r="I729" t="s">
        <v>36</v>
      </c>
      <c r="J729">
        <v>55.991999999999997</v>
      </c>
      <c r="K729">
        <v>1</v>
      </c>
      <c r="L729">
        <v>0.2</v>
      </c>
      <c r="M729">
        <v>5.5991999999999997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26</v>
      </c>
      <c r="I730" t="s">
        <v>41</v>
      </c>
      <c r="J730">
        <v>182.72</v>
      </c>
      <c r="K730">
        <v>8</v>
      </c>
      <c r="L730">
        <v>0</v>
      </c>
      <c r="M730">
        <v>84.051199999999994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19</v>
      </c>
      <c r="I731" t="s">
        <v>31</v>
      </c>
      <c r="J731">
        <v>400.03199999999998</v>
      </c>
      <c r="K731">
        <v>2</v>
      </c>
      <c r="L731">
        <v>0.4</v>
      </c>
      <c r="M731">
        <v>-153.34559999999999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26</v>
      </c>
      <c r="I732" t="s">
        <v>32</v>
      </c>
      <c r="J732">
        <v>33.630000000000003</v>
      </c>
      <c r="K732">
        <v>3</v>
      </c>
      <c r="L732">
        <v>0</v>
      </c>
      <c r="M732">
        <v>10.089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19</v>
      </c>
      <c r="I733" t="s">
        <v>21</v>
      </c>
      <c r="J733">
        <v>542.64599999999996</v>
      </c>
      <c r="K733">
        <v>3</v>
      </c>
      <c r="L733">
        <v>0.1</v>
      </c>
      <c r="M733">
        <v>102.49979999999999</v>
      </c>
    </row>
    <row r="734" spans="1:13" x14ac:dyDescent="0.3">
      <c r="A734" t="s">
        <v>62</v>
      </c>
      <c r="B734" t="s">
        <v>14</v>
      </c>
      <c r="C734" t="s">
        <v>15</v>
      </c>
      <c r="D734" t="s">
        <v>230</v>
      </c>
      <c r="E734" t="s">
        <v>76</v>
      </c>
      <c r="F734">
        <v>11572</v>
      </c>
      <c r="G734" t="s">
        <v>57</v>
      </c>
      <c r="H734" t="s">
        <v>26</v>
      </c>
      <c r="I734" t="s">
        <v>27</v>
      </c>
      <c r="J734">
        <v>6.3</v>
      </c>
      <c r="K734">
        <v>2</v>
      </c>
      <c r="L734">
        <v>0</v>
      </c>
      <c r="M734">
        <v>3.024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26</v>
      </c>
      <c r="I735" t="s">
        <v>32</v>
      </c>
      <c r="J735">
        <v>242.94</v>
      </c>
      <c r="K735">
        <v>3</v>
      </c>
      <c r="L735">
        <v>0</v>
      </c>
      <c r="M735">
        <v>9.7175999999999991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35</v>
      </c>
      <c r="I736" t="s">
        <v>59</v>
      </c>
      <c r="J736">
        <v>179.97</v>
      </c>
      <c r="K736">
        <v>3</v>
      </c>
      <c r="L736">
        <v>0</v>
      </c>
      <c r="M736">
        <v>86.385599999999997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99.695999999999998</v>
      </c>
      <c r="K737">
        <v>6</v>
      </c>
      <c r="L737">
        <v>0.2</v>
      </c>
      <c r="M737">
        <v>33.647399999999998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26</v>
      </c>
      <c r="I738" t="s">
        <v>37</v>
      </c>
      <c r="J738">
        <v>27.936</v>
      </c>
      <c r="K738">
        <v>4</v>
      </c>
      <c r="L738">
        <v>0.2</v>
      </c>
      <c r="M738">
        <v>9.4283999999999999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19</v>
      </c>
      <c r="I739" t="s">
        <v>20</v>
      </c>
      <c r="J739">
        <v>84.98</v>
      </c>
      <c r="K739">
        <v>1</v>
      </c>
      <c r="L739">
        <v>0</v>
      </c>
      <c r="M739">
        <v>18.695599999999999</v>
      </c>
    </row>
    <row r="740" spans="1:13" x14ac:dyDescent="0.3">
      <c r="A740" t="s">
        <v>28</v>
      </c>
      <c r="B740" t="s">
        <v>44</v>
      </c>
      <c r="C740" t="s">
        <v>15</v>
      </c>
      <c r="D740" t="s">
        <v>42</v>
      </c>
      <c r="E740" t="s">
        <v>43</v>
      </c>
      <c r="F740">
        <v>98115</v>
      </c>
      <c r="G740" t="s">
        <v>25</v>
      </c>
      <c r="H740" t="s">
        <v>26</v>
      </c>
      <c r="I740" t="s">
        <v>37</v>
      </c>
      <c r="J740">
        <v>18.72</v>
      </c>
      <c r="K740">
        <v>5</v>
      </c>
      <c r="L740">
        <v>0.2</v>
      </c>
      <c r="M740">
        <v>6.5519999999999996</v>
      </c>
    </row>
    <row r="741" spans="1:13" x14ac:dyDescent="0.3">
      <c r="A741" t="s">
        <v>28</v>
      </c>
      <c r="B741" t="s">
        <v>14</v>
      </c>
      <c r="C741" t="s">
        <v>15</v>
      </c>
      <c r="D741" t="s">
        <v>52</v>
      </c>
      <c r="E741" t="s">
        <v>24</v>
      </c>
      <c r="F741">
        <v>94110</v>
      </c>
      <c r="G741" t="s">
        <v>25</v>
      </c>
      <c r="H741" t="s">
        <v>35</v>
      </c>
      <c r="I741" t="s">
        <v>59</v>
      </c>
      <c r="J741">
        <v>49.98</v>
      </c>
      <c r="K741">
        <v>2</v>
      </c>
      <c r="L741">
        <v>0</v>
      </c>
      <c r="M741">
        <v>8.4966000000000008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27</v>
      </c>
      <c r="J742">
        <v>11.784000000000001</v>
      </c>
      <c r="K742">
        <v>3</v>
      </c>
      <c r="L742">
        <v>0.2</v>
      </c>
      <c r="M742">
        <v>4.2717000000000001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32</v>
      </c>
      <c r="J743">
        <v>272.73599999999999</v>
      </c>
      <c r="K743">
        <v>3</v>
      </c>
      <c r="L743">
        <v>0.2</v>
      </c>
      <c r="M743">
        <v>-64.774799999999999</v>
      </c>
    </row>
    <row r="744" spans="1:13" x14ac:dyDescent="0.3">
      <c r="A744" t="s">
        <v>28</v>
      </c>
      <c r="B744" t="s">
        <v>44</v>
      </c>
      <c r="C744" t="s">
        <v>15</v>
      </c>
      <c r="D744" t="s">
        <v>64</v>
      </c>
      <c r="E744" t="s">
        <v>65</v>
      </c>
      <c r="F744">
        <v>60540</v>
      </c>
      <c r="G744" t="s">
        <v>47</v>
      </c>
      <c r="H744" t="s">
        <v>26</v>
      </c>
      <c r="I744" t="s">
        <v>37</v>
      </c>
      <c r="J744">
        <v>3.54</v>
      </c>
      <c r="K744">
        <v>2</v>
      </c>
      <c r="L744">
        <v>0.8</v>
      </c>
      <c r="M744">
        <v>-5.4870000000000001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110</v>
      </c>
      <c r="J745">
        <v>51.52</v>
      </c>
      <c r="K745">
        <v>5</v>
      </c>
      <c r="L745">
        <v>0.2</v>
      </c>
      <c r="M745">
        <v>-10.948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3.528</v>
      </c>
      <c r="K746">
        <v>1</v>
      </c>
      <c r="L746">
        <v>0.2</v>
      </c>
      <c r="M746">
        <v>1.1466000000000001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41</v>
      </c>
      <c r="J747">
        <v>4.6239999999999997</v>
      </c>
      <c r="K747">
        <v>1</v>
      </c>
      <c r="L747">
        <v>0.2</v>
      </c>
      <c r="M747">
        <v>1.6761999999999999</v>
      </c>
    </row>
    <row r="748" spans="1:13" x14ac:dyDescent="0.3">
      <c r="A748" t="s">
        <v>28</v>
      </c>
      <c r="B748" t="s">
        <v>14</v>
      </c>
      <c r="C748" t="s">
        <v>15</v>
      </c>
      <c r="D748" t="s">
        <v>135</v>
      </c>
      <c r="E748" t="s">
        <v>46</v>
      </c>
      <c r="F748">
        <v>75220</v>
      </c>
      <c r="G748" t="s">
        <v>47</v>
      </c>
      <c r="H748" t="s">
        <v>26</v>
      </c>
      <c r="I748" t="s">
        <v>110</v>
      </c>
      <c r="J748">
        <v>55.167999999999999</v>
      </c>
      <c r="K748">
        <v>4</v>
      </c>
      <c r="L748">
        <v>0.2</v>
      </c>
      <c r="M748">
        <v>6.2064000000000004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19</v>
      </c>
      <c r="I749" t="s">
        <v>31</v>
      </c>
      <c r="J749">
        <v>567.12</v>
      </c>
      <c r="K749">
        <v>10</v>
      </c>
      <c r="L749">
        <v>0.2</v>
      </c>
      <c r="M749">
        <v>-28.356000000000002</v>
      </c>
    </row>
    <row r="750" spans="1:13" x14ac:dyDescent="0.3">
      <c r="A750" t="s">
        <v>168</v>
      </c>
      <c r="B750" t="s">
        <v>22</v>
      </c>
      <c r="C750" t="s">
        <v>15</v>
      </c>
      <c r="D750" t="s">
        <v>144</v>
      </c>
      <c r="E750" t="s">
        <v>24</v>
      </c>
      <c r="F750">
        <v>92105</v>
      </c>
      <c r="G750" t="s">
        <v>25</v>
      </c>
      <c r="H750" t="s">
        <v>26</v>
      </c>
      <c r="I750" t="s">
        <v>32</v>
      </c>
      <c r="J750">
        <v>359.32</v>
      </c>
      <c r="K750">
        <v>4</v>
      </c>
      <c r="L750">
        <v>0</v>
      </c>
      <c r="M750">
        <v>7.1863999999999999</v>
      </c>
    </row>
    <row r="751" spans="1:13" x14ac:dyDescent="0.3">
      <c r="A751" t="s">
        <v>13</v>
      </c>
      <c r="B751" t="s">
        <v>14</v>
      </c>
      <c r="C751" t="s">
        <v>15</v>
      </c>
      <c r="D751" t="s">
        <v>231</v>
      </c>
      <c r="E751" t="s">
        <v>65</v>
      </c>
      <c r="F751">
        <v>60201</v>
      </c>
      <c r="G751" t="s">
        <v>47</v>
      </c>
      <c r="H751" t="s">
        <v>35</v>
      </c>
      <c r="I751" t="s">
        <v>36</v>
      </c>
      <c r="J751">
        <v>11.992000000000001</v>
      </c>
      <c r="K751">
        <v>1</v>
      </c>
      <c r="L751">
        <v>0.2</v>
      </c>
      <c r="M751">
        <v>0.89939999999999998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26</v>
      </c>
      <c r="I752" t="s">
        <v>37</v>
      </c>
      <c r="J752">
        <v>58.05</v>
      </c>
      <c r="K752">
        <v>3</v>
      </c>
      <c r="L752">
        <v>0</v>
      </c>
      <c r="M752">
        <v>26.702999999999999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19</v>
      </c>
      <c r="I753" t="s">
        <v>33</v>
      </c>
      <c r="J753">
        <v>157.74</v>
      </c>
      <c r="K753">
        <v>11</v>
      </c>
      <c r="L753">
        <v>0</v>
      </c>
      <c r="M753">
        <v>56.7864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34</v>
      </c>
      <c r="J754">
        <v>56.98</v>
      </c>
      <c r="K754">
        <v>7</v>
      </c>
      <c r="L754">
        <v>0</v>
      </c>
      <c r="M754">
        <v>22.792000000000002</v>
      </c>
    </row>
    <row r="755" spans="1:13" x14ac:dyDescent="0.3">
      <c r="A755" t="s">
        <v>28</v>
      </c>
      <c r="B755" t="s">
        <v>14</v>
      </c>
      <c r="C755" t="s">
        <v>15</v>
      </c>
      <c r="D755" t="s">
        <v>232</v>
      </c>
      <c r="E755" t="s">
        <v>70</v>
      </c>
      <c r="F755">
        <v>48183</v>
      </c>
      <c r="G755" t="s">
        <v>47</v>
      </c>
      <c r="H755" t="s">
        <v>26</v>
      </c>
      <c r="I755" t="s">
        <v>37</v>
      </c>
      <c r="J755">
        <v>2.88</v>
      </c>
      <c r="K755">
        <v>1</v>
      </c>
      <c r="L755">
        <v>0</v>
      </c>
      <c r="M755">
        <v>1.4112</v>
      </c>
    </row>
    <row r="756" spans="1:13" x14ac:dyDescent="0.3">
      <c r="A756" t="s">
        <v>62</v>
      </c>
      <c r="B756" t="s">
        <v>22</v>
      </c>
      <c r="C756" t="s">
        <v>15</v>
      </c>
      <c r="D756" t="s">
        <v>52</v>
      </c>
      <c r="E756" t="s">
        <v>24</v>
      </c>
      <c r="F756">
        <v>94110</v>
      </c>
      <c r="G756" t="s">
        <v>25</v>
      </c>
      <c r="H756" t="s">
        <v>35</v>
      </c>
      <c r="I756" t="s">
        <v>162</v>
      </c>
      <c r="J756">
        <v>1199.9760000000001</v>
      </c>
      <c r="K756">
        <v>3</v>
      </c>
      <c r="L756">
        <v>0.2</v>
      </c>
      <c r="M756">
        <v>374.99250000000001</v>
      </c>
    </row>
    <row r="757" spans="1:13" x14ac:dyDescent="0.3">
      <c r="A757" t="s">
        <v>28</v>
      </c>
      <c r="B757" t="s">
        <v>14</v>
      </c>
      <c r="C757" t="s">
        <v>15</v>
      </c>
      <c r="D757" t="s">
        <v>23</v>
      </c>
      <c r="E757" t="s">
        <v>24</v>
      </c>
      <c r="F757">
        <v>90036</v>
      </c>
      <c r="G757" t="s">
        <v>25</v>
      </c>
      <c r="H757" t="s">
        <v>19</v>
      </c>
      <c r="I757" t="s">
        <v>33</v>
      </c>
      <c r="J757">
        <v>79.92</v>
      </c>
      <c r="K757">
        <v>4</v>
      </c>
      <c r="L757">
        <v>0</v>
      </c>
      <c r="M757">
        <v>28.7712</v>
      </c>
    </row>
    <row r="758" spans="1:13" x14ac:dyDescent="0.3">
      <c r="A758" t="s">
        <v>28</v>
      </c>
      <c r="B758" t="s">
        <v>22</v>
      </c>
      <c r="C758" t="s">
        <v>15</v>
      </c>
      <c r="D758" t="s">
        <v>189</v>
      </c>
      <c r="E758" t="s">
        <v>30</v>
      </c>
      <c r="F758">
        <v>32216</v>
      </c>
      <c r="G758" t="s">
        <v>18</v>
      </c>
      <c r="H758" t="s">
        <v>19</v>
      </c>
      <c r="I758" t="s">
        <v>31</v>
      </c>
      <c r="J758">
        <v>383.43799999999999</v>
      </c>
      <c r="K758">
        <v>4</v>
      </c>
      <c r="L758">
        <v>0.45</v>
      </c>
      <c r="M758">
        <v>-167.3184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26</v>
      </c>
      <c r="I759" t="s">
        <v>32</v>
      </c>
      <c r="J759">
        <v>24.56</v>
      </c>
      <c r="K759">
        <v>2</v>
      </c>
      <c r="L759">
        <v>0</v>
      </c>
      <c r="M759">
        <v>6.8768000000000002</v>
      </c>
    </row>
    <row r="760" spans="1:13" x14ac:dyDescent="0.3">
      <c r="A760" t="s">
        <v>28</v>
      </c>
      <c r="B760" t="s">
        <v>14</v>
      </c>
      <c r="C760" t="s">
        <v>15</v>
      </c>
      <c r="D760" t="s">
        <v>233</v>
      </c>
      <c r="E760" t="s">
        <v>68</v>
      </c>
      <c r="F760">
        <v>55016</v>
      </c>
      <c r="G760" t="s">
        <v>47</v>
      </c>
      <c r="H760" t="s">
        <v>35</v>
      </c>
      <c r="I760" t="s">
        <v>59</v>
      </c>
      <c r="J760">
        <v>119.8</v>
      </c>
      <c r="K760">
        <v>4</v>
      </c>
      <c r="L760">
        <v>0</v>
      </c>
      <c r="M760">
        <v>47.92</v>
      </c>
    </row>
    <row r="761" spans="1:13" x14ac:dyDescent="0.3">
      <c r="A761" t="s">
        <v>28</v>
      </c>
      <c r="B761" t="s">
        <v>22</v>
      </c>
      <c r="C761" t="s">
        <v>15</v>
      </c>
      <c r="D761" t="s">
        <v>75</v>
      </c>
      <c r="E761" t="s">
        <v>76</v>
      </c>
      <c r="F761">
        <v>10009</v>
      </c>
      <c r="G761" t="s">
        <v>57</v>
      </c>
      <c r="H761" t="s">
        <v>26</v>
      </c>
      <c r="I761" t="s">
        <v>37</v>
      </c>
      <c r="J761">
        <v>13.128</v>
      </c>
      <c r="K761">
        <v>3</v>
      </c>
      <c r="L761">
        <v>0.2</v>
      </c>
      <c r="M761">
        <v>4.2666000000000004</v>
      </c>
    </row>
    <row r="762" spans="1:13" x14ac:dyDescent="0.3">
      <c r="A762" t="s">
        <v>28</v>
      </c>
      <c r="B762" t="s">
        <v>22</v>
      </c>
      <c r="C762" t="s">
        <v>15</v>
      </c>
      <c r="D762" t="s">
        <v>207</v>
      </c>
      <c r="E762" t="s">
        <v>49</v>
      </c>
      <c r="F762">
        <v>54302</v>
      </c>
      <c r="G762" t="s">
        <v>47</v>
      </c>
      <c r="H762" t="s">
        <v>26</v>
      </c>
      <c r="I762" t="s">
        <v>41</v>
      </c>
      <c r="J762">
        <v>22.72</v>
      </c>
      <c r="K762">
        <v>4</v>
      </c>
      <c r="L762">
        <v>0</v>
      </c>
      <c r="M762">
        <v>10.224</v>
      </c>
    </row>
    <row r="763" spans="1:13" x14ac:dyDescent="0.3">
      <c r="A763" t="s">
        <v>28</v>
      </c>
      <c r="B763" t="s">
        <v>14</v>
      </c>
      <c r="C763" t="s">
        <v>15</v>
      </c>
      <c r="D763" t="s">
        <v>23</v>
      </c>
      <c r="E763" t="s">
        <v>24</v>
      </c>
      <c r="F763">
        <v>90004</v>
      </c>
      <c r="G763" t="s">
        <v>25</v>
      </c>
      <c r="H763" t="s">
        <v>26</v>
      </c>
      <c r="I763" t="s">
        <v>41</v>
      </c>
      <c r="J763">
        <v>58.32</v>
      </c>
      <c r="K763">
        <v>9</v>
      </c>
      <c r="L763">
        <v>0</v>
      </c>
      <c r="M763">
        <v>27.993600000000001</v>
      </c>
    </row>
    <row r="764" spans="1:13" x14ac:dyDescent="0.3">
      <c r="A764" t="s">
        <v>28</v>
      </c>
      <c r="B764" t="s">
        <v>22</v>
      </c>
      <c r="C764" t="s">
        <v>15</v>
      </c>
      <c r="D764" t="s">
        <v>200</v>
      </c>
      <c r="E764" t="s">
        <v>167</v>
      </c>
      <c r="F764">
        <v>30318</v>
      </c>
      <c r="G764" t="s">
        <v>18</v>
      </c>
      <c r="H764" t="s">
        <v>26</v>
      </c>
      <c r="I764" t="s">
        <v>27</v>
      </c>
      <c r="J764">
        <v>12.39</v>
      </c>
      <c r="K764">
        <v>3</v>
      </c>
      <c r="L764">
        <v>0</v>
      </c>
      <c r="M764">
        <v>5.6993999999999998</v>
      </c>
    </row>
    <row r="765" spans="1:13" x14ac:dyDescent="0.3">
      <c r="A765" t="s">
        <v>28</v>
      </c>
      <c r="B765" t="s">
        <v>14</v>
      </c>
      <c r="C765" t="s">
        <v>15</v>
      </c>
      <c r="D765" t="s">
        <v>103</v>
      </c>
      <c r="E765" t="s">
        <v>104</v>
      </c>
      <c r="F765">
        <v>43229</v>
      </c>
      <c r="G765" t="s">
        <v>57</v>
      </c>
      <c r="H765" t="s">
        <v>35</v>
      </c>
      <c r="I765" t="s">
        <v>36</v>
      </c>
      <c r="J765">
        <v>107.982</v>
      </c>
      <c r="K765">
        <v>3</v>
      </c>
      <c r="L765">
        <v>0.4</v>
      </c>
      <c r="M765">
        <v>-26.9955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11.36</v>
      </c>
      <c r="K766">
        <v>2</v>
      </c>
      <c r="L766">
        <v>0</v>
      </c>
      <c r="M766">
        <v>5.3391999999999999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26</v>
      </c>
      <c r="I767" t="s">
        <v>60</v>
      </c>
      <c r="J767">
        <v>50.94</v>
      </c>
      <c r="K767">
        <v>3</v>
      </c>
      <c r="L767">
        <v>0</v>
      </c>
      <c r="M767">
        <v>25.47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35</v>
      </c>
      <c r="I768" t="s">
        <v>59</v>
      </c>
      <c r="J768">
        <v>646.74</v>
      </c>
      <c r="K768">
        <v>6</v>
      </c>
      <c r="L768">
        <v>0</v>
      </c>
      <c r="M768">
        <v>258.69600000000003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37</v>
      </c>
      <c r="J769">
        <v>5.64</v>
      </c>
      <c r="K769">
        <v>3</v>
      </c>
      <c r="L769">
        <v>0</v>
      </c>
      <c r="M769">
        <v>2.7071999999999998</v>
      </c>
    </row>
    <row r="770" spans="1:13" x14ac:dyDescent="0.3">
      <c r="A770" t="s">
        <v>13</v>
      </c>
      <c r="B770" t="s">
        <v>22</v>
      </c>
      <c r="C770" t="s">
        <v>15</v>
      </c>
      <c r="D770" t="s">
        <v>234</v>
      </c>
      <c r="E770" t="s">
        <v>125</v>
      </c>
      <c r="F770">
        <v>71111</v>
      </c>
      <c r="G770" t="s">
        <v>18</v>
      </c>
      <c r="H770" t="s">
        <v>26</v>
      </c>
      <c r="I770" t="s">
        <v>32</v>
      </c>
      <c r="J770">
        <v>572.58000000000004</v>
      </c>
      <c r="K770">
        <v>6</v>
      </c>
      <c r="L770">
        <v>0</v>
      </c>
      <c r="M770">
        <v>34.354799999999997</v>
      </c>
    </row>
    <row r="771" spans="1:13" x14ac:dyDescent="0.3">
      <c r="A771" t="s">
        <v>28</v>
      </c>
      <c r="B771" t="s">
        <v>22</v>
      </c>
      <c r="C771" t="s">
        <v>15</v>
      </c>
      <c r="D771" t="s">
        <v>158</v>
      </c>
      <c r="E771" t="s">
        <v>30</v>
      </c>
      <c r="F771">
        <v>33710</v>
      </c>
      <c r="G771" t="s">
        <v>18</v>
      </c>
      <c r="H771" t="s">
        <v>19</v>
      </c>
      <c r="I771" t="s">
        <v>33</v>
      </c>
      <c r="J771">
        <v>310.88</v>
      </c>
      <c r="K771">
        <v>2</v>
      </c>
      <c r="L771">
        <v>0.2</v>
      </c>
      <c r="M771">
        <v>23.315999999999999</v>
      </c>
    </row>
    <row r="772" spans="1:13" x14ac:dyDescent="0.3">
      <c r="A772" t="s">
        <v>28</v>
      </c>
      <c r="B772" t="s">
        <v>14</v>
      </c>
      <c r="C772" t="s">
        <v>15</v>
      </c>
      <c r="D772" t="s">
        <v>155</v>
      </c>
      <c r="E772" t="s">
        <v>83</v>
      </c>
      <c r="F772">
        <v>22204</v>
      </c>
      <c r="G772" t="s">
        <v>18</v>
      </c>
      <c r="H772" t="s">
        <v>19</v>
      </c>
      <c r="I772" t="s">
        <v>21</v>
      </c>
      <c r="J772">
        <v>641.96</v>
      </c>
      <c r="K772">
        <v>2</v>
      </c>
      <c r="L772">
        <v>0</v>
      </c>
      <c r="M772">
        <v>179.74879999999999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26</v>
      </c>
      <c r="I773" t="s">
        <v>37</v>
      </c>
      <c r="J773">
        <v>18.28</v>
      </c>
      <c r="K773">
        <v>2</v>
      </c>
      <c r="L773">
        <v>0</v>
      </c>
      <c r="M773">
        <v>9.14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35</v>
      </c>
      <c r="I774" t="s">
        <v>36</v>
      </c>
      <c r="J774">
        <v>207</v>
      </c>
      <c r="K774">
        <v>3</v>
      </c>
      <c r="L774">
        <v>0</v>
      </c>
      <c r="M774">
        <v>51.75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32.35</v>
      </c>
      <c r="K775">
        <v>5</v>
      </c>
      <c r="L775">
        <v>0</v>
      </c>
      <c r="M775">
        <v>16.175000000000001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37</v>
      </c>
      <c r="J776">
        <v>7.71</v>
      </c>
      <c r="K776">
        <v>1</v>
      </c>
      <c r="L776">
        <v>0</v>
      </c>
      <c r="M776">
        <v>3.4695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26</v>
      </c>
      <c r="I777" t="s">
        <v>34</v>
      </c>
      <c r="J777">
        <v>40.299999999999997</v>
      </c>
      <c r="K777">
        <v>2</v>
      </c>
      <c r="L777">
        <v>0</v>
      </c>
      <c r="M777">
        <v>10.881</v>
      </c>
    </row>
    <row r="778" spans="1:13" x14ac:dyDescent="0.3">
      <c r="A778" t="s">
        <v>28</v>
      </c>
      <c r="B778" t="s">
        <v>22</v>
      </c>
      <c r="C778" t="s">
        <v>15</v>
      </c>
      <c r="D778" t="s">
        <v>174</v>
      </c>
      <c r="E778" t="s">
        <v>102</v>
      </c>
      <c r="F778">
        <v>50315</v>
      </c>
      <c r="G778" t="s">
        <v>47</v>
      </c>
      <c r="H778" t="s">
        <v>19</v>
      </c>
      <c r="I778" t="s">
        <v>33</v>
      </c>
      <c r="J778">
        <v>34.58</v>
      </c>
      <c r="K778">
        <v>7</v>
      </c>
      <c r="L778">
        <v>0</v>
      </c>
      <c r="M778">
        <v>14.5236</v>
      </c>
    </row>
    <row r="779" spans="1:13" x14ac:dyDescent="0.3">
      <c r="A779" t="s">
        <v>28</v>
      </c>
      <c r="B779" t="s">
        <v>14</v>
      </c>
      <c r="C779" t="s">
        <v>15</v>
      </c>
      <c r="D779" t="s">
        <v>148</v>
      </c>
      <c r="E779" t="s">
        <v>104</v>
      </c>
      <c r="F779">
        <v>45231</v>
      </c>
      <c r="G779" t="s">
        <v>57</v>
      </c>
      <c r="H779" t="s">
        <v>26</v>
      </c>
      <c r="I779" t="s">
        <v>34</v>
      </c>
      <c r="J779">
        <v>32.76</v>
      </c>
      <c r="K779">
        <v>7</v>
      </c>
      <c r="L779">
        <v>0.2</v>
      </c>
      <c r="M779">
        <v>3.6855000000000002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19</v>
      </c>
      <c r="I780" t="s">
        <v>21</v>
      </c>
      <c r="J780">
        <v>544.00800000000004</v>
      </c>
      <c r="K780">
        <v>3</v>
      </c>
      <c r="L780">
        <v>0.2</v>
      </c>
      <c r="M780">
        <v>40.800600000000003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59.94</v>
      </c>
      <c r="K781">
        <v>3</v>
      </c>
      <c r="L781">
        <v>0</v>
      </c>
      <c r="M781">
        <v>28.171800000000001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23.92</v>
      </c>
      <c r="K782">
        <v>4</v>
      </c>
      <c r="L782">
        <v>0</v>
      </c>
      <c r="M782">
        <v>11.720800000000001</v>
      </c>
    </row>
    <row r="783" spans="1:13" x14ac:dyDescent="0.3">
      <c r="A783" t="s">
        <v>62</v>
      </c>
      <c r="B783" t="s">
        <v>44</v>
      </c>
      <c r="C783" t="s">
        <v>15</v>
      </c>
      <c r="D783" t="s">
        <v>52</v>
      </c>
      <c r="E783" t="s">
        <v>24</v>
      </c>
      <c r="F783">
        <v>94110</v>
      </c>
      <c r="G783" t="s">
        <v>25</v>
      </c>
      <c r="H783" t="s">
        <v>26</v>
      </c>
      <c r="I783" t="s">
        <v>41</v>
      </c>
      <c r="J783">
        <v>4.28</v>
      </c>
      <c r="K783">
        <v>1</v>
      </c>
      <c r="L783">
        <v>0</v>
      </c>
      <c r="M783">
        <v>1.9259999999999999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26</v>
      </c>
      <c r="I784" t="s">
        <v>37</v>
      </c>
      <c r="J784">
        <v>32.07</v>
      </c>
      <c r="K784">
        <v>5</v>
      </c>
      <c r="L784">
        <v>0.7</v>
      </c>
      <c r="M784">
        <v>-22.449000000000002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35</v>
      </c>
      <c r="I785" t="s">
        <v>59</v>
      </c>
      <c r="J785">
        <v>24</v>
      </c>
      <c r="K785">
        <v>2</v>
      </c>
      <c r="L785">
        <v>0.2</v>
      </c>
      <c r="M785">
        <v>-2.7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19</v>
      </c>
      <c r="I786" t="s">
        <v>20</v>
      </c>
      <c r="J786">
        <v>35.49</v>
      </c>
      <c r="K786">
        <v>1</v>
      </c>
      <c r="L786">
        <v>0.5</v>
      </c>
      <c r="M786">
        <v>-15.615600000000001</v>
      </c>
    </row>
    <row r="787" spans="1:13" x14ac:dyDescent="0.3">
      <c r="A787" t="s">
        <v>13</v>
      </c>
      <c r="B787" t="s">
        <v>14</v>
      </c>
      <c r="C787" t="s">
        <v>15</v>
      </c>
      <c r="D787" t="s">
        <v>103</v>
      </c>
      <c r="E787" t="s">
        <v>104</v>
      </c>
      <c r="F787">
        <v>43229</v>
      </c>
      <c r="G787" t="s">
        <v>57</v>
      </c>
      <c r="H787" t="s">
        <v>35</v>
      </c>
      <c r="I787" t="s">
        <v>59</v>
      </c>
      <c r="J787">
        <v>47.984000000000002</v>
      </c>
      <c r="K787">
        <v>2</v>
      </c>
      <c r="L787">
        <v>0.2</v>
      </c>
      <c r="M787">
        <v>0.5998</v>
      </c>
    </row>
    <row r="788" spans="1:13" x14ac:dyDescent="0.3">
      <c r="A788" t="s">
        <v>28</v>
      </c>
      <c r="B788" t="s">
        <v>22</v>
      </c>
      <c r="C788" t="s">
        <v>15</v>
      </c>
      <c r="D788" t="s">
        <v>90</v>
      </c>
      <c r="E788" t="s">
        <v>91</v>
      </c>
      <c r="F788">
        <v>29203</v>
      </c>
      <c r="G788" t="s">
        <v>18</v>
      </c>
      <c r="H788" t="s">
        <v>26</v>
      </c>
      <c r="I788" t="s">
        <v>60</v>
      </c>
      <c r="J788">
        <v>186.69</v>
      </c>
      <c r="K788">
        <v>3</v>
      </c>
      <c r="L788">
        <v>0</v>
      </c>
      <c r="M788">
        <v>87.744299999999996</v>
      </c>
    </row>
    <row r="789" spans="1:13" x14ac:dyDescent="0.3">
      <c r="A789" t="s">
        <v>13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26</v>
      </c>
      <c r="I789" t="s">
        <v>37</v>
      </c>
      <c r="J789">
        <v>17.456</v>
      </c>
      <c r="K789">
        <v>2</v>
      </c>
      <c r="L789">
        <v>0.2</v>
      </c>
      <c r="M789">
        <v>5.8914</v>
      </c>
    </row>
    <row r="790" spans="1:13" x14ac:dyDescent="0.3">
      <c r="A790" t="s">
        <v>28</v>
      </c>
      <c r="B790" t="s">
        <v>14</v>
      </c>
      <c r="C790" t="s">
        <v>15</v>
      </c>
      <c r="D790" t="s">
        <v>235</v>
      </c>
      <c r="E790" t="s">
        <v>24</v>
      </c>
      <c r="F790">
        <v>93534</v>
      </c>
      <c r="G790" t="s">
        <v>25</v>
      </c>
      <c r="H790" t="s">
        <v>19</v>
      </c>
      <c r="I790" t="s">
        <v>21</v>
      </c>
      <c r="J790">
        <v>348.928</v>
      </c>
      <c r="K790">
        <v>2</v>
      </c>
      <c r="L790">
        <v>0.2</v>
      </c>
      <c r="M790">
        <v>34.892800000000001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37</v>
      </c>
      <c r="J791">
        <v>143.96</v>
      </c>
      <c r="K791">
        <v>4</v>
      </c>
      <c r="L791">
        <v>0</v>
      </c>
      <c r="M791">
        <v>69.100800000000007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32</v>
      </c>
      <c r="J792">
        <v>15.42</v>
      </c>
      <c r="K792">
        <v>1</v>
      </c>
      <c r="L792">
        <v>0</v>
      </c>
      <c r="M792">
        <v>4.1634000000000002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26</v>
      </c>
      <c r="I793" t="s">
        <v>37</v>
      </c>
      <c r="J793">
        <v>43.04</v>
      </c>
      <c r="K793">
        <v>8</v>
      </c>
      <c r="L793">
        <v>0</v>
      </c>
      <c r="M793">
        <v>21.089600000000001</v>
      </c>
    </row>
    <row r="794" spans="1:13" x14ac:dyDescent="0.3">
      <c r="A794" t="s">
        <v>28</v>
      </c>
      <c r="B794" t="s">
        <v>14</v>
      </c>
      <c r="C794" t="s">
        <v>15</v>
      </c>
      <c r="D794" t="s">
        <v>182</v>
      </c>
      <c r="E794" t="s">
        <v>83</v>
      </c>
      <c r="F794">
        <v>23223</v>
      </c>
      <c r="G794" t="s">
        <v>18</v>
      </c>
      <c r="H794" t="s">
        <v>19</v>
      </c>
      <c r="I794" t="s">
        <v>21</v>
      </c>
      <c r="J794">
        <v>332.94</v>
      </c>
      <c r="K794">
        <v>3</v>
      </c>
      <c r="L794">
        <v>0</v>
      </c>
      <c r="M794">
        <v>79.905600000000007</v>
      </c>
    </row>
    <row r="795" spans="1:13" x14ac:dyDescent="0.3">
      <c r="A795" t="s">
        <v>168</v>
      </c>
      <c r="B795" t="s">
        <v>14</v>
      </c>
      <c r="C795" t="s">
        <v>15</v>
      </c>
      <c r="D795" t="s">
        <v>236</v>
      </c>
      <c r="E795" t="s">
        <v>40</v>
      </c>
      <c r="F795">
        <v>28806</v>
      </c>
      <c r="G795" t="s">
        <v>18</v>
      </c>
      <c r="H795" t="s">
        <v>35</v>
      </c>
      <c r="I795" t="s">
        <v>36</v>
      </c>
      <c r="J795">
        <v>1363.96</v>
      </c>
      <c r="K795">
        <v>5</v>
      </c>
      <c r="L795">
        <v>0.2</v>
      </c>
      <c r="M795">
        <v>85.247500000000002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27</v>
      </c>
      <c r="J796">
        <v>9.9600000000000009</v>
      </c>
      <c r="K796">
        <v>2</v>
      </c>
      <c r="L796">
        <v>0</v>
      </c>
      <c r="M796">
        <v>4.5815999999999999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52</v>
      </c>
      <c r="E797" t="s">
        <v>24</v>
      </c>
      <c r="F797">
        <v>94110</v>
      </c>
      <c r="G797" t="s">
        <v>25</v>
      </c>
      <c r="H797" t="s">
        <v>26</v>
      </c>
      <c r="I797" t="s">
        <v>41</v>
      </c>
      <c r="J797">
        <v>21.72</v>
      </c>
      <c r="K797">
        <v>4</v>
      </c>
      <c r="L797">
        <v>0</v>
      </c>
      <c r="M797">
        <v>10.642799999999999</v>
      </c>
    </row>
    <row r="798" spans="1:13" x14ac:dyDescent="0.3">
      <c r="A798" t="s">
        <v>28</v>
      </c>
      <c r="B798" t="s">
        <v>14</v>
      </c>
      <c r="C798" t="s">
        <v>15</v>
      </c>
      <c r="D798" t="s">
        <v>92</v>
      </c>
      <c r="E798" t="s">
        <v>68</v>
      </c>
      <c r="F798">
        <v>55901</v>
      </c>
      <c r="G798" t="s">
        <v>47</v>
      </c>
      <c r="H798" t="s">
        <v>26</v>
      </c>
      <c r="I798" t="s">
        <v>37</v>
      </c>
      <c r="J798">
        <v>20.16</v>
      </c>
      <c r="K798">
        <v>7</v>
      </c>
      <c r="L798">
        <v>0</v>
      </c>
      <c r="M798">
        <v>9.8783999999999992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132.79</v>
      </c>
      <c r="K799">
        <v>7</v>
      </c>
      <c r="L799">
        <v>0</v>
      </c>
      <c r="M799">
        <v>63.739199999999997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41</v>
      </c>
      <c r="J800">
        <v>12.96</v>
      </c>
      <c r="K800">
        <v>2</v>
      </c>
      <c r="L800">
        <v>0</v>
      </c>
      <c r="M800">
        <v>6.2207999999999997</v>
      </c>
    </row>
    <row r="801" spans="1:13" x14ac:dyDescent="0.3">
      <c r="A801" t="s">
        <v>62</v>
      </c>
      <c r="B801" t="s">
        <v>22</v>
      </c>
      <c r="C801" t="s">
        <v>15</v>
      </c>
      <c r="D801" t="s">
        <v>92</v>
      </c>
      <c r="E801" t="s">
        <v>76</v>
      </c>
      <c r="F801">
        <v>14609</v>
      </c>
      <c r="G801" t="s">
        <v>57</v>
      </c>
      <c r="H801" t="s">
        <v>26</v>
      </c>
      <c r="I801" t="s">
        <v>27</v>
      </c>
      <c r="J801">
        <v>21.56</v>
      </c>
      <c r="K801">
        <v>7</v>
      </c>
      <c r="L801">
        <v>0</v>
      </c>
      <c r="M801">
        <v>10.348800000000001</v>
      </c>
    </row>
    <row r="802" spans="1:13" x14ac:dyDescent="0.3">
      <c r="A802" t="s">
        <v>28</v>
      </c>
      <c r="B802" t="s">
        <v>14</v>
      </c>
      <c r="C802" t="s">
        <v>15</v>
      </c>
      <c r="D802" t="s">
        <v>237</v>
      </c>
      <c r="E802" t="s">
        <v>24</v>
      </c>
      <c r="F802">
        <v>92530</v>
      </c>
      <c r="G802" t="s">
        <v>25</v>
      </c>
      <c r="H802" t="s">
        <v>19</v>
      </c>
      <c r="I802" t="s">
        <v>21</v>
      </c>
      <c r="J802">
        <v>283.92</v>
      </c>
      <c r="K802">
        <v>5</v>
      </c>
      <c r="L802">
        <v>0.2</v>
      </c>
      <c r="M802">
        <v>17.745000000000001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19</v>
      </c>
      <c r="I803" t="s">
        <v>33</v>
      </c>
      <c r="J803">
        <v>22.23</v>
      </c>
      <c r="K803">
        <v>1</v>
      </c>
      <c r="L803">
        <v>0</v>
      </c>
      <c r="M803">
        <v>7.3358999999999996</v>
      </c>
    </row>
    <row r="804" spans="1:13" x14ac:dyDescent="0.3">
      <c r="A804" t="s">
        <v>62</v>
      </c>
      <c r="B804" t="s">
        <v>22</v>
      </c>
      <c r="C804" t="s">
        <v>15</v>
      </c>
      <c r="D804" t="s">
        <v>144</v>
      </c>
      <c r="E804" t="s">
        <v>24</v>
      </c>
      <c r="F804">
        <v>92105</v>
      </c>
      <c r="G804" t="s">
        <v>25</v>
      </c>
      <c r="H804" t="s">
        <v>35</v>
      </c>
      <c r="I804" t="s">
        <v>36</v>
      </c>
      <c r="J804">
        <v>215.96799999999999</v>
      </c>
      <c r="K804">
        <v>2</v>
      </c>
      <c r="L804">
        <v>0.2</v>
      </c>
      <c r="M804">
        <v>18.897200000000002</v>
      </c>
    </row>
    <row r="805" spans="1:13" x14ac:dyDescent="0.3">
      <c r="A805" t="s">
        <v>13</v>
      </c>
      <c r="B805" t="s">
        <v>22</v>
      </c>
      <c r="C805" t="s">
        <v>15</v>
      </c>
      <c r="D805" t="s">
        <v>75</v>
      </c>
      <c r="E805" t="s">
        <v>76</v>
      </c>
      <c r="F805">
        <v>10024</v>
      </c>
      <c r="G805" t="s">
        <v>57</v>
      </c>
      <c r="H805" t="s">
        <v>26</v>
      </c>
      <c r="I805" t="s">
        <v>38</v>
      </c>
      <c r="J805">
        <v>355.32</v>
      </c>
      <c r="K805">
        <v>9</v>
      </c>
      <c r="L805">
        <v>0</v>
      </c>
      <c r="M805">
        <v>99.489599999999996</v>
      </c>
    </row>
    <row r="806" spans="1:13" x14ac:dyDescent="0.3">
      <c r="A806" t="s">
        <v>28</v>
      </c>
      <c r="B806" t="s">
        <v>22</v>
      </c>
      <c r="C806" t="s">
        <v>15</v>
      </c>
      <c r="D806" t="s">
        <v>124</v>
      </c>
      <c r="E806" t="s">
        <v>125</v>
      </c>
      <c r="F806">
        <v>71203</v>
      </c>
      <c r="G806" t="s">
        <v>18</v>
      </c>
      <c r="H806" t="s">
        <v>26</v>
      </c>
      <c r="I806" t="s">
        <v>41</v>
      </c>
      <c r="J806">
        <v>12.96</v>
      </c>
      <c r="K806">
        <v>2</v>
      </c>
      <c r="L806">
        <v>0</v>
      </c>
      <c r="M806">
        <v>6.2207999999999997</v>
      </c>
    </row>
    <row r="807" spans="1:13" x14ac:dyDescent="0.3">
      <c r="A807" t="s">
        <v>62</v>
      </c>
      <c r="B807" t="s">
        <v>14</v>
      </c>
      <c r="C807" t="s">
        <v>15</v>
      </c>
      <c r="D807" t="s">
        <v>52</v>
      </c>
      <c r="E807" t="s">
        <v>24</v>
      </c>
      <c r="F807">
        <v>94122</v>
      </c>
      <c r="G807" t="s">
        <v>25</v>
      </c>
      <c r="H807" t="s">
        <v>19</v>
      </c>
      <c r="I807" t="s">
        <v>33</v>
      </c>
      <c r="J807">
        <v>18.28</v>
      </c>
      <c r="K807">
        <v>2</v>
      </c>
      <c r="L807">
        <v>0</v>
      </c>
      <c r="M807">
        <v>6.2152000000000003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26</v>
      </c>
      <c r="I808" t="s">
        <v>34</v>
      </c>
      <c r="J808">
        <v>43.176000000000002</v>
      </c>
      <c r="K808">
        <v>3</v>
      </c>
      <c r="L808">
        <v>0.2</v>
      </c>
      <c r="M808">
        <v>4.3175999999999997</v>
      </c>
    </row>
    <row r="809" spans="1:13" x14ac:dyDescent="0.3">
      <c r="A809" t="s">
        <v>28</v>
      </c>
      <c r="B809" t="s">
        <v>14</v>
      </c>
      <c r="C809" t="s">
        <v>15</v>
      </c>
      <c r="D809" t="s">
        <v>134</v>
      </c>
      <c r="E809" t="s">
        <v>98</v>
      </c>
      <c r="F809">
        <v>80219</v>
      </c>
      <c r="G809" t="s">
        <v>25</v>
      </c>
      <c r="H809" t="s">
        <v>35</v>
      </c>
      <c r="I809" t="s">
        <v>36</v>
      </c>
      <c r="J809">
        <v>1983.9680000000001</v>
      </c>
      <c r="K809">
        <v>4</v>
      </c>
      <c r="L809">
        <v>0.2</v>
      </c>
      <c r="M809">
        <v>247.99600000000001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19</v>
      </c>
      <c r="I810" t="s">
        <v>33</v>
      </c>
      <c r="J810">
        <v>28.4</v>
      </c>
      <c r="K810">
        <v>2</v>
      </c>
      <c r="L810">
        <v>0</v>
      </c>
      <c r="M810">
        <v>11.076000000000001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238</v>
      </c>
      <c r="E811" t="s">
        <v>54</v>
      </c>
      <c r="F811">
        <v>68104</v>
      </c>
      <c r="G811" t="s">
        <v>47</v>
      </c>
      <c r="H811" t="s">
        <v>35</v>
      </c>
      <c r="I811" t="s">
        <v>59</v>
      </c>
      <c r="J811">
        <v>149.97</v>
      </c>
      <c r="K811">
        <v>3</v>
      </c>
      <c r="L811">
        <v>0</v>
      </c>
      <c r="M811">
        <v>50.989800000000002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26</v>
      </c>
      <c r="I812" t="s">
        <v>34</v>
      </c>
      <c r="J812">
        <v>11.52</v>
      </c>
      <c r="K812">
        <v>4</v>
      </c>
      <c r="L812">
        <v>0</v>
      </c>
      <c r="M812">
        <v>3.2256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19</v>
      </c>
      <c r="I813" t="s">
        <v>31</v>
      </c>
      <c r="J813">
        <v>1298.55</v>
      </c>
      <c r="K813">
        <v>5</v>
      </c>
      <c r="L813">
        <v>0</v>
      </c>
      <c r="M813">
        <v>311.65199999999999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26</v>
      </c>
      <c r="I814" t="s">
        <v>38</v>
      </c>
      <c r="J814">
        <v>213.92</v>
      </c>
      <c r="K814">
        <v>4</v>
      </c>
      <c r="L814">
        <v>0</v>
      </c>
      <c r="M814">
        <v>62.036799999999999</v>
      </c>
    </row>
    <row r="815" spans="1:13" x14ac:dyDescent="0.3">
      <c r="A815" t="s">
        <v>62</v>
      </c>
      <c r="B815" t="s">
        <v>14</v>
      </c>
      <c r="C815" t="s">
        <v>15</v>
      </c>
      <c r="D815" t="s">
        <v>239</v>
      </c>
      <c r="E815" t="s">
        <v>43</v>
      </c>
      <c r="F815">
        <v>98026</v>
      </c>
      <c r="G815" t="s">
        <v>25</v>
      </c>
      <c r="H815" t="s">
        <v>35</v>
      </c>
      <c r="I815" t="s">
        <v>59</v>
      </c>
      <c r="J815">
        <v>25.78</v>
      </c>
      <c r="K815">
        <v>2</v>
      </c>
      <c r="L815">
        <v>0</v>
      </c>
      <c r="M815">
        <v>2.5779999999999998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19</v>
      </c>
      <c r="I816" t="s">
        <v>33</v>
      </c>
      <c r="J816">
        <v>18.28</v>
      </c>
      <c r="K816">
        <v>2</v>
      </c>
      <c r="L816">
        <v>0</v>
      </c>
      <c r="M816">
        <v>6.2152000000000003</v>
      </c>
    </row>
    <row r="817" spans="1:13" x14ac:dyDescent="0.3">
      <c r="A817" t="s">
        <v>168</v>
      </c>
      <c r="B817" t="s">
        <v>14</v>
      </c>
      <c r="C817" t="s">
        <v>15</v>
      </c>
      <c r="D817" t="s">
        <v>240</v>
      </c>
      <c r="E817" t="s">
        <v>24</v>
      </c>
      <c r="F817">
        <v>92704</v>
      </c>
      <c r="G817" t="s">
        <v>25</v>
      </c>
      <c r="H817" t="s">
        <v>35</v>
      </c>
      <c r="I817" t="s">
        <v>59</v>
      </c>
      <c r="J817">
        <v>1399.93</v>
      </c>
      <c r="K817">
        <v>7</v>
      </c>
      <c r="L817">
        <v>0</v>
      </c>
      <c r="M817">
        <v>601.96990000000005</v>
      </c>
    </row>
    <row r="818" spans="1:13" x14ac:dyDescent="0.3">
      <c r="A818" t="s">
        <v>62</v>
      </c>
      <c r="B818" t="s">
        <v>22</v>
      </c>
      <c r="C818" t="s">
        <v>15</v>
      </c>
      <c r="D818" t="s">
        <v>241</v>
      </c>
      <c r="E818" t="s">
        <v>49</v>
      </c>
      <c r="F818">
        <v>53209</v>
      </c>
      <c r="G818" t="s">
        <v>47</v>
      </c>
      <c r="H818" t="s">
        <v>26</v>
      </c>
      <c r="I818" t="s">
        <v>41</v>
      </c>
      <c r="J818">
        <v>51.84</v>
      </c>
      <c r="K818">
        <v>8</v>
      </c>
      <c r="L818">
        <v>0</v>
      </c>
      <c r="M818">
        <v>24.883199999999999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5.3440000000000003</v>
      </c>
      <c r="K819">
        <v>1</v>
      </c>
      <c r="L819">
        <v>0.2</v>
      </c>
      <c r="M819">
        <v>1.8704000000000001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41</v>
      </c>
      <c r="J820">
        <v>41.472000000000001</v>
      </c>
      <c r="K820">
        <v>8</v>
      </c>
      <c r="L820">
        <v>0.2</v>
      </c>
      <c r="M820">
        <v>14.5152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26</v>
      </c>
      <c r="I821" t="s">
        <v>37</v>
      </c>
      <c r="J821">
        <v>3.1680000000000001</v>
      </c>
      <c r="K821">
        <v>3</v>
      </c>
      <c r="L821">
        <v>0.7</v>
      </c>
      <c r="M821">
        <v>-2.4287999999999998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19</v>
      </c>
      <c r="I822" t="s">
        <v>21</v>
      </c>
      <c r="J822">
        <v>1228.4649999999999</v>
      </c>
      <c r="K822">
        <v>5</v>
      </c>
      <c r="L822">
        <v>0.3</v>
      </c>
      <c r="M822">
        <v>0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37</v>
      </c>
      <c r="J823">
        <v>31.085999999999999</v>
      </c>
      <c r="K823">
        <v>3</v>
      </c>
      <c r="L823">
        <v>0.7</v>
      </c>
      <c r="M823">
        <v>-22.796399999999998</v>
      </c>
    </row>
    <row r="824" spans="1:13" x14ac:dyDescent="0.3">
      <c r="A824" t="s">
        <v>28</v>
      </c>
      <c r="B824" t="s">
        <v>14</v>
      </c>
      <c r="C824" t="s">
        <v>15</v>
      </c>
      <c r="D824" t="s">
        <v>55</v>
      </c>
      <c r="E824" t="s">
        <v>56</v>
      </c>
      <c r="F824">
        <v>19140</v>
      </c>
      <c r="G824" t="s">
        <v>57</v>
      </c>
      <c r="H824" t="s">
        <v>26</v>
      </c>
      <c r="I824" t="s">
        <v>41</v>
      </c>
      <c r="J824">
        <v>335.52</v>
      </c>
      <c r="K824">
        <v>4</v>
      </c>
      <c r="L824">
        <v>0.2</v>
      </c>
      <c r="M824">
        <v>117.432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35</v>
      </c>
      <c r="I825" t="s">
        <v>59</v>
      </c>
      <c r="J825">
        <v>239.97</v>
      </c>
      <c r="K825">
        <v>3</v>
      </c>
      <c r="L825">
        <v>0</v>
      </c>
      <c r="M825">
        <v>71.991</v>
      </c>
    </row>
    <row r="826" spans="1:13" x14ac:dyDescent="0.3">
      <c r="A826" t="s">
        <v>28</v>
      </c>
      <c r="B826" t="s">
        <v>14</v>
      </c>
      <c r="C826" t="s">
        <v>15</v>
      </c>
      <c r="D826" t="s">
        <v>152</v>
      </c>
      <c r="E826" t="s">
        <v>132</v>
      </c>
      <c r="F826">
        <v>7109</v>
      </c>
      <c r="G826" t="s">
        <v>57</v>
      </c>
      <c r="H826" t="s">
        <v>26</v>
      </c>
      <c r="I826" t="s">
        <v>27</v>
      </c>
      <c r="J826">
        <v>9.82</v>
      </c>
      <c r="K826">
        <v>2</v>
      </c>
      <c r="L826">
        <v>0</v>
      </c>
      <c r="M826">
        <v>4.8117999999999999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67.8</v>
      </c>
      <c r="K827">
        <v>4</v>
      </c>
      <c r="L827">
        <v>0</v>
      </c>
      <c r="M827">
        <v>4.0679999999999996</v>
      </c>
    </row>
    <row r="828" spans="1:13" x14ac:dyDescent="0.3">
      <c r="A828" t="s">
        <v>28</v>
      </c>
      <c r="B828" t="s">
        <v>14</v>
      </c>
      <c r="C828" t="s">
        <v>15</v>
      </c>
      <c r="D828" t="s">
        <v>52</v>
      </c>
      <c r="E828" t="s">
        <v>24</v>
      </c>
      <c r="F828">
        <v>94110</v>
      </c>
      <c r="G828" t="s">
        <v>25</v>
      </c>
      <c r="H828" t="s">
        <v>35</v>
      </c>
      <c r="I828" t="s">
        <v>59</v>
      </c>
      <c r="J828">
        <v>167.97</v>
      </c>
      <c r="K828">
        <v>3</v>
      </c>
      <c r="L828">
        <v>0</v>
      </c>
      <c r="M828">
        <v>40.312800000000003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77</v>
      </c>
      <c r="J829">
        <v>35</v>
      </c>
      <c r="K829">
        <v>7</v>
      </c>
      <c r="L829">
        <v>0</v>
      </c>
      <c r="M829">
        <v>16.8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110</v>
      </c>
      <c r="J830">
        <v>37.24</v>
      </c>
      <c r="K830">
        <v>4</v>
      </c>
      <c r="L830">
        <v>0</v>
      </c>
      <c r="M830">
        <v>10.7996</v>
      </c>
    </row>
    <row r="831" spans="1:13" x14ac:dyDescent="0.3">
      <c r="A831" t="s">
        <v>28</v>
      </c>
      <c r="B831" t="s">
        <v>14</v>
      </c>
      <c r="C831" t="s">
        <v>15</v>
      </c>
      <c r="D831" t="s">
        <v>143</v>
      </c>
      <c r="E831" t="s">
        <v>68</v>
      </c>
      <c r="F831">
        <v>55044</v>
      </c>
      <c r="G831" t="s">
        <v>47</v>
      </c>
      <c r="H831" t="s">
        <v>26</v>
      </c>
      <c r="I831" t="s">
        <v>60</v>
      </c>
      <c r="J831">
        <v>15.28</v>
      </c>
      <c r="K831">
        <v>2</v>
      </c>
      <c r="L831">
        <v>0</v>
      </c>
      <c r="M831">
        <v>7.4871999999999996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19</v>
      </c>
      <c r="I832" t="s">
        <v>21</v>
      </c>
      <c r="J832">
        <v>301.95999999999998</v>
      </c>
      <c r="K832">
        <v>2</v>
      </c>
      <c r="L832">
        <v>0</v>
      </c>
      <c r="M832">
        <v>90.587999999999994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26</v>
      </c>
      <c r="I833" t="s">
        <v>38</v>
      </c>
      <c r="J833">
        <v>180.66</v>
      </c>
      <c r="K833">
        <v>3</v>
      </c>
      <c r="L833">
        <v>0</v>
      </c>
      <c r="M833">
        <v>50.584800000000001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191.98</v>
      </c>
      <c r="K834">
        <v>2</v>
      </c>
      <c r="L834">
        <v>0</v>
      </c>
      <c r="M834">
        <v>51.834600000000002</v>
      </c>
    </row>
    <row r="835" spans="1:13" x14ac:dyDescent="0.3">
      <c r="A835" t="s">
        <v>13</v>
      </c>
      <c r="B835" t="s">
        <v>14</v>
      </c>
      <c r="C835" t="s">
        <v>15</v>
      </c>
      <c r="D835" t="s">
        <v>242</v>
      </c>
      <c r="E835" t="s">
        <v>17</v>
      </c>
      <c r="F835">
        <v>41042</v>
      </c>
      <c r="G835" t="s">
        <v>18</v>
      </c>
      <c r="H835" t="s">
        <v>35</v>
      </c>
      <c r="I835" t="s">
        <v>36</v>
      </c>
      <c r="J835">
        <v>65.989999999999995</v>
      </c>
      <c r="K835">
        <v>1</v>
      </c>
      <c r="L835">
        <v>0</v>
      </c>
      <c r="M835">
        <v>17.157399999999999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34</v>
      </c>
      <c r="J836">
        <v>35.216000000000001</v>
      </c>
      <c r="K836">
        <v>2</v>
      </c>
      <c r="L836">
        <v>0.2</v>
      </c>
      <c r="M836">
        <v>2.6412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26</v>
      </c>
      <c r="I837" t="s">
        <v>38</v>
      </c>
      <c r="J837">
        <v>23.696000000000002</v>
      </c>
      <c r="K837">
        <v>2</v>
      </c>
      <c r="L837">
        <v>0.2</v>
      </c>
      <c r="M837">
        <v>6.5164</v>
      </c>
    </row>
    <row r="838" spans="1:13" x14ac:dyDescent="0.3">
      <c r="A838" t="s">
        <v>28</v>
      </c>
      <c r="B838" t="s">
        <v>22</v>
      </c>
      <c r="C838" t="s">
        <v>15</v>
      </c>
      <c r="D838" t="s">
        <v>141</v>
      </c>
      <c r="E838" t="s">
        <v>30</v>
      </c>
      <c r="F838">
        <v>33614</v>
      </c>
      <c r="G838" t="s">
        <v>18</v>
      </c>
      <c r="H838" t="s">
        <v>35</v>
      </c>
      <c r="I838" t="s">
        <v>123</v>
      </c>
      <c r="J838">
        <v>265.47500000000002</v>
      </c>
      <c r="K838">
        <v>1</v>
      </c>
      <c r="L838">
        <v>0.5</v>
      </c>
      <c r="M838">
        <v>-111.4995</v>
      </c>
    </row>
    <row r="839" spans="1:13" x14ac:dyDescent="0.3">
      <c r="A839" t="s">
        <v>13</v>
      </c>
      <c r="B839" t="s">
        <v>14</v>
      </c>
      <c r="C839" t="s">
        <v>15</v>
      </c>
      <c r="D839" t="s">
        <v>222</v>
      </c>
      <c r="E839" t="s">
        <v>46</v>
      </c>
      <c r="F839">
        <v>75701</v>
      </c>
      <c r="G839" t="s">
        <v>47</v>
      </c>
      <c r="H839" t="s">
        <v>26</v>
      </c>
      <c r="I839" t="s">
        <v>37</v>
      </c>
      <c r="J839">
        <v>51.183999999999997</v>
      </c>
      <c r="K839">
        <v>4</v>
      </c>
      <c r="L839">
        <v>0.8</v>
      </c>
      <c r="M839">
        <v>-79.3352</v>
      </c>
    </row>
    <row r="840" spans="1:13" x14ac:dyDescent="0.3">
      <c r="A840" t="s">
        <v>28</v>
      </c>
      <c r="B840" t="s">
        <v>44</v>
      </c>
      <c r="C840" t="s">
        <v>15</v>
      </c>
      <c r="D840" t="s">
        <v>90</v>
      </c>
      <c r="E840" t="s">
        <v>86</v>
      </c>
      <c r="F840">
        <v>38401</v>
      </c>
      <c r="G840" t="s">
        <v>18</v>
      </c>
      <c r="H840" t="s">
        <v>26</v>
      </c>
      <c r="I840" t="s">
        <v>41</v>
      </c>
      <c r="J840">
        <v>9.6639999999999997</v>
      </c>
      <c r="K840">
        <v>2</v>
      </c>
      <c r="L840">
        <v>0.2</v>
      </c>
      <c r="M840">
        <v>3.2616000000000001</v>
      </c>
    </row>
    <row r="841" spans="1:13" x14ac:dyDescent="0.3">
      <c r="A841" t="s">
        <v>28</v>
      </c>
      <c r="B841" t="s">
        <v>22</v>
      </c>
      <c r="C841" t="s">
        <v>15</v>
      </c>
      <c r="D841" t="s">
        <v>45</v>
      </c>
      <c r="E841" t="s">
        <v>46</v>
      </c>
      <c r="F841">
        <v>76106</v>
      </c>
      <c r="G841" t="s">
        <v>47</v>
      </c>
      <c r="H841" t="s">
        <v>35</v>
      </c>
      <c r="I841" t="s">
        <v>36</v>
      </c>
      <c r="J841">
        <v>21.071999999999999</v>
      </c>
      <c r="K841">
        <v>3</v>
      </c>
      <c r="L841">
        <v>0.2</v>
      </c>
      <c r="M841">
        <v>1.5804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60.45</v>
      </c>
      <c r="K842">
        <v>3</v>
      </c>
      <c r="L842">
        <v>0</v>
      </c>
      <c r="M842">
        <v>16.3215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26</v>
      </c>
      <c r="I843" t="s">
        <v>34</v>
      </c>
      <c r="J843">
        <v>11.52</v>
      </c>
      <c r="K843">
        <v>4</v>
      </c>
      <c r="L843">
        <v>0</v>
      </c>
      <c r="M843">
        <v>3.3408000000000002</v>
      </c>
    </row>
    <row r="844" spans="1:13" x14ac:dyDescent="0.3">
      <c r="A844" t="s">
        <v>28</v>
      </c>
      <c r="B844" t="s">
        <v>22</v>
      </c>
      <c r="C844" t="s">
        <v>15</v>
      </c>
      <c r="D844" t="s">
        <v>75</v>
      </c>
      <c r="E844" t="s">
        <v>76</v>
      </c>
      <c r="F844">
        <v>10035</v>
      </c>
      <c r="G844" t="s">
        <v>57</v>
      </c>
      <c r="H844" t="s">
        <v>19</v>
      </c>
      <c r="I844" t="s">
        <v>20</v>
      </c>
      <c r="J844">
        <v>186.048</v>
      </c>
      <c r="K844">
        <v>4</v>
      </c>
      <c r="L844">
        <v>0.2</v>
      </c>
      <c r="M844">
        <v>9.3024000000000004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37.44</v>
      </c>
      <c r="K845">
        <v>4</v>
      </c>
      <c r="L845">
        <v>0.2</v>
      </c>
      <c r="M845">
        <v>11.7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37</v>
      </c>
      <c r="J846">
        <v>26.975999999999999</v>
      </c>
      <c r="K846">
        <v>4</v>
      </c>
      <c r="L846">
        <v>0.2</v>
      </c>
      <c r="M846">
        <v>8.7672000000000008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110</v>
      </c>
      <c r="J847">
        <v>11.36</v>
      </c>
      <c r="K847">
        <v>2</v>
      </c>
      <c r="L847">
        <v>0</v>
      </c>
      <c r="M847">
        <v>3.2944</v>
      </c>
    </row>
    <row r="848" spans="1:13" x14ac:dyDescent="0.3">
      <c r="A848" t="s">
        <v>62</v>
      </c>
      <c r="B848" t="s">
        <v>22</v>
      </c>
      <c r="C848" t="s">
        <v>15</v>
      </c>
      <c r="D848" t="s">
        <v>23</v>
      </c>
      <c r="E848" t="s">
        <v>24</v>
      </c>
      <c r="F848">
        <v>90036</v>
      </c>
      <c r="G848" t="s">
        <v>25</v>
      </c>
      <c r="H848" t="s">
        <v>26</v>
      </c>
      <c r="I848" t="s">
        <v>27</v>
      </c>
      <c r="J848">
        <v>14.62</v>
      </c>
      <c r="K848">
        <v>2</v>
      </c>
      <c r="L848">
        <v>0</v>
      </c>
      <c r="M848">
        <v>6.8714000000000004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35</v>
      </c>
      <c r="I849" t="s">
        <v>36</v>
      </c>
      <c r="J849">
        <v>83.72</v>
      </c>
      <c r="K849">
        <v>7</v>
      </c>
      <c r="L849">
        <v>0</v>
      </c>
      <c r="M849">
        <v>23.441600000000001</v>
      </c>
    </row>
    <row r="850" spans="1:13" x14ac:dyDescent="0.3">
      <c r="A850" t="s">
        <v>28</v>
      </c>
      <c r="B850" t="s">
        <v>14</v>
      </c>
      <c r="C850" t="s">
        <v>15</v>
      </c>
      <c r="D850" t="s">
        <v>183</v>
      </c>
      <c r="E850" t="s">
        <v>17</v>
      </c>
      <c r="F850">
        <v>40214</v>
      </c>
      <c r="G850" t="s">
        <v>18</v>
      </c>
      <c r="H850" t="s">
        <v>19</v>
      </c>
      <c r="I850" t="s">
        <v>21</v>
      </c>
      <c r="J850">
        <v>287.94</v>
      </c>
      <c r="K850">
        <v>3</v>
      </c>
      <c r="L850">
        <v>0</v>
      </c>
      <c r="M850">
        <v>77.743799999999993</v>
      </c>
    </row>
    <row r="851" spans="1:13" x14ac:dyDescent="0.3">
      <c r="A851" t="s">
        <v>28</v>
      </c>
      <c r="B851" t="s">
        <v>14</v>
      </c>
      <c r="C851" t="s">
        <v>15</v>
      </c>
      <c r="D851" t="s">
        <v>243</v>
      </c>
      <c r="E851" t="s">
        <v>104</v>
      </c>
      <c r="F851">
        <v>44052</v>
      </c>
      <c r="G851" t="s">
        <v>57</v>
      </c>
      <c r="H851" t="s">
        <v>19</v>
      </c>
      <c r="I851" t="s">
        <v>33</v>
      </c>
      <c r="J851">
        <v>48.896000000000001</v>
      </c>
      <c r="K851">
        <v>4</v>
      </c>
      <c r="L851">
        <v>0.2</v>
      </c>
      <c r="M851">
        <v>8.5568000000000008</v>
      </c>
    </row>
    <row r="852" spans="1:13" x14ac:dyDescent="0.3">
      <c r="A852" t="s">
        <v>28</v>
      </c>
      <c r="B852" t="s">
        <v>22</v>
      </c>
      <c r="C852" t="s">
        <v>15</v>
      </c>
      <c r="D852" t="s">
        <v>244</v>
      </c>
      <c r="E852" t="s">
        <v>132</v>
      </c>
      <c r="F852">
        <v>7036</v>
      </c>
      <c r="G852" t="s">
        <v>57</v>
      </c>
      <c r="H852" t="s">
        <v>35</v>
      </c>
      <c r="I852" t="s">
        <v>59</v>
      </c>
      <c r="J852">
        <v>115.36</v>
      </c>
      <c r="K852">
        <v>7</v>
      </c>
      <c r="L852">
        <v>0</v>
      </c>
      <c r="M852">
        <v>49.604799999999997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34</v>
      </c>
      <c r="J853">
        <v>5.16</v>
      </c>
      <c r="K853">
        <v>2</v>
      </c>
      <c r="L853">
        <v>0</v>
      </c>
      <c r="M853">
        <v>1.3415999999999999</v>
      </c>
    </row>
    <row r="854" spans="1:13" x14ac:dyDescent="0.3">
      <c r="A854" t="s">
        <v>13</v>
      </c>
      <c r="B854" t="s">
        <v>22</v>
      </c>
      <c r="C854" t="s">
        <v>15</v>
      </c>
      <c r="D854" t="s">
        <v>245</v>
      </c>
      <c r="E854" t="s">
        <v>24</v>
      </c>
      <c r="F854">
        <v>93905</v>
      </c>
      <c r="G854" t="s">
        <v>25</v>
      </c>
      <c r="H854" t="s">
        <v>26</v>
      </c>
      <c r="I854" t="s">
        <v>41</v>
      </c>
      <c r="J854">
        <v>38.880000000000003</v>
      </c>
      <c r="K854">
        <v>6</v>
      </c>
      <c r="L854">
        <v>0</v>
      </c>
      <c r="M854">
        <v>18.662400000000002</v>
      </c>
    </row>
    <row r="855" spans="1:13" x14ac:dyDescent="0.3">
      <c r="A855" t="s">
        <v>28</v>
      </c>
      <c r="B855" t="s">
        <v>14</v>
      </c>
      <c r="C855" t="s">
        <v>15</v>
      </c>
      <c r="D855" t="s">
        <v>84</v>
      </c>
      <c r="E855" t="s">
        <v>185</v>
      </c>
      <c r="F855">
        <v>39212</v>
      </c>
      <c r="G855" t="s">
        <v>18</v>
      </c>
      <c r="H855" t="s">
        <v>26</v>
      </c>
      <c r="I855" t="s">
        <v>34</v>
      </c>
      <c r="J855">
        <v>185.88</v>
      </c>
      <c r="K855">
        <v>6</v>
      </c>
      <c r="L855">
        <v>0</v>
      </c>
      <c r="M855">
        <v>50.187600000000003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19</v>
      </c>
      <c r="I856" t="s">
        <v>33</v>
      </c>
      <c r="J856">
        <v>44.46</v>
      </c>
      <c r="K856">
        <v>2</v>
      </c>
      <c r="L856">
        <v>0</v>
      </c>
      <c r="M856">
        <v>14.671799999999999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32</v>
      </c>
      <c r="J857">
        <v>242.94</v>
      </c>
      <c r="K857">
        <v>3</v>
      </c>
      <c r="L857">
        <v>0</v>
      </c>
      <c r="M857">
        <v>9.7175999999999991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41</v>
      </c>
      <c r="J858">
        <v>39.96</v>
      </c>
      <c r="K858">
        <v>2</v>
      </c>
      <c r="L858">
        <v>0</v>
      </c>
      <c r="M858">
        <v>18.781199999999998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110</v>
      </c>
      <c r="J859">
        <v>102.3</v>
      </c>
      <c r="K859">
        <v>10</v>
      </c>
      <c r="L859">
        <v>0</v>
      </c>
      <c r="M859">
        <v>26.597999999999999</v>
      </c>
    </row>
    <row r="860" spans="1:13" x14ac:dyDescent="0.3">
      <c r="A860" t="s">
        <v>28</v>
      </c>
      <c r="B860" t="s">
        <v>14</v>
      </c>
      <c r="C860" t="s">
        <v>15</v>
      </c>
      <c r="D860" t="s">
        <v>75</v>
      </c>
      <c r="E860" t="s">
        <v>76</v>
      </c>
      <c r="F860">
        <v>10035</v>
      </c>
      <c r="G860" t="s">
        <v>57</v>
      </c>
      <c r="H860" t="s">
        <v>26</v>
      </c>
      <c r="I860" t="s">
        <v>32</v>
      </c>
      <c r="J860">
        <v>21.36</v>
      </c>
      <c r="K860">
        <v>2</v>
      </c>
      <c r="L860">
        <v>0</v>
      </c>
      <c r="M860">
        <v>5.7671999999999999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41</v>
      </c>
      <c r="J861">
        <v>7.61</v>
      </c>
      <c r="K861">
        <v>1</v>
      </c>
      <c r="L861">
        <v>0</v>
      </c>
      <c r="M861">
        <v>3.5767000000000002</v>
      </c>
    </row>
    <row r="862" spans="1:13" x14ac:dyDescent="0.3">
      <c r="A862" t="s">
        <v>28</v>
      </c>
      <c r="B862" t="s">
        <v>44</v>
      </c>
      <c r="C862" t="s">
        <v>15</v>
      </c>
      <c r="D862" t="s">
        <v>246</v>
      </c>
      <c r="E862" t="s">
        <v>132</v>
      </c>
      <c r="F862">
        <v>8901</v>
      </c>
      <c r="G862" t="s">
        <v>57</v>
      </c>
      <c r="H862" t="s">
        <v>26</v>
      </c>
      <c r="I862" t="s">
        <v>77</v>
      </c>
      <c r="J862">
        <v>7.16</v>
      </c>
      <c r="K862">
        <v>2</v>
      </c>
      <c r="L862">
        <v>0</v>
      </c>
      <c r="M862">
        <v>3.58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110</v>
      </c>
      <c r="J863">
        <v>7.36</v>
      </c>
      <c r="K863">
        <v>2</v>
      </c>
      <c r="L863">
        <v>0</v>
      </c>
      <c r="M863">
        <v>0.1472</v>
      </c>
    </row>
    <row r="864" spans="1:13" x14ac:dyDescent="0.3">
      <c r="A864" t="s">
        <v>28</v>
      </c>
      <c r="B864" t="s">
        <v>14</v>
      </c>
      <c r="C864" t="s">
        <v>15</v>
      </c>
      <c r="D864" t="s">
        <v>52</v>
      </c>
      <c r="E864" t="s">
        <v>24</v>
      </c>
      <c r="F864">
        <v>94122</v>
      </c>
      <c r="G864" t="s">
        <v>25</v>
      </c>
      <c r="H864" t="s">
        <v>26</v>
      </c>
      <c r="I864" t="s">
        <v>34</v>
      </c>
      <c r="J864">
        <v>23.1</v>
      </c>
      <c r="K864">
        <v>2</v>
      </c>
      <c r="L864">
        <v>0</v>
      </c>
      <c r="M864">
        <v>10.625999999999999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35</v>
      </c>
      <c r="I865" t="s">
        <v>59</v>
      </c>
      <c r="J865">
        <v>191.47200000000001</v>
      </c>
      <c r="K865">
        <v>6</v>
      </c>
      <c r="L865">
        <v>0.2</v>
      </c>
      <c r="M865">
        <v>40.687800000000003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26</v>
      </c>
      <c r="I866" t="s">
        <v>34</v>
      </c>
      <c r="J866">
        <v>5.2480000000000002</v>
      </c>
      <c r="K866">
        <v>2</v>
      </c>
      <c r="L866">
        <v>0.2</v>
      </c>
      <c r="M866">
        <v>0.59040000000000004</v>
      </c>
    </row>
    <row r="867" spans="1:13" x14ac:dyDescent="0.3">
      <c r="A867" t="s">
        <v>13</v>
      </c>
      <c r="B867" t="s">
        <v>22</v>
      </c>
      <c r="C867" t="s">
        <v>15</v>
      </c>
      <c r="D867" t="s">
        <v>189</v>
      </c>
      <c r="E867" t="s">
        <v>30</v>
      </c>
      <c r="F867">
        <v>32216</v>
      </c>
      <c r="G867" t="s">
        <v>18</v>
      </c>
      <c r="H867" t="s">
        <v>35</v>
      </c>
      <c r="I867" t="s">
        <v>36</v>
      </c>
      <c r="J867">
        <v>59.183999999999997</v>
      </c>
      <c r="K867">
        <v>2</v>
      </c>
      <c r="L867">
        <v>0.2</v>
      </c>
      <c r="M867">
        <v>5.1786000000000003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26</v>
      </c>
      <c r="I868" t="s">
        <v>27</v>
      </c>
      <c r="J868">
        <v>2.89</v>
      </c>
      <c r="K868">
        <v>1</v>
      </c>
      <c r="L868">
        <v>0</v>
      </c>
      <c r="M868">
        <v>1.3583000000000001</v>
      </c>
    </row>
    <row r="869" spans="1:13" x14ac:dyDescent="0.3">
      <c r="A869" t="s">
        <v>28</v>
      </c>
      <c r="B869" t="s">
        <v>22</v>
      </c>
      <c r="C869" t="s">
        <v>15</v>
      </c>
      <c r="D869" t="s">
        <v>82</v>
      </c>
      <c r="E869" t="s">
        <v>83</v>
      </c>
      <c r="F869">
        <v>22153</v>
      </c>
      <c r="G869" t="s">
        <v>18</v>
      </c>
      <c r="H869" t="s">
        <v>19</v>
      </c>
      <c r="I869" t="s">
        <v>33</v>
      </c>
      <c r="J869">
        <v>51.94</v>
      </c>
      <c r="K869">
        <v>1</v>
      </c>
      <c r="L869">
        <v>0</v>
      </c>
      <c r="M869">
        <v>21.295400000000001</v>
      </c>
    </row>
    <row r="870" spans="1:13" x14ac:dyDescent="0.3">
      <c r="A870" t="s">
        <v>62</v>
      </c>
      <c r="B870" t="s">
        <v>22</v>
      </c>
      <c r="C870" t="s">
        <v>15</v>
      </c>
      <c r="D870" t="s">
        <v>55</v>
      </c>
      <c r="E870" t="s">
        <v>56</v>
      </c>
      <c r="F870">
        <v>19140</v>
      </c>
      <c r="G870" t="s">
        <v>57</v>
      </c>
      <c r="H870" t="s">
        <v>26</v>
      </c>
      <c r="I870" t="s">
        <v>27</v>
      </c>
      <c r="J870">
        <v>15.936</v>
      </c>
      <c r="K870">
        <v>4</v>
      </c>
      <c r="L870">
        <v>0.2</v>
      </c>
      <c r="M870">
        <v>5.1791999999999998</v>
      </c>
    </row>
    <row r="871" spans="1:13" x14ac:dyDescent="0.3">
      <c r="A871" t="s">
        <v>28</v>
      </c>
      <c r="B871" t="s">
        <v>22</v>
      </c>
      <c r="C871" t="s">
        <v>15</v>
      </c>
      <c r="D871" t="s">
        <v>235</v>
      </c>
      <c r="E871" t="s">
        <v>56</v>
      </c>
      <c r="F871">
        <v>17602</v>
      </c>
      <c r="G871" t="s">
        <v>57</v>
      </c>
      <c r="H871" t="s">
        <v>26</v>
      </c>
      <c r="I871" t="s">
        <v>37</v>
      </c>
      <c r="J871">
        <v>44.91</v>
      </c>
      <c r="K871">
        <v>6</v>
      </c>
      <c r="L871">
        <v>0.7</v>
      </c>
      <c r="M871">
        <v>-35.927999999999997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26</v>
      </c>
      <c r="I872" t="s">
        <v>37</v>
      </c>
      <c r="J872">
        <v>1141.47</v>
      </c>
      <c r="K872">
        <v>5</v>
      </c>
      <c r="L872">
        <v>0.7</v>
      </c>
      <c r="M872">
        <v>-760.98</v>
      </c>
    </row>
    <row r="873" spans="1:13" x14ac:dyDescent="0.3">
      <c r="A873" t="s">
        <v>62</v>
      </c>
      <c r="B873" t="s">
        <v>44</v>
      </c>
      <c r="C873" t="s">
        <v>15</v>
      </c>
      <c r="D873" t="s">
        <v>55</v>
      </c>
      <c r="E873" t="s">
        <v>56</v>
      </c>
      <c r="F873">
        <v>19143</v>
      </c>
      <c r="G873" t="s">
        <v>57</v>
      </c>
      <c r="H873" t="s">
        <v>35</v>
      </c>
      <c r="I873" t="s">
        <v>36</v>
      </c>
      <c r="J873">
        <v>280.78199999999998</v>
      </c>
      <c r="K873">
        <v>3</v>
      </c>
      <c r="L873">
        <v>0.4</v>
      </c>
      <c r="M873">
        <v>-46.796999999999997</v>
      </c>
    </row>
    <row r="874" spans="1:13" x14ac:dyDescent="0.3">
      <c r="A874" t="s">
        <v>62</v>
      </c>
      <c r="B874" t="s">
        <v>14</v>
      </c>
      <c r="C874" t="s">
        <v>15</v>
      </c>
      <c r="D874" t="s">
        <v>39</v>
      </c>
      <c r="E874" t="s">
        <v>247</v>
      </c>
      <c r="F874">
        <v>3301</v>
      </c>
      <c r="G874" t="s">
        <v>57</v>
      </c>
      <c r="H874" t="s">
        <v>26</v>
      </c>
      <c r="I874" t="s">
        <v>41</v>
      </c>
      <c r="J874">
        <v>34.44</v>
      </c>
      <c r="K874">
        <v>3</v>
      </c>
      <c r="L874">
        <v>0</v>
      </c>
      <c r="M874">
        <v>17.22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41</v>
      </c>
      <c r="J875">
        <v>11.36</v>
      </c>
      <c r="K875">
        <v>2</v>
      </c>
      <c r="L875">
        <v>0</v>
      </c>
      <c r="M875">
        <v>5.2256</v>
      </c>
    </row>
    <row r="876" spans="1:13" x14ac:dyDescent="0.3">
      <c r="A876" t="s">
        <v>28</v>
      </c>
      <c r="B876" t="s">
        <v>14</v>
      </c>
      <c r="C876" t="s">
        <v>15</v>
      </c>
      <c r="D876" t="s">
        <v>75</v>
      </c>
      <c r="E876" t="s">
        <v>76</v>
      </c>
      <c r="F876">
        <v>10009</v>
      </c>
      <c r="G876" t="s">
        <v>57</v>
      </c>
      <c r="H876" t="s">
        <v>26</v>
      </c>
      <c r="I876" t="s">
        <v>37</v>
      </c>
      <c r="J876">
        <v>106.34399999999999</v>
      </c>
      <c r="K876">
        <v>7</v>
      </c>
      <c r="L876">
        <v>0.2</v>
      </c>
      <c r="M876">
        <v>37.220399999999998</v>
      </c>
    </row>
    <row r="877" spans="1:13" x14ac:dyDescent="0.3">
      <c r="A877" t="s">
        <v>28</v>
      </c>
      <c r="B877" t="s">
        <v>14</v>
      </c>
      <c r="C877" t="s">
        <v>15</v>
      </c>
      <c r="D877" t="s">
        <v>99</v>
      </c>
      <c r="E877" t="s">
        <v>40</v>
      </c>
      <c r="F877">
        <v>28205</v>
      </c>
      <c r="G877" t="s">
        <v>18</v>
      </c>
      <c r="H877" t="s">
        <v>26</v>
      </c>
      <c r="I877" t="s">
        <v>41</v>
      </c>
      <c r="J877">
        <v>192.16</v>
      </c>
      <c r="K877">
        <v>5</v>
      </c>
      <c r="L877">
        <v>0.2</v>
      </c>
      <c r="M877">
        <v>67.256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19</v>
      </c>
      <c r="I878" t="s">
        <v>33</v>
      </c>
      <c r="J878">
        <v>322.58999999999997</v>
      </c>
      <c r="K878">
        <v>3</v>
      </c>
      <c r="L878">
        <v>0</v>
      </c>
      <c r="M878">
        <v>64.518000000000001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29.99</v>
      </c>
      <c r="K879">
        <v>1</v>
      </c>
      <c r="L879">
        <v>0</v>
      </c>
      <c r="M879">
        <v>13.195600000000001</v>
      </c>
    </row>
    <row r="880" spans="1:13" x14ac:dyDescent="0.3">
      <c r="A880" t="s">
        <v>28</v>
      </c>
      <c r="B880" t="s">
        <v>44</v>
      </c>
      <c r="C880" t="s">
        <v>15</v>
      </c>
      <c r="D880" t="s">
        <v>39</v>
      </c>
      <c r="E880" t="s">
        <v>247</v>
      </c>
      <c r="F880">
        <v>3301</v>
      </c>
      <c r="G880" t="s">
        <v>57</v>
      </c>
      <c r="H880" t="s">
        <v>35</v>
      </c>
      <c r="I880" t="s">
        <v>59</v>
      </c>
      <c r="J880">
        <v>371.97</v>
      </c>
      <c r="K880">
        <v>3</v>
      </c>
      <c r="L880">
        <v>0</v>
      </c>
      <c r="M880">
        <v>66.954599999999999</v>
      </c>
    </row>
    <row r="881" spans="1:13" x14ac:dyDescent="0.3">
      <c r="A881" t="s">
        <v>28</v>
      </c>
      <c r="B881" t="s">
        <v>44</v>
      </c>
      <c r="C881" t="s">
        <v>15</v>
      </c>
      <c r="D881" t="s">
        <v>55</v>
      </c>
      <c r="E881" t="s">
        <v>56</v>
      </c>
      <c r="F881">
        <v>19120</v>
      </c>
      <c r="G881" t="s">
        <v>57</v>
      </c>
      <c r="H881" t="s">
        <v>26</v>
      </c>
      <c r="I881" t="s">
        <v>37</v>
      </c>
      <c r="J881">
        <v>5.8920000000000003</v>
      </c>
      <c r="K881">
        <v>4</v>
      </c>
      <c r="L881">
        <v>0.7</v>
      </c>
      <c r="M881">
        <v>-4.1243999999999996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26</v>
      </c>
      <c r="I882" t="s">
        <v>37</v>
      </c>
      <c r="J882">
        <v>68.471999999999994</v>
      </c>
      <c r="K882">
        <v>3</v>
      </c>
      <c r="L882">
        <v>0.2</v>
      </c>
      <c r="M882">
        <v>23.109300000000001</v>
      </c>
    </row>
    <row r="883" spans="1:13" x14ac:dyDescent="0.3">
      <c r="A883" t="s">
        <v>13</v>
      </c>
      <c r="B883" t="s">
        <v>44</v>
      </c>
      <c r="C883" t="s">
        <v>15</v>
      </c>
      <c r="D883" t="s">
        <v>75</v>
      </c>
      <c r="E883" t="s">
        <v>76</v>
      </c>
      <c r="F883">
        <v>10024</v>
      </c>
      <c r="G883" t="s">
        <v>57</v>
      </c>
      <c r="H883" t="s">
        <v>19</v>
      </c>
      <c r="I883" t="s">
        <v>21</v>
      </c>
      <c r="J883">
        <v>1242.9000000000001</v>
      </c>
      <c r="K883">
        <v>5</v>
      </c>
      <c r="L883">
        <v>0.1</v>
      </c>
      <c r="M883">
        <v>262.39</v>
      </c>
    </row>
    <row r="884" spans="1:13" x14ac:dyDescent="0.3">
      <c r="A884" t="s">
        <v>28</v>
      </c>
      <c r="B884" t="s">
        <v>14</v>
      </c>
      <c r="C884" t="s">
        <v>15</v>
      </c>
      <c r="D884" t="s">
        <v>82</v>
      </c>
      <c r="E884" t="s">
        <v>83</v>
      </c>
      <c r="F884">
        <v>22153</v>
      </c>
      <c r="G884" t="s">
        <v>18</v>
      </c>
      <c r="H884" t="s">
        <v>26</v>
      </c>
      <c r="I884" t="s">
        <v>32</v>
      </c>
      <c r="J884">
        <v>30.84</v>
      </c>
      <c r="K884">
        <v>2</v>
      </c>
      <c r="L884">
        <v>0</v>
      </c>
      <c r="M884">
        <v>8.3268000000000004</v>
      </c>
    </row>
    <row r="885" spans="1:13" x14ac:dyDescent="0.3">
      <c r="A885" t="s">
        <v>168</v>
      </c>
      <c r="B885" t="s">
        <v>14</v>
      </c>
      <c r="C885" t="s">
        <v>15</v>
      </c>
      <c r="D885" t="s">
        <v>52</v>
      </c>
      <c r="E885" t="s">
        <v>24</v>
      </c>
      <c r="F885">
        <v>94109</v>
      </c>
      <c r="G885" t="s">
        <v>25</v>
      </c>
      <c r="H885" t="s">
        <v>26</v>
      </c>
      <c r="I885" t="s">
        <v>34</v>
      </c>
      <c r="J885">
        <v>13.48</v>
      </c>
      <c r="K885">
        <v>4</v>
      </c>
      <c r="L885">
        <v>0</v>
      </c>
      <c r="M885">
        <v>5.9311999999999996</v>
      </c>
    </row>
    <row r="886" spans="1:13" x14ac:dyDescent="0.3">
      <c r="A886" t="s">
        <v>62</v>
      </c>
      <c r="B886" t="s">
        <v>44</v>
      </c>
      <c r="C886" t="s">
        <v>15</v>
      </c>
      <c r="D886" t="s">
        <v>140</v>
      </c>
      <c r="E886" t="s">
        <v>70</v>
      </c>
      <c r="F886">
        <v>48227</v>
      </c>
      <c r="G886" t="s">
        <v>47</v>
      </c>
      <c r="H886" t="s">
        <v>19</v>
      </c>
      <c r="I886" t="s">
        <v>33</v>
      </c>
      <c r="J886">
        <v>31.4</v>
      </c>
      <c r="K886">
        <v>5</v>
      </c>
      <c r="L886">
        <v>0</v>
      </c>
      <c r="M886">
        <v>10.048</v>
      </c>
    </row>
    <row r="887" spans="1:13" x14ac:dyDescent="0.3">
      <c r="A887" t="s">
        <v>28</v>
      </c>
      <c r="B887" t="s">
        <v>14</v>
      </c>
      <c r="C887" t="s">
        <v>15</v>
      </c>
      <c r="D887" t="s">
        <v>92</v>
      </c>
      <c r="E887" t="s">
        <v>76</v>
      </c>
      <c r="F887">
        <v>14609</v>
      </c>
      <c r="G887" t="s">
        <v>57</v>
      </c>
      <c r="H887" t="s">
        <v>19</v>
      </c>
      <c r="I887" t="s">
        <v>33</v>
      </c>
      <c r="J887">
        <v>17.46</v>
      </c>
      <c r="K887">
        <v>2</v>
      </c>
      <c r="L887">
        <v>0</v>
      </c>
      <c r="M887">
        <v>5.9363999999999999</v>
      </c>
    </row>
    <row r="888" spans="1:13" x14ac:dyDescent="0.3">
      <c r="A888" t="s">
        <v>13</v>
      </c>
      <c r="B888" t="s">
        <v>22</v>
      </c>
      <c r="C888" t="s">
        <v>15</v>
      </c>
      <c r="D888" t="s">
        <v>23</v>
      </c>
      <c r="E888" t="s">
        <v>24</v>
      </c>
      <c r="F888">
        <v>90045</v>
      </c>
      <c r="G888" t="s">
        <v>25</v>
      </c>
      <c r="H888" t="s">
        <v>26</v>
      </c>
      <c r="I888" t="s">
        <v>37</v>
      </c>
      <c r="J888">
        <v>13.944000000000001</v>
      </c>
      <c r="K888">
        <v>3</v>
      </c>
      <c r="L888">
        <v>0.2</v>
      </c>
      <c r="M888">
        <v>4.5317999999999996</v>
      </c>
    </row>
    <row r="889" spans="1:13" x14ac:dyDescent="0.3">
      <c r="A889" t="s">
        <v>28</v>
      </c>
      <c r="B889" t="s">
        <v>14</v>
      </c>
      <c r="C889" t="s">
        <v>15</v>
      </c>
      <c r="D889" t="s">
        <v>144</v>
      </c>
      <c r="E889" t="s">
        <v>24</v>
      </c>
      <c r="F889">
        <v>92105</v>
      </c>
      <c r="G889" t="s">
        <v>25</v>
      </c>
      <c r="H889" t="s">
        <v>26</v>
      </c>
      <c r="I889" t="s">
        <v>32</v>
      </c>
      <c r="J889">
        <v>83.76</v>
      </c>
      <c r="K889">
        <v>12</v>
      </c>
      <c r="L889">
        <v>0</v>
      </c>
      <c r="M889">
        <v>1.6752</v>
      </c>
    </row>
    <row r="890" spans="1:13" x14ac:dyDescent="0.3">
      <c r="A890" t="s">
        <v>28</v>
      </c>
      <c r="B890" t="s">
        <v>44</v>
      </c>
      <c r="C890" t="s">
        <v>15</v>
      </c>
      <c r="D890" t="s">
        <v>90</v>
      </c>
      <c r="E890" t="s">
        <v>248</v>
      </c>
      <c r="F890">
        <v>21044</v>
      </c>
      <c r="G890" t="s">
        <v>57</v>
      </c>
      <c r="H890" t="s">
        <v>26</v>
      </c>
      <c r="I890" t="s">
        <v>37</v>
      </c>
      <c r="J890">
        <v>37.659999999999997</v>
      </c>
      <c r="K890">
        <v>7</v>
      </c>
      <c r="L890">
        <v>0</v>
      </c>
      <c r="M890">
        <v>18.453399999999998</v>
      </c>
    </row>
    <row r="891" spans="1:13" x14ac:dyDescent="0.3">
      <c r="A891" t="s">
        <v>28</v>
      </c>
      <c r="B891" t="s">
        <v>22</v>
      </c>
      <c r="C891" t="s">
        <v>15</v>
      </c>
      <c r="D891" t="s">
        <v>52</v>
      </c>
      <c r="E891" t="s">
        <v>24</v>
      </c>
      <c r="F891">
        <v>94122</v>
      </c>
      <c r="G891" t="s">
        <v>25</v>
      </c>
      <c r="H891" t="s">
        <v>26</v>
      </c>
      <c r="I891" t="s">
        <v>41</v>
      </c>
      <c r="J891">
        <v>34.68</v>
      </c>
      <c r="K891">
        <v>6</v>
      </c>
      <c r="L891">
        <v>0</v>
      </c>
      <c r="M891">
        <v>16.993200000000002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35</v>
      </c>
      <c r="I892" t="s">
        <v>59</v>
      </c>
      <c r="J892">
        <v>149.94999999999999</v>
      </c>
      <c r="K892">
        <v>5</v>
      </c>
      <c r="L892">
        <v>0</v>
      </c>
      <c r="M892">
        <v>14.994999999999999</v>
      </c>
    </row>
    <row r="893" spans="1:13" x14ac:dyDescent="0.3">
      <c r="A893" t="s">
        <v>28</v>
      </c>
      <c r="B893" t="s">
        <v>14</v>
      </c>
      <c r="C893" t="s">
        <v>15</v>
      </c>
      <c r="D893" t="s">
        <v>187</v>
      </c>
      <c r="E893" t="s">
        <v>76</v>
      </c>
      <c r="F893">
        <v>10801</v>
      </c>
      <c r="G893" t="s">
        <v>57</v>
      </c>
      <c r="H893" t="s">
        <v>26</v>
      </c>
      <c r="I893" t="s">
        <v>37</v>
      </c>
      <c r="J893">
        <v>51.311999999999998</v>
      </c>
      <c r="K893">
        <v>3</v>
      </c>
      <c r="L893">
        <v>0.2</v>
      </c>
      <c r="M893">
        <v>18.6006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41</v>
      </c>
      <c r="J894">
        <v>4.54</v>
      </c>
      <c r="K894">
        <v>1</v>
      </c>
      <c r="L894">
        <v>0</v>
      </c>
      <c r="M894">
        <v>2.0430000000000001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26</v>
      </c>
      <c r="I895" t="s">
        <v>34</v>
      </c>
      <c r="J895">
        <v>15.92</v>
      </c>
      <c r="K895">
        <v>4</v>
      </c>
      <c r="L895">
        <v>0</v>
      </c>
      <c r="M895">
        <v>5.4127999999999998</v>
      </c>
    </row>
    <row r="896" spans="1:13" x14ac:dyDescent="0.3">
      <c r="A896" t="s">
        <v>62</v>
      </c>
      <c r="B896" t="s">
        <v>44</v>
      </c>
      <c r="C896" t="s">
        <v>15</v>
      </c>
      <c r="D896" t="s">
        <v>140</v>
      </c>
      <c r="E896" t="s">
        <v>70</v>
      </c>
      <c r="F896">
        <v>48227</v>
      </c>
      <c r="G896" t="s">
        <v>47</v>
      </c>
      <c r="H896" t="s">
        <v>35</v>
      </c>
      <c r="I896" t="s">
        <v>36</v>
      </c>
      <c r="J896">
        <v>543.91999999999996</v>
      </c>
      <c r="K896">
        <v>8</v>
      </c>
      <c r="L896">
        <v>0</v>
      </c>
      <c r="M896">
        <v>135.97999999999999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32</v>
      </c>
      <c r="J897">
        <v>155.82</v>
      </c>
      <c r="K897">
        <v>7</v>
      </c>
      <c r="L897">
        <v>0</v>
      </c>
      <c r="M897">
        <v>42.071399999999997</v>
      </c>
    </row>
    <row r="898" spans="1:13" x14ac:dyDescent="0.3">
      <c r="A898" t="s">
        <v>62</v>
      </c>
      <c r="B898" t="s">
        <v>22</v>
      </c>
      <c r="C898" t="s">
        <v>15</v>
      </c>
      <c r="D898" t="s">
        <v>52</v>
      </c>
      <c r="E898" t="s">
        <v>24</v>
      </c>
      <c r="F898">
        <v>94122</v>
      </c>
      <c r="G898" t="s">
        <v>25</v>
      </c>
      <c r="H898" t="s">
        <v>26</v>
      </c>
      <c r="I898" t="s">
        <v>37</v>
      </c>
      <c r="J898">
        <v>70.007999999999996</v>
      </c>
      <c r="K898">
        <v>3</v>
      </c>
      <c r="L898">
        <v>0.2</v>
      </c>
      <c r="M898">
        <v>24.502800000000001</v>
      </c>
    </row>
    <row r="899" spans="1:13" x14ac:dyDescent="0.3">
      <c r="A899" t="s">
        <v>13</v>
      </c>
      <c r="B899" t="s">
        <v>14</v>
      </c>
      <c r="C899" t="s">
        <v>15</v>
      </c>
      <c r="D899" t="s">
        <v>61</v>
      </c>
      <c r="E899" t="s">
        <v>46</v>
      </c>
      <c r="F899">
        <v>77095</v>
      </c>
      <c r="G899" t="s">
        <v>47</v>
      </c>
      <c r="H899" t="s">
        <v>26</v>
      </c>
      <c r="I899" t="s">
        <v>60</v>
      </c>
      <c r="J899">
        <v>15.648</v>
      </c>
      <c r="K899">
        <v>2</v>
      </c>
      <c r="L899">
        <v>0.2</v>
      </c>
      <c r="M899">
        <v>5.0856000000000003</v>
      </c>
    </row>
    <row r="900" spans="1:13" x14ac:dyDescent="0.3">
      <c r="A900" t="s">
        <v>28</v>
      </c>
      <c r="B900" t="s">
        <v>14</v>
      </c>
      <c r="C900" t="s">
        <v>15</v>
      </c>
      <c r="D900" t="s">
        <v>140</v>
      </c>
      <c r="E900" t="s">
        <v>70</v>
      </c>
      <c r="F900">
        <v>48227</v>
      </c>
      <c r="G900" t="s">
        <v>47</v>
      </c>
      <c r="H900" t="s">
        <v>26</v>
      </c>
      <c r="I900" t="s">
        <v>27</v>
      </c>
      <c r="J900">
        <v>103.6</v>
      </c>
      <c r="K900">
        <v>7</v>
      </c>
      <c r="L900">
        <v>0</v>
      </c>
      <c r="M900">
        <v>51.8</v>
      </c>
    </row>
    <row r="901" spans="1:13" x14ac:dyDescent="0.3">
      <c r="A901" t="s">
        <v>13</v>
      </c>
      <c r="B901" t="s">
        <v>22</v>
      </c>
      <c r="C901" t="s">
        <v>15</v>
      </c>
      <c r="D901" t="s">
        <v>190</v>
      </c>
      <c r="E901" t="s">
        <v>76</v>
      </c>
      <c r="F901">
        <v>13021</v>
      </c>
      <c r="G901" t="s">
        <v>57</v>
      </c>
      <c r="H901" t="s">
        <v>26</v>
      </c>
      <c r="I901" t="s">
        <v>41</v>
      </c>
      <c r="J901">
        <v>46.96</v>
      </c>
      <c r="K901">
        <v>8</v>
      </c>
      <c r="L901">
        <v>0</v>
      </c>
      <c r="M901">
        <v>22.540800000000001</v>
      </c>
    </row>
    <row r="902" spans="1:13" x14ac:dyDescent="0.3">
      <c r="A902" t="s">
        <v>62</v>
      </c>
      <c r="B902" t="s">
        <v>22</v>
      </c>
      <c r="C902" t="s">
        <v>15</v>
      </c>
      <c r="D902" t="s">
        <v>82</v>
      </c>
      <c r="E902" t="s">
        <v>104</v>
      </c>
      <c r="F902">
        <v>45503</v>
      </c>
      <c r="G902" t="s">
        <v>57</v>
      </c>
      <c r="H902" t="s">
        <v>26</v>
      </c>
      <c r="I902" t="s">
        <v>37</v>
      </c>
      <c r="J902">
        <v>8.9039999999999999</v>
      </c>
      <c r="K902">
        <v>2</v>
      </c>
      <c r="L902">
        <v>0.7</v>
      </c>
      <c r="M902">
        <v>-6.5296000000000003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27</v>
      </c>
      <c r="J903">
        <v>10.44</v>
      </c>
      <c r="K903">
        <v>5</v>
      </c>
      <c r="L903">
        <v>0.2</v>
      </c>
      <c r="M903">
        <v>3.3929999999999998</v>
      </c>
    </row>
    <row r="904" spans="1:13" x14ac:dyDescent="0.3">
      <c r="A904" t="s">
        <v>62</v>
      </c>
      <c r="B904" t="s">
        <v>14</v>
      </c>
      <c r="C904" t="s">
        <v>15</v>
      </c>
      <c r="D904" t="s">
        <v>249</v>
      </c>
      <c r="E904" t="s">
        <v>46</v>
      </c>
      <c r="F904">
        <v>75043</v>
      </c>
      <c r="G904" t="s">
        <v>47</v>
      </c>
      <c r="H904" t="s">
        <v>26</v>
      </c>
      <c r="I904" t="s">
        <v>37</v>
      </c>
      <c r="J904">
        <v>18.335999999999999</v>
      </c>
      <c r="K904">
        <v>4</v>
      </c>
      <c r="L904">
        <v>0.8</v>
      </c>
      <c r="M904">
        <v>-32.088000000000001</v>
      </c>
    </row>
    <row r="905" spans="1:13" x14ac:dyDescent="0.3">
      <c r="A905" t="s">
        <v>62</v>
      </c>
      <c r="B905" t="s">
        <v>14</v>
      </c>
      <c r="C905" t="s">
        <v>15</v>
      </c>
      <c r="D905" t="s">
        <v>79</v>
      </c>
      <c r="E905" t="s">
        <v>65</v>
      </c>
      <c r="F905">
        <v>60653</v>
      </c>
      <c r="G905" t="s">
        <v>47</v>
      </c>
      <c r="H905" t="s">
        <v>35</v>
      </c>
      <c r="I905" t="s">
        <v>36</v>
      </c>
      <c r="J905">
        <v>323.976</v>
      </c>
      <c r="K905">
        <v>3</v>
      </c>
      <c r="L905">
        <v>0.2</v>
      </c>
      <c r="M905">
        <v>20.2485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41</v>
      </c>
      <c r="J906">
        <v>20.04</v>
      </c>
      <c r="K906">
        <v>3</v>
      </c>
      <c r="L906">
        <v>0</v>
      </c>
      <c r="M906">
        <v>9.6191999999999993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32</v>
      </c>
      <c r="J907">
        <v>64.959999999999994</v>
      </c>
      <c r="K907">
        <v>2</v>
      </c>
      <c r="L907">
        <v>0</v>
      </c>
      <c r="M907">
        <v>2.5983999999999998</v>
      </c>
    </row>
    <row r="908" spans="1:13" x14ac:dyDescent="0.3">
      <c r="A908" t="s">
        <v>28</v>
      </c>
      <c r="B908" t="s">
        <v>14</v>
      </c>
      <c r="C908" t="s">
        <v>15</v>
      </c>
      <c r="D908" t="s">
        <v>23</v>
      </c>
      <c r="E908" t="s">
        <v>24</v>
      </c>
      <c r="F908">
        <v>90032</v>
      </c>
      <c r="G908" t="s">
        <v>25</v>
      </c>
      <c r="H908" t="s">
        <v>26</v>
      </c>
      <c r="I908" t="s">
        <v>41</v>
      </c>
      <c r="J908">
        <v>12.96</v>
      </c>
      <c r="K908">
        <v>2</v>
      </c>
      <c r="L908">
        <v>0</v>
      </c>
      <c r="M908">
        <v>6.2207999999999997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19</v>
      </c>
      <c r="I909" t="s">
        <v>20</v>
      </c>
      <c r="J909">
        <v>323.13600000000002</v>
      </c>
      <c r="K909">
        <v>4</v>
      </c>
      <c r="L909">
        <v>0.2</v>
      </c>
      <c r="M909">
        <v>12.117599999999999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35</v>
      </c>
      <c r="I910" t="s">
        <v>36</v>
      </c>
      <c r="J910">
        <v>90.93</v>
      </c>
      <c r="K910">
        <v>7</v>
      </c>
      <c r="L910">
        <v>0</v>
      </c>
      <c r="M910">
        <v>2.7279</v>
      </c>
    </row>
    <row r="911" spans="1:13" x14ac:dyDescent="0.3">
      <c r="A911" t="s">
        <v>28</v>
      </c>
      <c r="B911" t="s">
        <v>14</v>
      </c>
      <c r="C911" t="s">
        <v>15</v>
      </c>
      <c r="D911" t="s">
        <v>75</v>
      </c>
      <c r="E911" t="s">
        <v>76</v>
      </c>
      <c r="F911">
        <v>10009</v>
      </c>
      <c r="G911" t="s">
        <v>57</v>
      </c>
      <c r="H911" t="s">
        <v>26</v>
      </c>
      <c r="I911" t="s">
        <v>37</v>
      </c>
      <c r="J911">
        <v>52.776000000000003</v>
      </c>
      <c r="K911">
        <v>3</v>
      </c>
      <c r="L911">
        <v>0.2</v>
      </c>
      <c r="M911">
        <v>19.791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36</v>
      </c>
      <c r="J912">
        <v>1199.8</v>
      </c>
      <c r="K912">
        <v>4</v>
      </c>
      <c r="L912">
        <v>0</v>
      </c>
      <c r="M912">
        <v>323.94600000000003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35</v>
      </c>
      <c r="I913" t="s">
        <v>59</v>
      </c>
      <c r="J913">
        <v>1928.78</v>
      </c>
      <c r="K913">
        <v>7</v>
      </c>
      <c r="L913">
        <v>0</v>
      </c>
      <c r="M913">
        <v>829.37540000000001</v>
      </c>
    </row>
    <row r="914" spans="1:13" x14ac:dyDescent="0.3">
      <c r="A914" t="s">
        <v>28</v>
      </c>
      <c r="B914" t="s">
        <v>44</v>
      </c>
      <c r="C914" t="s">
        <v>15</v>
      </c>
      <c r="D914" t="s">
        <v>84</v>
      </c>
      <c r="E914" t="s">
        <v>70</v>
      </c>
      <c r="F914">
        <v>49201</v>
      </c>
      <c r="G914" t="s">
        <v>47</v>
      </c>
      <c r="H914" t="s">
        <v>26</v>
      </c>
      <c r="I914" t="s">
        <v>32</v>
      </c>
      <c r="J914">
        <v>352.38</v>
      </c>
      <c r="K914">
        <v>2</v>
      </c>
      <c r="L914">
        <v>0</v>
      </c>
      <c r="M914">
        <v>81.047399999999996</v>
      </c>
    </row>
    <row r="915" spans="1:13" x14ac:dyDescent="0.3">
      <c r="A915" t="s">
        <v>28</v>
      </c>
      <c r="B915" t="s">
        <v>44</v>
      </c>
      <c r="C915" t="s">
        <v>15</v>
      </c>
      <c r="D915" t="s">
        <v>250</v>
      </c>
      <c r="E915" t="s">
        <v>127</v>
      </c>
      <c r="F915">
        <v>6360</v>
      </c>
      <c r="G915" t="s">
        <v>57</v>
      </c>
      <c r="H915" t="s">
        <v>19</v>
      </c>
      <c r="I915" t="s">
        <v>33</v>
      </c>
      <c r="J915">
        <v>22.2</v>
      </c>
      <c r="K915">
        <v>6</v>
      </c>
      <c r="L915">
        <v>0</v>
      </c>
      <c r="M915">
        <v>9.1020000000000003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19</v>
      </c>
      <c r="I916" t="s">
        <v>33</v>
      </c>
      <c r="J916">
        <v>46.94</v>
      </c>
      <c r="K916">
        <v>1</v>
      </c>
      <c r="L916">
        <v>0</v>
      </c>
      <c r="M916">
        <v>19.2454</v>
      </c>
    </row>
    <row r="917" spans="1:13" x14ac:dyDescent="0.3">
      <c r="A917" t="s">
        <v>62</v>
      </c>
      <c r="B917" t="s">
        <v>22</v>
      </c>
      <c r="C917" t="s">
        <v>15</v>
      </c>
      <c r="D917" t="s">
        <v>241</v>
      </c>
      <c r="E917" t="s">
        <v>49</v>
      </c>
      <c r="F917">
        <v>53209</v>
      </c>
      <c r="G917" t="s">
        <v>47</v>
      </c>
      <c r="H917" t="s">
        <v>35</v>
      </c>
      <c r="I917" t="s">
        <v>59</v>
      </c>
      <c r="J917">
        <v>143.72999999999999</v>
      </c>
      <c r="K917">
        <v>9</v>
      </c>
      <c r="L917">
        <v>0</v>
      </c>
      <c r="M917">
        <v>56.054699999999997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31</v>
      </c>
      <c r="J918">
        <v>99.918000000000006</v>
      </c>
      <c r="K918">
        <v>2</v>
      </c>
      <c r="L918">
        <v>0.3</v>
      </c>
      <c r="M918">
        <v>-18.5562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19</v>
      </c>
      <c r="I919" t="s">
        <v>21</v>
      </c>
      <c r="J919">
        <v>797.94399999999996</v>
      </c>
      <c r="K919">
        <v>4</v>
      </c>
      <c r="L919">
        <v>0.3</v>
      </c>
      <c r="M919">
        <v>-56.996000000000002</v>
      </c>
    </row>
    <row r="920" spans="1:13" x14ac:dyDescent="0.3">
      <c r="A920" t="s">
        <v>28</v>
      </c>
      <c r="B920" t="s">
        <v>22</v>
      </c>
      <c r="C920" t="s">
        <v>15</v>
      </c>
      <c r="D920" t="s">
        <v>122</v>
      </c>
      <c r="E920" t="s">
        <v>46</v>
      </c>
      <c r="F920">
        <v>78207</v>
      </c>
      <c r="G920" t="s">
        <v>47</v>
      </c>
      <c r="H920" t="s">
        <v>26</v>
      </c>
      <c r="I920" t="s">
        <v>37</v>
      </c>
      <c r="J920">
        <v>8.5679999999999996</v>
      </c>
      <c r="K920">
        <v>3</v>
      </c>
      <c r="L920">
        <v>0.8</v>
      </c>
      <c r="M920">
        <v>-14.5656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60</v>
      </c>
      <c r="J921">
        <v>149.352</v>
      </c>
      <c r="K921">
        <v>3</v>
      </c>
      <c r="L921">
        <v>0.2</v>
      </c>
      <c r="M921">
        <v>50.406300000000002</v>
      </c>
    </row>
    <row r="922" spans="1:13" x14ac:dyDescent="0.3">
      <c r="A922" t="s">
        <v>28</v>
      </c>
      <c r="B922" t="s">
        <v>22</v>
      </c>
      <c r="C922" t="s">
        <v>15</v>
      </c>
      <c r="D922" t="s">
        <v>135</v>
      </c>
      <c r="E922" t="s">
        <v>46</v>
      </c>
      <c r="F922">
        <v>75220</v>
      </c>
      <c r="G922" t="s">
        <v>47</v>
      </c>
      <c r="H922" t="s">
        <v>26</v>
      </c>
      <c r="I922" t="s">
        <v>32</v>
      </c>
      <c r="J922">
        <v>12.992000000000001</v>
      </c>
      <c r="K922">
        <v>1</v>
      </c>
      <c r="L922">
        <v>0.2</v>
      </c>
      <c r="M922">
        <v>-0.81200000000000006</v>
      </c>
    </row>
    <row r="923" spans="1:13" x14ac:dyDescent="0.3">
      <c r="A923" t="s">
        <v>28</v>
      </c>
      <c r="B923" t="s">
        <v>14</v>
      </c>
      <c r="C923" t="s">
        <v>15</v>
      </c>
      <c r="D923" t="s">
        <v>251</v>
      </c>
      <c r="E923" t="s">
        <v>83</v>
      </c>
      <c r="F923">
        <v>22304</v>
      </c>
      <c r="G923" t="s">
        <v>18</v>
      </c>
      <c r="H923" t="s">
        <v>26</v>
      </c>
      <c r="I923" t="s">
        <v>32</v>
      </c>
      <c r="J923">
        <v>24.56</v>
      </c>
      <c r="K923">
        <v>2</v>
      </c>
      <c r="L923">
        <v>0</v>
      </c>
      <c r="M923">
        <v>6.8768000000000002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59</v>
      </c>
      <c r="J924">
        <v>85.14</v>
      </c>
      <c r="K924">
        <v>3</v>
      </c>
      <c r="L924">
        <v>0</v>
      </c>
      <c r="M924">
        <v>34.907400000000003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35</v>
      </c>
      <c r="I925" t="s">
        <v>36</v>
      </c>
      <c r="J925">
        <v>21.99</v>
      </c>
      <c r="K925">
        <v>1</v>
      </c>
      <c r="L925">
        <v>0</v>
      </c>
      <c r="M925">
        <v>10.555199999999999</v>
      </c>
    </row>
    <row r="926" spans="1:13" x14ac:dyDescent="0.3">
      <c r="A926" t="s">
        <v>28</v>
      </c>
      <c r="B926" t="s">
        <v>14</v>
      </c>
      <c r="C926" t="s">
        <v>15</v>
      </c>
      <c r="D926" t="s">
        <v>75</v>
      </c>
      <c r="E926" t="s">
        <v>76</v>
      </c>
      <c r="F926">
        <v>10009</v>
      </c>
      <c r="G926" t="s">
        <v>57</v>
      </c>
      <c r="H926" t="s">
        <v>26</v>
      </c>
      <c r="I926" t="s">
        <v>38</v>
      </c>
      <c r="J926">
        <v>406.6</v>
      </c>
      <c r="K926">
        <v>5</v>
      </c>
      <c r="L926">
        <v>0</v>
      </c>
      <c r="M926">
        <v>113.848</v>
      </c>
    </row>
    <row r="927" spans="1:13" x14ac:dyDescent="0.3">
      <c r="A927" t="s">
        <v>28</v>
      </c>
      <c r="B927" t="s">
        <v>22</v>
      </c>
      <c r="C927" t="s">
        <v>15</v>
      </c>
      <c r="D927" t="s">
        <v>75</v>
      </c>
      <c r="E927" t="s">
        <v>76</v>
      </c>
      <c r="F927">
        <v>10011</v>
      </c>
      <c r="G927" t="s">
        <v>57</v>
      </c>
      <c r="H927" t="s">
        <v>26</v>
      </c>
      <c r="I927" t="s">
        <v>37</v>
      </c>
      <c r="J927">
        <v>841.56799999999998</v>
      </c>
      <c r="K927">
        <v>2</v>
      </c>
      <c r="L927">
        <v>0.2</v>
      </c>
      <c r="M927">
        <v>294.54880000000003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26</v>
      </c>
      <c r="I928" t="s">
        <v>41</v>
      </c>
      <c r="J928">
        <v>15.552</v>
      </c>
      <c r="K928">
        <v>3</v>
      </c>
      <c r="L928">
        <v>0.2</v>
      </c>
      <c r="M928">
        <v>5.4432</v>
      </c>
    </row>
    <row r="929" spans="1:13" x14ac:dyDescent="0.3">
      <c r="A929" t="s">
        <v>62</v>
      </c>
      <c r="B929" t="s">
        <v>14</v>
      </c>
      <c r="C929" t="s">
        <v>15</v>
      </c>
      <c r="D929" t="s">
        <v>55</v>
      </c>
      <c r="E929" t="s">
        <v>56</v>
      </c>
      <c r="F929">
        <v>19143</v>
      </c>
      <c r="G929" t="s">
        <v>57</v>
      </c>
      <c r="H929" t="s">
        <v>35</v>
      </c>
      <c r="I929" t="s">
        <v>59</v>
      </c>
      <c r="J929">
        <v>252</v>
      </c>
      <c r="K929">
        <v>5</v>
      </c>
      <c r="L929">
        <v>0.2</v>
      </c>
      <c r="M929">
        <v>53.55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34</v>
      </c>
      <c r="J930">
        <v>46.2</v>
      </c>
      <c r="K930">
        <v>4</v>
      </c>
      <c r="L930">
        <v>0</v>
      </c>
      <c r="M930">
        <v>12.936</v>
      </c>
    </row>
    <row r="931" spans="1:13" x14ac:dyDescent="0.3">
      <c r="A931" t="s">
        <v>28</v>
      </c>
      <c r="B931" t="s">
        <v>44</v>
      </c>
      <c r="C931" t="s">
        <v>15</v>
      </c>
      <c r="D931" t="s">
        <v>82</v>
      </c>
      <c r="E931" t="s">
        <v>83</v>
      </c>
      <c r="F931">
        <v>22153</v>
      </c>
      <c r="G931" t="s">
        <v>18</v>
      </c>
      <c r="H931" t="s">
        <v>26</v>
      </c>
      <c r="I931" t="s">
        <v>38</v>
      </c>
      <c r="J931">
        <v>28.84</v>
      </c>
      <c r="K931">
        <v>2</v>
      </c>
      <c r="L931">
        <v>0</v>
      </c>
      <c r="M931">
        <v>9.5172000000000008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14.592000000000001</v>
      </c>
      <c r="K932">
        <v>3</v>
      </c>
      <c r="L932">
        <v>0.2</v>
      </c>
      <c r="M932">
        <v>2.5535999999999999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34</v>
      </c>
      <c r="J933">
        <v>89.855999999999995</v>
      </c>
      <c r="K933">
        <v>3</v>
      </c>
      <c r="L933">
        <v>0.2</v>
      </c>
      <c r="M933">
        <v>21.340800000000002</v>
      </c>
    </row>
    <row r="934" spans="1:13" x14ac:dyDescent="0.3">
      <c r="A934" t="s">
        <v>62</v>
      </c>
      <c r="B934" t="s">
        <v>14</v>
      </c>
      <c r="C934" t="s">
        <v>15</v>
      </c>
      <c r="D934" t="s">
        <v>252</v>
      </c>
      <c r="E934" t="s">
        <v>104</v>
      </c>
      <c r="F934">
        <v>43615</v>
      </c>
      <c r="G934" t="s">
        <v>57</v>
      </c>
      <c r="H934" t="s">
        <v>26</v>
      </c>
      <c r="I934" t="s">
        <v>41</v>
      </c>
      <c r="J934">
        <v>13.872</v>
      </c>
      <c r="K934">
        <v>3</v>
      </c>
      <c r="L934">
        <v>0.2</v>
      </c>
      <c r="M934">
        <v>5.0286</v>
      </c>
    </row>
    <row r="935" spans="1:13" x14ac:dyDescent="0.3">
      <c r="A935" t="s">
        <v>28</v>
      </c>
      <c r="B935" t="s">
        <v>14</v>
      </c>
      <c r="C935" t="s">
        <v>15</v>
      </c>
      <c r="D935" t="s">
        <v>55</v>
      </c>
      <c r="E935" t="s">
        <v>56</v>
      </c>
      <c r="F935">
        <v>19140</v>
      </c>
      <c r="G935" t="s">
        <v>57</v>
      </c>
      <c r="H935" t="s">
        <v>26</v>
      </c>
      <c r="I935" t="s">
        <v>41</v>
      </c>
      <c r="J935">
        <v>12.192</v>
      </c>
      <c r="K935">
        <v>3</v>
      </c>
      <c r="L935">
        <v>0.2</v>
      </c>
      <c r="M935">
        <v>4.1147999999999998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41</v>
      </c>
      <c r="J936">
        <v>45.055999999999997</v>
      </c>
      <c r="K936">
        <v>8</v>
      </c>
      <c r="L936">
        <v>0.2</v>
      </c>
      <c r="M936">
        <v>15.2064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37</v>
      </c>
      <c r="J937">
        <v>29.718</v>
      </c>
      <c r="K937">
        <v>6</v>
      </c>
      <c r="L937">
        <v>0.7</v>
      </c>
      <c r="M937">
        <v>-21.793199999999999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41</v>
      </c>
      <c r="J938">
        <v>15.552</v>
      </c>
      <c r="K938">
        <v>3</v>
      </c>
      <c r="L938">
        <v>0.2</v>
      </c>
      <c r="M938">
        <v>5.4432</v>
      </c>
    </row>
    <row r="939" spans="1:13" x14ac:dyDescent="0.3">
      <c r="A939" t="s">
        <v>28</v>
      </c>
      <c r="B939" t="s">
        <v>44</v>
      </c>
      <c r="C939" t="s">
        <v>15</v>
      </c>
      <c r="D939" t="s">
        <v>55</v>
      </c>
      <c r="E939" t="s">
        <v>56</v>
      </c>
      <c r="F939">
        <v>19120</v>
      </c>
      <c r="G939" t="s">
        <v>57</v>
      </c>
      <c r="H939" t="s">
        <v>26</v>
      </c>
      <c r="I939" t="s">
        <v>38</v>
      </c>
      <c r="J939">
        <v>447.69600000000003</v>
      </c>
      <c r="K939">
        <v>2</v>
      </c>
      <c r="L939">
        <v>0.2</v>
      </c>
      <c r="M939">
        <v>33.577199999999998</v>
      </c>
    </row>
    <row r="940" spans="1:13" x14ac:dyDescent="0.3">
      <c r="A940" t="s">
        <v>62</v>
      </c>
      <c r="B940" t="s">
        <v>22</v>
      </c>
      <c r="C940" t="s">
        <v>15</v>
      </c>
      <c r="D940" t="s">
        <v>253</v>
      </c>
      <c r="E940" t="s">
        <v>121</v>
      </c>
      <c r="F940">
        <v>87401</v>
      </c>
      <c r="G940" t="s">
        <v>25</v>
      </c>
      <c r="H940" t="s">
        <v>35</v>
      </c>
      <c r="I940" t="s">
        <v>59</v>
      </c>
      <c r="J940">
        <v>159.99</v>
      </c>
      <c r="K940">
        <v>1</v>
      </c>
      <c r="L940">
        <v>0</v>
      </c>
      <c r="M940">
        <v>54.396599999999999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41</v>
      </c>
      <c r="J941">
        <v>12.96</v>
      </c>
      <c r="K941">
        <v>2</v>
      </c>
      <c r="L941">
        <v>0</v>
      </c>
      <c r="M941">
        <v>6.2207999999999997</v>
      </c>
    </row>
    <row r="942" spans="1:13" x14ac:dyDescent="0.3">
      <c r="A942" t="s">
        <v>28</v>
      </c>
      <c r="B942" t="s">
        <v>22</v>
      </c>
      <c r="C942" t="s">
        <v>15</v>
      </c>
      <c r="D942" t="s">
        <v>254</v>
      </c>
      <c r="E942" t="s">
        <v>24</v>
      </c>
      <c r="F942">
        <v>92503</v>
      </c>
      <c r="G942" t="s">
        <v>25</v>
      </c>
      <c r="H942" t="s">
        <v>26</v>
      </c>
      <c r="I942" t="s">
        <v>38</v>
      </c>
      <c r="J942">
        <v>134.47999999999999</v>
      </c>
      <c r="K942">
        <v>4</v>
      </c>
      <c r="L942">
        <v>0</v>
      </c>
      <c r="M942">
        <v>34.964799999999997</v>
      </c>
    </row>
    <row r="943" spans="1:13" x14ac:dyDescent="0.3">
      <c r="A943" t="s">
        <v>62</v>
      </c>
      <c r="B943" t="s">
        <v>22</v>
      </c>
      <c r="C943" t="s">
        <v>15</v>
      </c>
      <c r="D943" t="s">
        <v>52</v>
      </c>
      <c r="E943" t="s">
        <v>24</v>
      </c>
      <c r="F943">
        <v>94110</v>
      </c>
      <c r="G943" t="s">
        <v>25</v>
      </c>
      <c r="H943" t="s">
        <v>26</v>
      </c>
      <c r="I943" t="s">
        <v>41</v>
      </c>
      <c r="J943">
        <v>17.12</v>
      </c>
      <c r="K943">
        <v>2</v>
      </c>
      <c r="L943">
        <v>0</v>
      </c>
      <c r="M943">
        <v>8.0464000000000002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26</v>
      </c>
      <c r="I944" t="s">
        <v>37</v>
      </c>
      <c r="J944">
        <v>6.0960000000000001</v>
      </c>
      <c r="K944">
        <v>2</v>
      </c>
      <c r="L944">
        <v>0.2</v>
      </c>
      <c r="M944">
        <v>2.2098</v>
      </c>
    </row>
    <row r="945" spans="1:13" x14ac:dyDescent="0.3">
      <c r="A945" t="s">
        <v>28</v>
      </c>
      <c r="B945" t="s">
        <v>22</v>
      </c>
      <c r="C945" t="s">
        <v>15</v>
      </c>
      <c r="D945" t="s">
        <v>255</v>
      </c>
      <c r="E945" t="s">
        <v>24</v>
      </c>
      <c r="F945">
        <v>90503</v>
      </c>
      <c r="G945" t="s">
        <v>25</v>
      </c>
      <c r="H945" t="s">
        <v>19</v>
      </c>
      <c r="I945" t="s">
        <v>31</v>
      </c>
      <c r="J945">
        <v>1114.2719999999999</v>
      </c>
      <c r="K945">
        <v>4</v>
      </c>
      <c r="L945">
        <v>0.2</v>
      </c>
      <c r="M945">
        <v>41.785200000000003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41</v>
      </c>
      <c r="J946">
        <v>32.4</v>
      </c>
      <c r="K946">
        <v>5</v>
      </c>
      <c r="L946">
        <v>0</v>
      </c>
      <c r="M946">
        <v>15.552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32</v>
      </c>
      <c r="J947">
        <v>540.57000000000005</v>
      </c>
      <c r="K947">
        <v>3</v>
      </c>
      <c r="L947">
        <v>0</v>
      </c>
      <c r="M947">
        <v>140.54820000000001</v>
      </c>
    </row>
    <row r="948" spans="1:13" x14ac:dyDescent="0.3">
      <c r="A948" t="s">
        <v>28</v>
      </c>
      <c r="B948" t="s">
        <v>14</v>
      </c>
      <c r="C948" t="s">
        <v>15</v>
      </c>
      <c r="D948" t="s">
        <v>42</v>
      </c>
      <c r="E948" t="s">
        <v>43</v>
      </c>
      <c r="F948">
        <v>98105</v>
      </c>
      <c r="G948" t="s">
        <v>25</v>
      </c>
      <c r="H948" t="s">
        <v>26</v>
      </c>
      <c r="I948" t="s">
        <v>37</v>
      </c>
      <c r="J948">
        <v>167.76</v>
      </c>
      <c r="K948">
        <v>5</v>
      </c>
      <c r="L948">
        <v>0.2</v>
      </c>
      <c r="M948">
        <v>62.91</v>
      </c>
    </row>
    <row r="949" spans="1:13" x14ac:dyDescent="0.3">
      <c r="A949" t="s">
        <v>62</v>
      </c>
      <c r="B949" t="s">
        <v>14</v>
      </c>
      <c r="C949" t="s">
        <v>15</v>
      </c>
      <c r="D949" t="s">
        <v>206</v>
      </c>
      <c r="E949" t="s">
        <v>81</v>
      </c>
      <c r="F949">
        <v>85204</v>
      </c>
      <c r="G949" t="s">
        <v>25</v>
      </c>
      <c r="H949" t="s">
        <v>19</v>
      </c>
      <c r="I949" t="s">
        <v>31</v>
      </c>
      <c r="J949">
        <v>393.16500000000002</v>
      </c>
      <c r="K949">
        <v>3</v>
      </c>
      <c r="L949">
        <v>0.5</v>
      </c>
      <c r="M949">
        <v>-204.44579999999999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516.48800000000006</v>
      </c>
      <c r="K950">
        <v>7</v>
      </c>
      <c r="L950">
        <v>0.2</v>
      </c>
      <c r="M950">
        <v>-12.9122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33</v>
      </c>
      <c r="J951">
        <v>1007.232</v>
      </c>
      <c r="K951">
        <v>6</v>
      </c>
      <c r="L951">
        <v>0.2</v>
      </c>
      <c r="M951">
        <v>75.542400000000001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19</v>
      </c>
      <c r="I952" t="s">
        <v>31</v>
      </c>
      <c r="J952">
        <v>2065.3200000000002</v>
      </c>
      <c r="K952">
        <v>12</v>
      </c>
      <c r="L952">
        <v>0.4</v>
      </c>
      <c r="M952">
        <v>-619.596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26</v>
      </c>
      <c r="I3408" t="s">
        <v>37</v>
      </c>
      <c r="J3408">
        <v>7.4880000000000004</v>
      </c>
      <c r="K3408">
        <v>8</v>
      </c>
      <c r="L3408">
        <v>0.7</v>
      </c>
      <c r="M3408">
        <v>-5.2416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19</v>
      </c>
      <c r="I3409" t="s">
        <v>33</v>
      </c>
      <c r="J3409">
        <v>22.335999999999999</v>
      </c>
      <c r="K3409">
        <v>4</v>
      </c>
      <c r="L3409">
        <v>0.2</v>
      </c>
      <c r="M3409">
        <v>7.8175999999999997</v>
      </c>
    </row>
    <row r="3410" spans="1:13" x14ac:dyDescent="0.3">
      <c r="A3410" t="s">
        <v>28</v>
      </c>
      <c r="B3410" t="s">
        <v>14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26</v>
      </c>
      <c r="I3410" t="s">
        <v>41</v>
      </c>
      <c r="J3410">
        <v>10.368</v>
      </c>
      <c r="K3410">
        <v>2</v>
      </c>
      <c r="L3410">
        <v>0.2</v>
      </c>
      <c r="M3410">
        <v>3.6288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41</v>
      </c>
      <c r="J3411">
        <v>65.790000000000006</v>
      </c>
      <c r="K3411">
        <v>9</v>
      </c>
      <c r="L3411">
        <v>0</v>
      </c>
      <c r="M3411">
        <v>30.263400000000001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37</v>
      </c>
      <c r="J3412">
        <v>271.98399999999998</v>
      </c>
      <c r="K3412">
        <v>2</v>
      </c>
      <c r="L3412">
        <v>0.2</v>
      </c>
      <c r="M3412">
        <v>88.394800000000004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34</v>
      </c>
      <c r="J3413">
        <v>11.76</v>
      </c>
      <c r="K3413">
        <v>4</v>
      </c>
      <c r="L3413">
        <v>0</v>
      </c>
      <c r="M3413">
        <v>3.1751999999999998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41</v>
      </c>
      <c r="J3414">
        <v>77.52</v>
      </c>
      <c r="K3414">
        <v>2</v>
      </c>
      <c r="L3414">
        <v>0</v>
      </c>
      <c r="M3414">
        <v>37.9848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37</v>
      </c>
      <c r="J3415">
        <v>48.64</v>
      </c>
      <c r="K3415">
        <v>2</v>
      </c>
      <c r="L3415">
        <v>0.2</v>
      </c>
      <c r="M3415">
        <v>15.808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77</v>
      </c>
      <c r="J3416">
        <v>1.81</v>
      </c>
      <c r="K3416">
        <v>1</v>
      </c>
      <c r="L3416">
        <v>0</v>
      </c>
      <c r="M3416">
        <v>0.65159999999999996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37</v>
      </c>
      <c r="J3417">
        <v>8.26</v>
      </c>
      <c r="K3417">
        <v>2</v>
      </c>
      <c r="L3417">
        <v>0</v>
      </c>
      <c r="M3417">
        <v>3.8822000000000001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38</v>
      </c>
      <c r="J3418">
        <v>43.56</v>
      </c>
      <c r="K3418">
        <v>5</v>
      </c>
      <c r="L3418">
        <v>0.2</v>
      </c>
      <c r="M3418">
        <v>3.2669999999999999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110</v>
      </c>
      <c r="J3419">
        <v>5.84</v>
      </c>
      <c r="K3419">
        <v>2</v>
      </c>
      <c r="L3419">
        <v>0.2</v>
      </c>
      <c r="M3419">
        <v>0.73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75</v>
      </c>
      <c r="E3420" t="s">
        <v>76</v>
      </c>
      <c r="F3420">
        <v>10024</v>
      </c>
      <c r="G3420" t="s">
        <v>57</v>
      </c>
      <c r="H3420" t="s">
        <v>19</v>
      </c>
      <c r="I3420" t="s">
        <v>21</v>
      </c>
      <c r="J3420">
        <v>271.76400000000001</v>
      </c>
      <c r="K3420">
        <v>2</v>
      </c>
      <c r="L3420">
        <v>0.1</v>
      </c>
      <c r="M3420">
        <v>60.392000000000003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38</v>
      </c>
      <c r="J3421">
        <v>262.24</v>
      </c>
      <c r="K3421">
        <v>2</v>
      </c>
      <c r="L3421">
        <v>0</v>
      </c>
      <c r="M3421">
        <v>78.671999999999997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41</v>
      </c>
      <c r="J3422">
        <v>182.72</v>
      </c>
      <c r="K3422">
        <v>8</v>
      </c>
      <c r="L3422">
        <v>0</v>
      </c>
      <c r="M3422">
        <v>84.051199999999994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35</v>
      </c>
      <c r="I3423" t="s">
        <v>59</v>
      </c>
      <c r="J3423">
        <v>131.6</v>
      </c>
      <c r="K3423">
        <v>7</v>
      </c>
      <c r="L3423">
        <v>0</v>
      </c>
      <c r="M3423">
        <v>7.8959999999999999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26</v>
      </c>
      <c r="I3424" t="s">
        <v>37</v>
      </c>
      <c r="J3424">
        <v>22.72</v>
      </c>
      <c r="K3424">
        <v>4</v>
      </c>
      <c r="L3424">
        <v>0.2</v>
      </c>
      <c r="M3424">
        <v>7.3840000000000003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35</v>
      </c>
      <c r="I3425" t="s">
        <v>123</v>
      </c>
      <c r="J3425">
        <v>558.4</v>
      </c>
      <c r="K3425">
        <v>2</v>
      </c>
      <c r="L3425">
        <v>0.2</v>
      </c>
      <c r="M3425">
        <v>41.88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26</v>
      </c>
      <c r="I3426" t="s">
        <v>37</v>
      </c>
      <c r="J3426">
        <v>15.24</v>
      </c>
      <c r="K3426">
        <v>4</v>
      </c>
      <c r="L3426">
        <v>0</v>
      </c>
      <c r="M3426">
        <v>6.8579999999999997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19</v>
      </c>
      <c r="I3427" t="s">
        <v>21</v>
      </c>
      <c r="J3427">
        <v>1408.1</v>
      </c>
      <c r="K3427">
        <v>10</v>
      </c>
      <c r="L3427">
        <v>0</v>
      </c>
      <c r="M3427">
        <v>394.26799999999997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26</v>
      </c>
      <c r="I3428" t="s">
        <v>41</v>
      </c>
      <c r="J3428">
        <v>32.896000000000001</v>
      </c>
      <c r="K3428">
        <v>4</v>
      </c>
      <c r="L3428">
        <v>0.2</v>
      </c>
      <c r="M3428">
        <v>11.102399999999999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19</v>
      </c>
      <c r="I3429" t="s">
        <v>31</v>
      </c>
      <c r="J3429">
        <v>215.148</v>
      </c>
      <c r="K3429">
        <v>2</v>
      </c>
      <c r="L3429">
        <v>0.4</v>
      </c>
      <c r="M3429">
        <v>-103.98820000000001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26</v>
      </c>
      <c r="I3430" t="s">
        <v>41</v>
      </c>
      <c r="J3430">
        <v>30.96</v>
      </c>
      <c r="K3430">
        <v>6</v>
      </c>
      <c r="L3430">
        <v>0.2</v>
      </c>
      <c r="M3430">
        <v>11.223000000000001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26</v>
      </c>
      <c r="I3431" t="s">
        <v>32</v>
      </c>
      <c r="J3431">
        <v>29.79</v>
      </c>
      <c r="K3431">
        <v>3</v>
      </c>
      <c r="L3431">
        <v>0</v>
      </c>
      <c r="M3431">
        <v>8.6390999999999991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19</v>
      </c>
      <c r="I3432" t="s">
        <v>33</v>
      </c>
      <c r="J3432">
        <v>128.9</v>
      </c>
      <c r="K3432">
        <v>2</v>
      </c>
      <c r="L3432">
        <v>0</v>
      </c>
      <c r="M3432">
        <v>15.468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26</v>
      </c>
      <c r="I3433" t="s">
        <v>41</v>
      </c>
      <c r="J3433">
        <v>60.12</v>
      </c>
      <c r="K3433">
        <v>9</v>
      </c>
      <c r="L3433">
        <v>0</v>
      </c>
      <c r="M3433">
        <v>28.857600000000001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24.815999999999999</v>
      </c>
      <c r="K3434">
        <v>3</v>
      </c>
      <c r="L3434">
        <v>0.2</v>
      </c>
      <c r="M3434">
        <v>8.3754000000000008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14.976000000000001</v>
      </c>
      <c r="K3435">
        <v>6</v>
      </c>
      <c r="L3435">
        <v>0.2</v>
      </c>
      <c r="M3435">
        <v>5.4287999999999998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26</v>
      </c>
      <c r="I3436" t="s">
        <v>37</v>
      </c>
      <c r="J3436">
        <v>15.08</v>
      </c>
      <c r="K3436">
        <v>2</v>
      </c>
      <c r="L3436">
        <v>0.8</v>
      </c>
      <c r="M3436">
        <v>-22.62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19</v>
      </c>
      <c r="I3437" t="s">
        <v>33</v>
      </c>
      <c r="J3437">
        <v>24.288</v>
      </c>
      <c r="K3437">
        <v>3</v>
      </c>
      <c r="L3437">
        <v>0.6</v>
      </c>
      <c r="M3437">
        <v>-12.751200000000001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33</v>
      </c>
      <c r="J3438">
        <v>16.192</v>
      </c>
      <c r="K3438">
        <v>2</v>
      </c>
      <c r="L3438">
        <v>0.6</v>
      </c>
      <c r="M3438">
        <v>-8.5007999999999999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31</v>
      </c>
      <c r="J3439">
        <v>251.006</v>
      </c>
      <c r="K3439">
        <v>2</v>
      </c>
      <c r="L3439">
        <v>0.3</v>
      </c>
      <c r="M3439">
        <v>-68.130200000000002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26</v>
      </c>
      <c r="I3440" t="s">
        <v>32</v>
      </c>
      <c r="J3440">
        <v>54.192</v>
      </c>
      <c r="K3440">
        <v>6</v>
      </c>
      <c r="L3440">
        <v>0.2</v>
      </c>
      <c r="M3440">
        <v>4.0644</v>
      </c>
    </row>
    <row r="3441" spans="1:13" x14ac:dyDescent="0.3">
      <c r="A3441" t="s">
        <v>168</v>
      </c>
      <c r="B3441" t="s">
        <v>44</v>
      </c>
      <c r="C3441" t="s">
        <v>15</v>
      </c>
      <c r="D3441" t="s">
        <v>52</v>
      </c>
      <c r="E3441" t="s">
        <v>24</v>
      </c>
      <c r="F3441">
        <v>94122</v>
      </c>
      <c r="G3441" t="s">
        <v>25</v>
      </c>
      <c r="H3441" t="s">
        <v>26</v>
      </c>
      <c r="I3441" t="s">
        <v>37</v>
      </c>
      <c r="J3441">
        <v>4.3040000000000003</v>
      </c>
      <c r="K3441">
        <v>1</v>
      </c>
      <c r="L3441">
        <v>0.2</v>
      </c>
      <c r="M3441">
        <v>1.5602</v>
      </c>
    </row>
    <row r="3442" spans="1:13" x14ac:dyDescent="0.3">
      <c r="A3442" t="s">
        <v>13</v>
      </c>
      <c r="B3442" t="s">
        <v>14</v>
      </c>
      <c r="C3442" t="s">
        <v>15</v>
      </c>
      <c r="D3442" t="s">
        <v>75</v>
      </c>
      <c r="E3442" t="s">
        <v>76</v>
      </c>
      <c r="F3442">
        <v>10024</v>
      </c>
      <c r="G3442" t="s">
        <v>57</v>
      </c>
      <c r="H3442" t="s">
        <v>26</v>
      </c>
      <c r="I3442" t="s">
        <v>41</v>
      </c>
      <c r="J3442">
        <v>108.92</v>
      </c>
      <c r="K3442">
        <v>14</v>
      </c>
      <c r="L3442">
        <v>0</v>
      </c>
      <c r="M3442">
        <v>49.014000000000003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60</v>
      </c>
      <c r="J3443">
        <v>16.739999999999998</v>
      </c>
      <c r="K3443">
        <v>3</v>
      </c>
      <c r="L3443">
        <v>0</v>
      </c>
      <c r="M3443">
        <v>8.3699999999999992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38</v>
      </c>
      <c r="J3444">
        <v>2504.7399999999998</v>
      </c>
      <c r="K3444">
        <v>7</v>
      </c>
      <c r="L3444">
        <v>0</v>
      </c>
      <c r="M3444">
        <v>626.18499999999995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55</v>
      </c>
      <c r="E3445" t="s">
        <v>56</v>
      </c>
      <c r="F3445">
        <v>19140</v>
      </c>
      <c r="G3445" t="s">
        <v>57</v>
      </c>
      <c r="H3445" t="s">
        <v>26</v>
      </c>
      <c r="I3445" t="s">
        <v>32</v>
      </c>
      <c r="J3445">
        <v>84.784000000000006</v>
      </c>
      <c r="K3445">
        <v>2</v>
      </c>
      <c r="L3445">
        <v>0.2</v>
      </c>
      <c r="M3445">
        <v>-16.956800000000001</v>
      </c>
    </row>
    <row r="3446" spans="1:13" x14ac:dyDescent="0.3">
      <c r="A3446" t="s">
        <v>28</v>
      </c>
      <c r="B3446" t="s">
        <v>14</v>
      </c>
      <c r="C3446" t="s">
        <v>15</v>
      </c>
      <c r="D3446" t="s">
        <v>114</v>
      </c>
      <c r="E3446" t="s">
        <v>72</v>
      </c>
      <c r="F3446">
        <v>19711</v>
      </c>
      <c r="G3446" t="s">
        <v>57</v>
      </c>
      <c r="H3446" t="s">
        <v>26</v>
      </c>
      <c r="I3446" t="s">
        <v>32</v>
      </c>
      <c r="J3446">
        <v>29.9</v>
      </c>
      <c r="K3446">
        <v>5</v>
      </c>
      <c r="L3446">
        <v>0</v>
      </c>
      <c r="M3446">
        <v>5.0830000000000002</v>
      </c>
    </row>
    <row r="3447" spans="1:13" x14ac:dyDescent="0.3">
      <c r="A3447" t="s">
        <v>62</v>
      </c>
      <c r="B3447" t="s">
        <v>22</v>
      </c>
      <c r="C3447" t="s">
        <v>15</v>
      </c>
      <c r="D3447" t="s">
        <v>75</v>
      </c>
      <c r="E3447" t="s">
        <v>76</v>
      </c>
      <c r="F3447">
        <v>10024</v>
      </c>
      <c r="G3447" t="s">
        <v>57</v>
      </c>
      <c r="H3447" t="s">
        <v>26</v>
      </c>
      <c r="I3447" t="s">
        <v>41</v>
      </c>
      <c r="J3447">
        <v>70.88</v>
      </c>
      <c r="K3447">
        <v>2</v>
      </c>
      <c r="L3447">
        <v>0</v>
      </c>
      <c r="M3447">
        <v>33.313600000000001</v>
      </c>
    </row>
    <row r="3448" spans="1:13" x14ac:dyDescent="0.3">
      <c r="A3448" t="s">
        <v>28</v>
      </c>
      <c r="B3448" t="s">
        <v>44</v>
      </c>
      <c r="C3448" t="s">
        <v>15</v>
      </c>
      <c r="D3448" t="s">
        <v>190</v>
      </c>
      <c r="E3448" t="s">
        <v>88</v>
      </c>
      <c r="F3448">
        <v>36830</v>
      </c>
      <c r="G3448" t="s">
        <v>18</v>
      </c>
      <c r="H3448" t="s">
        <v>26</v>
      </c>
      <c r="I3448" t="s">
        <v>34</v>
      </c>
      <c r="J3448">
        <v>3.76</v>
      </c>
      <c r="K3448">
        <v>2</v>
      </c>
      <c r="L3448">
        <v>0</v>
      </c>
      <c r="M3448">
        <v>1.0904</v>
      </c>
    </row>
    <row r="3449" spans="1:13" x14ac:dyDescent="0.3">
      <c r="A3449" t="s">
        <v>28</v>
      </c>
      <c r="B3449" t="s">
        <v>14</v>
      </c>
      <c r="C3449" t="s">
        <v>15</v>
      </c>
      <c r="D3449" t="s">
        <v>23</v>
      </c>
      <c r="E3449" t="s">
        <v>24</v>
      </c>
      <c r="F3449">
        <v>90049</v>
      </c>
      <c r="G3449" t="s">
        <v>25</v>
      </c>
      <c r="H3449" t="s">
        <v>26</v>
      </c>
      <c r="I3449" t="s">
        <v>37</v>
      </c>
      <c r="J3449">
        <v>27.263999999999999</v>
      </c>
      <c r="K3449">
        <v>2</v>
      </c>
      <c r="L3449">
        <v>0.2</v>
      </c>
      <c r="M3449">
        <v>8.8607999999999993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38</v>
      </c>
      <c r="J3450">
        <v>56.65</v>
      </c>
      <c r="K3450">
        <v>5</v>
      </c>
      <c r="L3450">
        <v>0</v>
      </c>
      <c r="M3450">
        <v>24.359500000000001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32</v>
      </c>
      <c r="J3451">
        <v>14.97</v>
      </c>
      <c r="K3451">
        <v>1</v>
      </c>
      <c r="L3451">
        <v>0</v>
      </c>
      <c r="M3451">
        <v>4.1916000000000002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77</v>
      </c>
      <c r="J3452">
        <v>4.0199999999999996</v>
      </c>
      <c r="K3452">
        <v>2</v>
      </c>
      <c r="L3452">
        <v>0</v>
      </c>
      <c r="M3452">
        <v>1.9698</v>
      </c>
    </row>
    <row r="3453" spans="1:13" x14ac:dyDescent="0.3">
      <c r="A3453" t="s">
        <v>13</v>
      </c>
      <c r="B3453" t="s">
        <v>44</v>
      </c>
      <c r="C3453" t="s">
        <v>15</v>
      </c>
      <c r="D3453" t="s">
        <v>339</v>
      </c>
      <c r="E3453" t="s">
        <v>40</v>
      </c>
      <c r="F3453">
        <v>27604</v>
      </c>
      <c r="G3453" t="s">
        <v>18</v>
      </c>
      <c r="H3453" t="s">
        <v>35</v>
      </c>
      <c r="I3453" t="s">
        <v>36</v>
      </c>
      <c r="J3453">
        <v>471.92</v>
      </c>
      <c r="K3453">
        <v>2</v>
      </c>
      <c r="L3453">
        <v>0.2</v>
      </c>
      <c r="M3453">
        <v>29.495000000000001</v>
      </c>
    </row>
    <row r="3454" spans="1:13" x14ac:dyDescent="0.3">
      <c r="A3454" t="s">
        <v>13</v>
      </c>
      <c r="B3454" t="s">
        <v>14</v>
      </c>
      <c r="C3454" t="s">
        <v>15</v>
      </c>
      <c r="D3454" t="s">
        <v>288</v>
      </c>
      <c r="E3454" t="s">
        <v>167</v>
      </c>
      <c r="F3454">
        <v>31204</v>
      </c>
      <c r="G3454" t="s">
        <v>18</v>
      </c>
      <c r="H3454" t="s">
        <v>26</v>
      </c>
      <c r="I3454" t="s">
        <v>37</v>
      </c>
      <c r="J3454">
        <v>58.72</v>
      </c>
      <c r="K3454">
        <v>4</v>
      </c>
      <c r="L3454">
        <v>0</v>
      </c>
      <c r="M3454">
        <v>27.011199999999999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34</v>
      </c>
      <c r="J3455">
        <v>5.16</v>
      </c>
      <c r="K3455">
        <v>3</v>
      </c>
      <c r="L3455">
        <v>0.2</v>
      </c>
      <c r="M3455">
        <v>0.83850000000000002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41</v>
      </c>
      <c r="J3456">
        <v>16.495999999999999</v>
      </c>
      <c r="K3456">
        <v>2</v>
      </c>
      <c r="L3456">
        <v>0.2</v>
      </c>
      <c r="M3456">
        <v>5.5674000000000001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35</v>
      </c>
      <c r="I3457" t="s">
        <v>59</v>
      </c>
      <c r="J3457">
        <v>71.975999999999999</v>
      </c>
      <c r="K3457">
        <v>3</v>
      </c>
      <c r="L3457">
        <v>0.2</v>
      </c>
      <c r="M3457">
        <v>19.793399999999998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19</v>
      </c>
      <c r="I3458" t="s">
        <v>33</v>
      </c>
      <c r="J3458">
        <v>22.512</v>
      </c>
      <c r="K3458">
        <v>3</v>
      </c>
      <c r="L3458">
        <v>0.2</v>
      </c>
      <c r="M3458">
        <v>2.2511999999999999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3.444</v>
      </c>
      <c r="K3459">
        <v>2</v>
      </c>
      <c r="L3459">
        <v>0.7</v>
      </c>
      <c r="M3459">
        <v>-2.7551999999999999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538.19399999999996</v>
      </c>
      <c r="K3460">
        <v>2</v>
      </c>
      <c r="L3460">
        <v>0.7</v>
      </c>
      <c r="M3460">
        <v>-412.61540000000002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35</v>
      </c>
      <c r="I3461" t="s">
        <v>59</v>
      </c>
      <c r="J3461">
        <v>47.984000000000002</v>
      </c>
      <c r="K3461">
        <v>2</v>
      </c>
      <c r="L3461">
        <v>0.2</v>
      </c>
      <c r="M3461">
        <v>14.395200000000001</v>
      </c>
    </row>
    <row r="3462" spans="1:13" x14ac:dyDescent="0.3">
      <c r="A3462" t="s">
        <v>13</v>
      </c>
      <c r="B3462" t="s">
        <v>22</v>
      </c>
      <c r="C3462" t="s">
        <v>15</v>
      </c>
      <c r="D3462" t="s">
        <v>135</v>
      </c>
      <c r="E3462" t="s">
        <v>46</v>
      </c>
      <c r="F3462">
        <v>75081</v>
      </c>
      <c r="G3462" t="s">
        <v>47</v>
      </c>
      <c r="H3462" t="s">
        <v>35</v>
      </c>
      <c r="I3462" t="s">
        <v>36</v>
      </c>
      <c r="J3462">
        <v>492.76799999999997</v>
      </c>
      <c r="K3462">
        <v>4</v>
      </c>
      <c r="L3462">
        <v>0.2</v>
      </c>
      <c r="M3462">
        <v>55.436399999999999</v>
      </c>
    </row>
    <row r="3463" spans="1:13" x14ac:dyDescent="0.3">
      <c r="A3463" t="s">
        <v>13</v>
      </c>
      <c r="B3463" t="s">
        <v>14</v>
      </c>
      <c r="C3463" t="s">
        <v>15</v>
      </c>
      <c r="D3463" t="s">
        <v>361</v>
      </c>
      <c r="E3463" t="s">
        <v>132</v>
      </c>
      <c r="F3463">
        <v>8861</v>
      </c>
      <c r="G3463" t="s">
        <v>57</v>
      </c>
      <c r="H3463" t="s">
        <v>26</v>
      </c>
      <c r="I3463" t="s">
        <v>34</v>
      </c>
      <c r="J3463">
        <v>286.79000000000002</v>
      </c>
      <c r="K3463">
        <v>7</v>
      </c>
      <c r="L3463">
        <v>0</v>
      </c>
      <c r="M3463">
        <v>74.565399999999997</v>
      </c>
    </row>
    <row r="3464" spans="1:13" x14ac:dyDescent="0.3">
      <c r="A3464" t="s">
        <v>28</v>
      </c>
      <c r="B3464" t="s">
        <v>44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26</v>
      </c>
      <c r="I3464" t="s">
        <v>41</v>
      </c>
      <c r="J3464">
        <v>5.08</v>
      </c>
      <c r="K3464">
        <v>1</v>
      </c>
      <c r="L3464">
        <v>0.2</v>
      </c>
      <c r="M3464">
        <v>1.651</v>
      </c>
    </row>
    <row r="3465" spans="1:13" x14ac:dyDescent="0.3">
      <c r="A3465" t="s">
        <v>13</v>
      </c>
      <c r="B3465" t="s">
        <v>14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35</v>
      </c>
      <c r="I3465" t="s">
        <v>59</v>
      </c>
      <c r="J3465">
        <v>47.991999999999997</v>
      </c>
      <c r="K3465">
        <v>1</v>
      </c>
      <c r="L3465">
        <v>0.2</v>
      </c>
      <c r="M3465">
        <v>7.1988000000000003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26</v>
      </c>
      <c r="I3466" t="s">
        <v>38</v>
      </c>
      <c r="J3466">
        <v>61.96</v>
      </c>
      <c r="K3466">
        <v>2</v>
      </c>
      <c r="L3466">
        <v>0</v>
      </c>
      <c r="M3466">
        <v>16.1096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19</v>
      </c>
      <c r="I3467" t="s">
        <v>20</v>
      </c>
      <c r="J3467">
        <v>361.96</v>
      </c>
      <c r="K3467">
        <v>2</v>
      </c>
      <c r="L3467">
        <v>0</v>
      </c>
      <c r="M3467">
        <v>83.250799999999998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26</v>
      </c>
      <c r="I3468" t="s">
        <v>41</v>
      </c>
      <c r="J3468">
        <v>278.82</v>
      </c>
      <c r="K3468">
        <v>9</v>
      </c>
      <c r="L3468">
        <v>0</v>
      </c>
      <c r="M3468">
        <v>125.46899999999999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84</v>
      </c>
      <c r="E3469" t="s">
        <v>185</v>
      </c>
      <c r="F3469">
        <v>39212</v>
      </c>
      <c r="G3469" t="s">
        <v>18</v>
      </c>
      <c r="H3469" t="s">
        <v>19</v>
      </c>
      <c r="I3469" t="s">
        <v>33</v>
      </c>
      <c r="J3469">
        <v>133.38</v>
      </c>
      <c r="K3469">
        <v>6</v>
      </c>
      <c r="L3469">
        <v>0</v>
      </c>
      <c r="M3469">
        <v>58.687199999999997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189</v>
      </c>
      <c r="E3470" t="s">
        <v>40</v>
      </c>
      <c r="F3470">
        <v>28540</v>
      </c>
      <c r="G3470" t="s">
        <v>18</v>
      </c>
      <c r="H3470" t="s">
        <v>26</v>
      </c>
      <c r="I3470" t="s">
        <v>41</v>
      </c>
      <c r="J3470">
        <v>47.951999999999998</v>
      </c>
      <c r="K3470">
        <v>3</v>
      </c>
      <c r="L3470">
        <v>0.2</v>
      </c>
      <c r="M3470">
        <v>16.183800000000002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52</v>
      </c>
      <c r="E3471" t="s">
        <v>24</v>
      </c>
      <c r="F3471">
        <v>94122</v>
      </c>
      <c r="G3471" t="s">
        <v>25</v>
      </c>
      <c r="H3471" t="s">
        <v>19</v>
      </c>
      <c r="I3471" t="s">
        <v>33</v>
      </c>
      <c r="J3471">
        <v>16.739999999999998</v>
      </c>
      <c r="K3471">
        <v>2</v>
      </c>
      <c r="L3471">
        <v>0</v>
      </c>
      <c r="M3471">
        <v>4.3524000000000003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26</v>
      </c>
      <c r="I3472" t="s">
        <v>41</v>
      </c>
      <c r="J3472">
        <v>10.848000000000001</v>
      </c>
      <c r="K3472">
        <v>2</v>
      </c>
      <c r="L3472">
        <v>0.2</v>
      </c>
      <c r="M3472">
        <v>3.5255999999999998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35</v>
      </c>
      <c r="I3473" t="s">
        <v>59</v>
      </c>
      <c r="J3473">
        <v>18.544</v>
      </c>
      <c r="K3473">
        <v>2</v>
      </c>
      <c r="L3473">
        <v>0.2</v>
      </c>
      <c r="M3473">
        <v>3.0133999999999999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19</v>
      </c>
      <c r="I3474" t="s">
        <v>21</v>
      </c>
      <c r="J3474">
        <v>180.98</v>
      </c>
      <c r="K3474">
        <v>1</v>
      </c>
      <c r="L3474">
        <v>0</v>
      </c>
      <c r="M3474">
        <v>47.0548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35</v>
      </c>
      <c r="I3475" t="s">
        <v>59</v>
      </c>
      <c r="J3475">
        <v>99.98</v>
      </c>
      <c r="K3475">
        <v>2</v>
      </c>
      <c r="L3475">
        <v>0</v>
      </c>
      <c r="M3475">
        <v>42.991399999999999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35</v>
      </c>
      <c r="I3476" t="s">
        <v>59</v>
      </c>
      <c r="J3476">
        <v>34.950000000000003</v>
      </c>
      <c r="K3476">
        <v>5</v>
      </c>
      <c r="L3476">
        <v>0</v>
      </c>
      <c r="M3476">
        <v>15.378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26</v>
      </c>
      <c r="I3477" t="s">
        <v>37</v>
      </c>
      <c r="J3477">
        <v>152</v>
      </c>
      <c r="K3477">
        <v>5</v>
      </c>
      <c r="L3477">
        <v>0</v>
      </c>
      <c r="M3477">
        <v>69.92</v>
      </c>
    </row>
    <row r="3478" spans="1:13" x14ac:dyDescent="0.3">
      <c r="A3478" t="s">
        <v>28</v>
      </c>
      <c r="B3478" t="s">
        <v>14</v>
      </c>
      <c r="C3478" t="s">
        <v>15</v>
      </c>
      <c r="D3478" t="s">
        <v>454</v>
      </c>
      <c r="E3478" t="s">
        <v>121</v>
      </c>
      <c r="F3478">
        <v>87505</v>
      </c>
      <c r="G3478" t="s">
        <v>25</v>
      </c>
      <c r="H3478" t="s">
        <v>35</v>
      </c>
      <c r="I3478" t="s">
        <v>59</v>
      </c>
      <c r="J3478">
        <v>92.52</v>
      </c>
      <c r="K3478">
        <v>9</v>
      </c>
      <c r="L3478">
        <v>0</v>
      </c>
      <c r="M3478">
        <v>18.504000000000001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34</v>
      </c>
      <c r="J3479">
        <v>8.56</v>
      </c>
      <c r="K3479">
        <v>2</v>
      </c>
      <c r="L3479">
        <v>0</v>
      </c>
      <c r="M3479">
        <v>2.4824000000000002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41</v>
      </c>
      <c r="J3480">
        <v>45.36</v>
      </c>
      <c r="K3480">
        <v>7</v>
      </c>
      <c r="L3480">
        <v>0</v>
      </c>
      <c r="M3480">
        <v>21.7728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19</v>
      </c>
      <c r="I3481" t="s">
        <v>31</v>
      </c>
      <c r="J3481">
        <v>1421.664</v>
      </c>
      <c r="K3481">
        <v>6</v>
      </c>
      <c r="L3481">
        <v>0.2</v>
      </c>
      <c r="M3481">
        <v>-195.47880000000001</v>
      </c>
    </row>
    <row r="3482" spans="1:13" x14ac:dyDescent="0.3">
      <c r="A3482" t="s">
        <v>62</v>
      </c>
      <c r="B3482" t="s">
        <v>14</v>
      </c>
      <c r="C3482" t="s">
        <v>15</v>
      </c>
      <c r="D3482" t="s">
        <v>301</v>
      </c>
      <c r="E3482" t="s">
        <v>88</v>
      </c>
      <c r="F3482">
        <v>36608</v>
      </c>
      <c r="G3482" t="s">
        <v>18</v>
      </c>
      <c r="H3482" t="s">
        <v>19</v>
      </c>
      <c r="I3482" t="s">
        <v>33</v>
      </c>
      <c r="J3482">
        <v>8.9600000000000009</v>
      </c>
      <c r="K3482">
        <v>2</v>
      </c>
      <c r="L3482">
        <v>0</v>
      </c>
      <c r="M3482">
        <v>2.7776000000000001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35</v>
      </c>
      <c r="I3483" t="s">
        <v>36</v>
      </c>
      <c r="J3483">
        <v>579.95000000000005</v>
      </c>
      <c r="K3483">
        <v>5</v>
      </c>
      <c r="L3483">
        <v>0</v>
      </c>
      <c r="M3483">
        <v>168.18549999999999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33</v>
      </c>
      <c r="J3484">
        <v>29.12</v>
      </c>
      <c r="K3484">
        <v>4</v>
      </c>
      <c r="L3484">
        <v>0</v>
      </c>
      <c r="M3484">
        <v>12.521599999999999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31</v>
      </c>
      <c r="J3485">
        <v>1202.94</v>
      </c>
      <c r="K3485">
        <v>3</v>
      </c>
      <c r="L3485">
        <v>0</v>
      </c>
      <c r="M3485">
        <v>300.73500000000001</v>
      </c>
    </row>
    <row r="3486" spans="1:13" x14ac:dyDescent="0.3">
      <c r="A3486" t="s">
        <v>28</v>
      </c>
      <c r="B3486" t="s">
        <v>22</v>
      </c>
      <c r="C3486" t="s">
        <v>15</v>
      </c>
      <c r="D3486" t="s">
        <v>114</v>
      </c>
      <c r="E3486" t="s">
        <v>72</v>
      </c>
      <c r="F3486">
        <v>19711</v>
      </c>
      <c r="G3486" t="s">
        <v>57</v>
      </c>
      <c r="H3486" t="s">
        <v>26</v>
      </c>
      <c r="I3486" t="s">
        <v>37</v>
      </c>
      <c r="J3486">
        <v>7.92</v>
      </c>
      <c r="K3486">
        <v>4</v>
      </c>
      <c r="L3486">
        <v>0</v>
      </c>
      <c r="M3486">
        <v>3.5640000000000001</v>
      </c>
    </row>
    <row r="3487" spans="1:13" x14ac:dyDescent="0.3">
      <c r="A3487" t="s">
        <v>168</v>
      </c>
      <c r="B3487" t="s">
        <v>14</v>
      </c>
      <c r="C3487" t="s">
        <v>15</v>
      </c>
      <c r="D3487" t="s">
        <v>455</v>
      </c>
      <c r="E3487" t="s">
        <v>40</v>
      </c>
      <c r="F3487">
        <v>28601</v>
      </c>
      <c r="G3487" t="s">
        <v>18</v>
      </c>
      <c r="H3487" t="s">
        <v>35</v>
      </c>
      <c r="I3487" t="s">
        <v>36</v>
      </c>
      <c r="J3487">
        <v>36.192</v>
      </c>
      <c r="K3487">
        <v>1</v>
      </c>
      <c r="L3487">
        <v>0.2</v>
      </c>
      <c r="M3487">
        <v>2.7143999999999999</v>
      </c>
    </row>
    <row r="3488" spans="1:13" x14ac:dyDescent="0.3">
      <c r="A3488" t="s">
        <v>28</v>
      </c>
      <c r="B3488" t="s">
        <v>44</v>
      </c>
      <c r="C3488" t="s">
        <v>15</v>
      </c>
      <c r="D3488" t="s">
        <v>29</v>
      </c>
      <c r="E3488" t="s">
        <v>30</v>
      </c>
      <c r="F3488">
        <v>33311</v>
      </c>
      <c r="G3488" t="s">
        <v>18</v>
      </c>
      <c r="H3488" t="s">
        <v>26</v>
      </c>
      <c r="I3488" t="s">
        <v>32</v>
      </c>
      <c r="J3488">
        <v>147.184</v>
      </c>
      <c r="K3488">
        <v>2</v>
      </c>
      <c r="L3488">
        <v>0.2</v>
      </c>
      <c r="M3488">
        <v>-29.436800000000002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408.42200000000003</v>
      </c>
      <c r="K3489">
        <v>2</v>
      </c>
      <c r="L3489">
        <v>0.3</v>
      </c>
      <c r="M3489">
        <v>-5.8346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382.11599999999999</v>
      </c>
      <c r="K3490">
        <v>6</v>
      </c>
      <c r="L3490">
        <v>0.3</v>
      </c>
      <c r="M3490">
        <v>-92.799599999999998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68.599999999999994</v>
      </c>
      <c r="K3491">
        <v>5</v>
      </c>
      <c r="L3491">
        <v>0.2</v>
      </c>
      <c r="M3491">
        <v>6.0025000000000004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435.50400000000002</v>
      </c>
      <c r="K3492">
        <v>3</v>
      </c>
      <c r="L3492">
        <v>0.2</v>
      </c>
      <c r="M3492">
        <v>48.994199999999999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41</v>
      </c>
      <c r="J3493">
        <v>11.167999999999999</v>
      </c>
      <c r="K3493">
        <v>2</v>
      </c>
      <c r="L3493">
        <v>0.2</v>
      </c>
      <c r="M3493">
        <v>3.7692000000000001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72</v>
      </c>
      <c r="K3494">
        <v>4</v>
      </c>
      <c r="L3494">
        <v>0</v>
      </c>
      <c r="M3494">
        <v>12.96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655.9</v>
      </c>
      <c r="K3495">
        <v>5</v>
      </c>
      <c r="L3495">
        <v>0</v>
      </c>
      <c r="M3495">
        <v>275.47800000000001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19</v>
      </c>
      <c r="I3496" t="s">
        <v>21</v>
      </c>
      <c r="J3496">
        <v>603.91999999999996</v>
      </c>
      <c r="K3496">
        <v>4</v>
      </c>
      <c r="L3496">
        <v>0</v>
      </c>
      <c r="M3496">
        <v>181.17599999999999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19</v>
      </c>
      <c r="I3497" t="s">
        <v>31</v>
      </c>
      <c r="J3497">
        <v>513.024</v>
      </c>
      <c r="K3497">
        <v>2</v>
      </c>
      <c r="L3497">
        <v>0.2</v>
      </c>
      <c r="M3497">
        <v>12.8256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38</v>
      </c>
      <c r="J3498">
        <v>487.92</v>
      </c>
      <c r="K3498">
        <v>6</v>
      </c>
      <c r="L3498">
        <v>0</v>
      </c>
      <c r="M3498">
        <v>136.61760000000001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37</v>
      </c>
      <c r="J3499">
        <v>15.24</v>
      </c>
      <c r="K3499">
        <v>5</v>
      </c>
      <c r="L3499">
        <v>0.2</v>
      </c>
      <c r="M3499">
        <v>5.3339999999999996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35</v>
      </c>
      <c r="I3500" t="s">
        <v>59</v>
      </c>
      <c r="J3500">
        <v>209.97</v>
      </c>
      <c r="K3500">
        <v>3</v>
      </c>
      <c r="L3500">
        <v>0</v>
      </c>
      <c r="M3500">
        <v>71.389799999999994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37</v>
      </c>
      <c r="J3501">
        <v>62.94</v>
      </c>
      <c r="K3501">
        <v>3</v>
      </c>
      <c r="L3501">
        <v>0</v>
      </c>
      <c r="M3501">
        <v>30.211200000000002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34</v>
      </c>
      <c r="J3502">
        <v>25.92</v>
      </c>
      <c r="K3502">
        <v>9</v>
      </c>
      <c r="L3502">
        <v>0</v>
      </c>
      <c r="M3502">
        <v>7.7759999999999998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26</v>
      </c>
      <c r="I3503" t="s">
        <v>41</v>
      </c>
      <c r="J3503">
        <v>10.368</v>
      </c>
      <c r="K3503">
        <v>2</v>
      </c>
      <c r="L3503">
        <v>0.2</v>
      </c>
      <c r="M3503">
        <v>3.6288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35</v>
      </c>
      <c r="I3504" t="s">
        <v>59</v>
      </c>
      <c r="J3504">
        <v>95.736000000000004</v>
      </c>
      <c r="K3504">
        <v>3</v>
      </c>
      <c r="L3504">
        <v>0.2</v>
      </c>
      <c r="M3504">
        <v>20.343900000000001</v>
      </c>
    </row>
    <row r="3505" spans="1:13" x14ac:dyDescent="0.3">
      <c r="A3505" t="s">
        <v>13</v>
      </c>
      <c r="B3505" t="s">
        <v>44</v>
      </c>
      <c r="C3505" t="s">
        <v>15</v>
      </c>
      <c r="D3505" t="s">
        <v>75</v>
      </c>
      <c r="E3505" t="s">
        <v>76</v>
      </c>
      <c r="F3505">
        <v>10009</v>
      </c>
      <c r="G3505" t="s">
        <v>57</v>
      </c>
      <c r="H3505" t="s">
        <v>26</v>
      </c>
      <c r="I3505" t="s">
        <v>32</v>
      </c>
      <c r="J3505">
        <v>900.08</v>
      </c>
      <c r="K3505">
        <v>4</v>
      </c>
      <c r="L3505">
        <v>0</v>
      </c>
      <c r="M3505">
        <v>117.0104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35</v>
      </c>
      <c r="I3506" t="s">
        <v>36</v>
      </c>
      <c r="J3506">
        <v>201.584</v>
      </c>
      <c r="K3506">
        <v>2</v>
      </c>
      <c r="L3506">
        <v>0.2</v>
      </c>
      <c r="M3506">
        <v>20.1584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26</v>
      </c>
      <c r="I3507" t="s">
        <v>37</v>
      </c>
      <c r="J3507">
        <v>3.3919999999999999</v>
      </c>
      <c r="K3507">
        <v>4</v>
      </c>
      <c r="L3507">
        <v>0.8</v>
      </c>
      <c r="M3507">
        <v>-5.0880000000000001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19</v>
      </c>
      <c r="I3508" t="s">
        <v>20</v>
      </c>
      <c r="J3508">
        <v>193.06559999999999</v>
      </c>
      <c r="K3508">
        <v>4</v>
      </c>
      <c r="L3508">
        <v>0.32</v>
      </c>
      <c r="M3508">
        <v>-19.874400000000001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15.552</v>
      </c>
      <c r="K3509">
        <v>3</v>
      </c>
      <c r="L3509">
        <v>0.2</v>
      </c>
      <c r="M3509">
        <v>5.4432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11.648</v>
      </c>
      <c r="K3510">
        <v>2</v>
      </c>
      <c r="L3510">
        <v>0.2</v>
      </c>
      <c r="M3510">
        <v>4.0768000000000004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35</v>
      </c>
      <c r="I3511" t="s">
        <v>123</v>
      </c>
      <c r="J3511">
        <v>418.8</v>
      </c>
      <c r="K3511">
        <v>2</v>
      </c>
      <c r="L3511">
        <v>0.4</v>
      </c>
      <c r="M3511">
        <v>-97.72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26</v>
      </c>
      <c r="I3512" t="s">
        <v>32</v>
      </c>
      <c r="J3512">
        <v>509.488</v>
      </c>
      <c r="K3512">
        <v>7</v>
      </c>
      <c r="L3512">
        <v>0.2</v>
      </c>
      <c r="M3512">
        <v>-127.372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19</v>
      </c>
      <c r="I3513" t="s">
        <v>20</v>
      </c>
      <c r="J3513">
        <v>825.17399999999998</v>
      </c>
      <c r="K3513">
        <v>9</v>
      </c>
      <c r="L3513">
        <v>0.3</v>
      </c>
      <c r="M3513">
        <v>-117.88200000000001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41</v>
      </c>
      <c r="J3514">
        <v>17.760000000000002</v>
      </c>
      <c r="K3514">
        <v>3</v>
      </c>
      <c r="L3514">
        <v>0.2</v>
      </c>
      <c r="M3514">
        <v>5.55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34</v>
      </c>
      <c r="J3515">
        <v>6.9119999999999999</v>
      </c>
      <c r="K3515">
        <v>3</v>
      </c>
      <c r="L3515">
        <v>0.2</v>
      </c>
      <c r="M3515">
        <v>0.86399999999999999</v>
      </c>
    </row>
    <row r="3516" spans="1:13" x14ac:dyDescent="0.3">
      <c r="A3516" t="s">
        <v>28</v>
      </c>
      <c r="B3516" t="s">
        <v>14</v>
      </c>
      <c r="C3516" t="s">
        <v>15</v>
      </c>
      <c r="D3516" t="s">
        <v>84</v>
      </c>
      <c r="E3516" t="s">
        <v>185</v>
      </c>
      <c r="F3516">
        <v>39212</v>
      </c>
      <c r="G3516" t="s">
        <v>18</v>
      </c>
      <c r="H3516" t="s">
        <v>35</v>
      </c>
      <c r="I3516" t="s">
        <v>59</v>
      </c>
      <c r="J3516">
        <v>66.3</v>
      </c>
      <c r="K3516">
        <v>3</v>
      </c>
      <c r="L3516">
        <v>0</v>
      </c>
      <c r="M3516">
        <v>8.6189999999999998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26</v>
      </c>
      <c r="I3517" t="s">
        <v>41</v>
      </c>
      <c r="J3517">
        <v>30.815999999999999</v>
      </c>
      <c r="K3517">
        <v>9</v>
      </c>
      <c r="L3517">
        <v>0.2</v>
      </c>
      <c r="M3517">
        <v>9.6300000000000008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35</v>
      </c>
      <c r="I3518" t="s">
        <v>36</v>
      </c>
      <c r="J3518">
        <v>44.783999999999999</v>
      </c>
      <c r="K3518">
        <v>2</v>
      </c>
      <c r="L3518">
        <v>0.2</v>
      </c>
      <c r="M3518">
        <v>4.4783999999999997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26</v>
      </c>
      <c r="I3519" t="s">
        <v>38</v>
      </c>
      <c r="J3519">
        <v>569.53599999999994</v>
      </c>
      <c r="K3519">
        <v>4</v>
      </c>
      <c r="L3519">
        <v>0.2</v>
      </c>
      <c r="M3519">
        <v>64.072800000000001</v>
      </c>
    </row>
    <row r="3520" spans="1:13" x14ac:dyDescent="0.3">
      <c r="A3520" t="s">
        <v>62</v>
      </c>
      <c r="B3520" t="s">
        <v>44</v>
      </c>
      <c r="C3520" t="s">
        <v>15</v>
      </c>
      <c r="D3520" t="s">
        <v>97</v>
      </c>
      <c r="E3520" t="s">
        <v>65</v>
      </c>
      <c r="F3520">
        <v>60505</v>
      </c>
      <c r="G3520" t="s">
        <v>47</v>
      </c>
      <c r="H3520" t="s">
        <v>19</v>
      </c>
      <c r="I3520" t="s">
        <v>31</v>
      </c>
      <c r="J3520">
        <v>796.42499999999995</v>
      </c>
      <c r="K3520">
        <v>7</v>
      </c>
      <c r="L3520">
        <v>0.5</v>
      </c>
      <c r="M3520">
        <v>-525.64049999999997</v>
      </c>
    </row>
    <row r="3521" spans="1:13" x14ac:dyDescent="0.3">
      <c r="A3521" t="s">
        <v>28</v>
      </c>
      <c r="B3521" t="s">
        <v>22</v>
      </c>
      <c r="C3521" t="s">
        <v>15</v>
      </c>
      <c r="D3521" t="s">
        <v>390</v>
      </c>
      <c r="E3521" t="s">
        <v>24</v>
      </c>
      <c r="F3521">
        <v>95823</v>
      </c>
      <c r="G3521" t="s">
        <v>25</v>
      </c>
      <c r="H3521" t="s">
        <v>26</v>
      </c>
      <c r="I3521" t="s">
        <v>37</v>
      </c>
      <c r="J3521">
        <v>12.832000000000001</v>
      </c>
      <c r="K3521">
        <v>2</v>
      </c>
      <c r="L3521">
        <v>0.2</v>
      </c>
      <c r="M3521">
        <v>4.3308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26</v>
      </c>
      <c r="I3522" t="s">
        <v>41</v>
      </c>
      <c r="J3522">
        <v>40.46</v>
      </c>
      <c r="K3522">
        <v>7</v>
      </c>
      <c r="L3522">
        <v>0</v>
      </c>
      <c r="M3522">
        <v>19.825399999999998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35</v>
      </c>
      <c r="I3523" t="s">
        <v>36</v>
      </c>
      <c r="J3523">
        <v>404.94</v>
      </c>
      <c r="K3523">
        <v>3</v>
      </c>
      <c r="L3523">
        <v>0</v>
      </c>
      <c r="M3523">
        <v>109.3338</v>
      </c>
    </row>
    <row r="3524" spans="1:13" x14ac:dyDescent="0.3">
      <c r="A3524" t="s">
        <v>28</v>
      </c>
      <c r="B3524" t="s">
        <v>22</v>
      </c>
      <c r="C3524" t="s">
        <v>15</v>
      </c>
      <c r="D3524" t="s">
        <v>144</v>
      </c>
      <c r="E3524" t="s">
        <v>24</v>
      </c>
      <c r="F3524">
        <v>92105</v>
      </c>
      <c r="G3524" t="s">
        <v>25</v>
      </c>
      <c r="H3524" t="s">
        <v>35</v>
      </c>
      <c r="I3524" t="s">
        <v>59</v>
      </c>
      <c r="J3524">
        <v>116</v>
      </c>
      <c r="K3524">
        <v>8</v>
      </c>
      <c r="L3524">
        <v>0</v>
      </c>
      <c r="M3524">
        <v>29</v>
      </c>
    </row>
    <row r="3525" spans="1:13" x14ac:dyDescent="0.3">
      <c r="A3525" t="s">
        <v>28</v>
      </c>
      <c r="B3525" t="s">
        <v>14</v>
      </c>
      <c r="C3525" t="s">
        <v>15</v>
      </c>
      <c r="D3525" t="s">
        <v>135</v>
      </c>
      <c r="E3525" t="s">
        <v>46</v>
      </c>
      <c r="F3525">
        <v>75081</v>
      </c>
      <c r="G3525" t="s">
        <v>47</v>
      </c>
      <c r="H3525" t="s">
        <v>35</v>
      </c>
      <c r="I3525" t="s">
        <v>36</v>
      </c>
      <c r="J3525">
        <v>657.55200000000002</v>
      </c>
      <c r="K3525">
        <v>6</v>
      </c>
      <c r="L3525">
        <v>0.2</v>
      </c>
      <c r="M3525">
        <v>49.316400000000002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59</v>
      </c>
      <c r="J3526">
        <v>599.97</v>
      </c>
      <c r="K3526">
        <v>3</v>
      </c>
      <c r="L3526">
        <v>0</v>
      </c>
      <c r="M3526">
        <v>257.9871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36</v>
      </c>
      <c r="J3527">
        <v>38.97</v>
      </c>
      <c r="K3527">
        <v>3</v>
      </c>
      <c r="L3527">
        <v>0</v>
      </c>
      <c r="M3527">
        <v>0.77939999999999998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26</v>
      </c>
      <c r="I3528" t="s">
        <v>37</v>
      </c>
      <c r="J3528">
        <v>45.84</v>
      </c>
      <c r="K3528">
        <v>8</v>
      </c>
      <c r="L3528">
        <v>0</v>
      </c>
      <c r="M3528">
        <v>22.0032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144</v>
      </c>
      <c r="E3529" t="s">
        <v>24</v>
      </c>
      <c r="F3529">
        <v>92024</v>
      </c>
      <c r="G3529" t="s">
        <v>25</v>
      </c>
      <c r="H3529" t="s">
        <v>35</v>
      </c>
      <c r="I3529" t="s">
        <v>36</v>
      </c>
      <c r="J3529">
        <v>38.24</v>
      </c>
      <c r="K3529">
        <v>4</v>
      </c>
      <c r="L3529">
        <v>0.2</v>
      </c>
      <c r="M3529">
        <v>-9.56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422</v>
      </c>
      <c r="E3530" t="s">
        <v>30</v>
      </c>
      <c r="F3530">
        <v>32839</v>
      </c>
      <c r="G3530" t="s">
        <v>18</v>
      </c>
      <c r="H3530" t="s">
        <v>35</v>
      </c>
      <c r="I3530" t="s">
        <v>59</v>
      </c>
      <c r="J3530">
        <v>87.168000000000006</v>
      </c>
      <c r="K3530">
        <v>3</v>
      </c>
      <c r="L3530">
        <v>0.2</v>
      </c>
      <c r="M3530">
        <v>10.896000000000001</v>
      </c>
    </row>
    <row r="3531" spans="1:13" x14ac:dyDescent="0.3">
      <c r="A3531" t="s">
        <v>28</v>
      </c>
      <c r="B3531" t="s">
        <v>22</v>
      </c>
      <c r="C3531" t="s">
        <v>15</v>
      </c>
      <c r="D3531" t="s">
        <v>325</v>
      </c>
      <c r="E3531" t="s">
        <v>74</v>
      </c>
      <c r="F3531">
        <v>47905</v>
      </c>
      <c r="G3531" t="s">
        <v>47</v>
      </c>
      <c r="H3531" t="s">
        <v>26</v>
      </c>
      <c r="I3531" t="s">
        <v>34</v>
      </c>
      <c r="J3531">
        <v>21.4</v>
      </c>
      <c r="K3531">
        <v>5</v>
      </c>
      <c r="L3531">
        <v>0</v>
      </c>
      <c r="M3531">
        <v>6.2060000000000004</v>
      </c>
    </row>
    <row r="3532" spans="1:13" x14ac:dyDescent="0.3">
      <c r="A3532" t="s">
        <v>168</v>
      </c>
      <c r="B3532" t="s">
        <v>22</v>
      </c>
      <c r="C3532" t="s">
        <v>15</v>
      </c>
      <c r="D3532" t="s">
        <v>75</v>
      </c>
      <c r="E3532" t="s">
        <v>76</v>
      </c>
      <c r="F3532">
        <v>10035</v>
      </c>
      <c r="G3532" t="s">
        <v>57</v>
      </c>
      <c r="H3532" t="s">
        <v>26</v>
      </c>
      <c r="I3532" t="s">
        <v>110</v>
      </c>
      <c r="J3532">
        <v>54.9</v>
      </c>
      <c r="K3532">
        <v>5</v>
      </c>
      <c r="L3532">
        <v>0</v>
      </c>
      <c r="M3532">
        <v>15.372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35</v>
      </c>
      <c r="I3533" t="s">
        <v>123</v>
      </c>
      <c r="J3533">
        <v>287.96800000000002</v>
      </c>
      <c r="K3533">
        <v>4</v>
      </c>
      <c r="L3533">
        <v>0.2</v>
      </c>
      <c r="M3533">
        <v>97.1892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13.12</v>
      </c>
      <c r="K3534">
        <v>4</v>
      </c>
      <c r="L3534">
        <v>0</v>
      </c>
      <c r="M3534">
        <v>3.8048000000000002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10.75</v>
      </c>
      <c r="K3535">
        <v>5</v>
      </c>
      <c r="L3535">
        <v>0</v>
      </c>
      <c r="M3535">
        <v>3.5474999999999999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77</v>
      </c>
      <c r="J3536">
        <v>11.62</v>
      </c>
      <c r="K3536">
        <v>2</v>
      </c>
      <c r="L3536">
        <v>0</v>
      </c>
      <c r="M3536">
        <v>3.6021999999999998</v>
      </c>
    </row>
    <row r="3537" spans="1:13" x14ac:dyDescent="0.3">
      <c r="A3537" t="s">
        <v>13</v>
      </c>
      <c r="B3537" t="s">
        <v>14</v>
      </c>
      <c r="C3537" t="s">
        <v>15</v>
      </c>
      <c r="D3537" t="s">
        <v>75</v>
      </c>
      <c r="E3537" t="s">
        <v>76</v>
      </c>
      <c r="F3537">
        <v>10024</v>
      </c>
      <c r="G3537" t="s">
        <v>57</v>
      </c>
      <c r="H3537" t="s">
        <v>26</v>
      </c>
      <c r="I3537" t="s">
        <v>32</v>
      </c>
      <c r="J3537">
        <v>40.74</v>
      </c>
      <c r="K3537">
        <v>3</v>
      </c>
      <c r="L3537">
        <v>0</v>
      </c>
      <c r="M3537">
        <v>0.40739999999999998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32</v>
      </c>
      <c r="J3538">
        <v>83.25</v>
      </c>
      <c r="K3538">
        <v>3</v>
      </c>
      <c r="L3538">
        <v>0</v>
      </c>
      <c r="M3538">
        <v>14.984999999999999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9.4499999999999993</v>
      </c>
      <c r="K3539">
        <v>3</v>
      </c>
      <c r="L3539">
        <v>0</v>
      </c>
      <c r="M3539">
        <v>4.5359999999999996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20.65</v>
      </c>
      <c r="K3540">
        <v>5</v>
      </c>
      <c r="L3540">
        <v>0</v>
      </c>
      <c r="M3540">
        <v>9.4990000000000006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41</v>
      </c>
      <c r="J3541">
        <v>45.36</v>
      </c>
      <c r="K3541">
        <v>7</v>
      </c>
      <c r="L3541">
        <v>0</v>
      </c>
      <c r="M3541">
        <v>21.7728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33</v>
      </c>
      <c r="J3542">
        <v>5.3520000000000003</v>
      </c>
      <c r="K3542">
        <v>3</v>
      </c>
      <c r="L3542">
        <v>0.2</v>
      </c>
      <c r="M3542">
        <v>1.6055999999999999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21</v>
      </c>
      <c r="J3543">
        <v>99.372</v>
      </c>
      <c r="K3543">
        <v>2</v>
      </c>
      <c r="L3543">
        <v>0.3</v>
      </c>
      <c r="M3543">
        <v>-7.0979999999999999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26</v>
      </c>
      <c r="I3544" t="s">
        <v>34</v>
      </c>
      <c r="J3544">
        <v>2.6720000000000002</v>
      </c>
      <c r="K3544">
        <v>1</v>
      </c>
      <c r="L3544">
        <v>0.2</v>
      </c>
      <c r="M3544">
        <v>0.3674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41</v>
      </c>
      <c r="J3545">
        <v>28.672000000000001</v>
      </c>
      <c r="K3545">
        <v>8</v>
      </c>
      <c r="L3545">
        <v>0.2</v>
      </c>
      <c r="M3545">
        <v>10.393599999999999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38</v>
      </c>
      <c r="J3546">
        <v>29.312000000000001</v>
      </c>
      <c r="K3546">
        <v>8</v>
      </c>
      <c r="L3546">
        <v>0.8</v>
      </c>
      <c r="M3546">
        <v>-74.745599999999996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32</v>
      </c>
      <c r="J3547">
        <v>105.98</v>
      </c>
      <c r="K3547">
        <v>7</v>
      </c>
      <c r="L3547">
        <v>0</v>
      </c>
      <c r="M3547">
        <v>4.2392000000000003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110</v>
      </c>
      <c r="J3548">
        <v>35.06</v>
      </c>
      <c r="K3548">
        <v>2</v>
      </c>
      <c r="L3548">
        <v>0</v>
      </c>
      <c r="M3548">
        <v>10.518000000000001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19</v>
      </c>
      <c r="I3549" t="s">
        <v>21</v>
      </c>
      <c r="J3549">
        <v>33.94</v>
      </c>
      <c r="K3549">
        <v>1</v>
      </c>
      <c r="L3549">
        <v>0</v>
      </c>
      <c r="M3549">
        <v>9.1638000000000002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26</v>
      </c>
      <c r="I3550" t="s">
        <v>27</v>
      </c>
      <c r="J3550">
        <v>30</v>
      </c>
      <c r="K3550">
        <v>8</v>
      </c>
      <c r="L3550">
        <v>0</v>
      </c>
      <c r="M3550">
        <v>14.4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26</v>
      </c>
      <c r="I3551" t="s">
        <v>41</v>
      </c>
      <c r="J3551">
        <v>45.527999999999999</v>
      </c>
      <c r="K3551">
        <v>3</v>
      </c>
      <c r="L3551">
        <v>0.2</v>
      </c>
      <c r="M3551">
        <v>15.934799999999999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19</v>
      </c>
      <c r="I3552" t="s">
        <v>21</v>
      </c>
      <c r="J3552">
        <v>844.11599999999999</v>
      </c>
      <c r="K3552">
        <v>6</v>
      </c>
      <c r="L3552">
        <v>0.3</v>
      </c>
      <c r="M3552">
        <v>-36.176400000000001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35</v>
      </c>
      <c r="I3553" t="s">
        <v>36</v>
      </c>
      <c r="J3553">
        <v>812.73599999999999</v>
      </c>
      <c r="K3553">
        <v>8</v>
      </c>
      <c r="L3553">
        <v>0.2</v>
      </c>
      <c r="M3553">
        <v>60.955199999999998</v>
      </c>
    </row>
    <row r="3554" spans="1:13" x14ac:dyDescent="0.3">
      <c r="A3554" t="s">
        <v>13</v>
      </c>
      <c r="B3554" t="s">
        <v>22</v>
      </c>
      <c r="C3554" t="s">
        <v>15</v>
      </c>
      <c r="D3554" t="s">
        <v>55</v>
      </c>
      <c r="E3554" t="s">
        <v>56</v>
      </c>
      <c r="F3554">
        <v>19120</v>
      </c>
      <c r="G3554" t="s">
        <v>57</v>
      </c>
      <c r="H3554" t="s">
        <v>26</v>
      </c>
      <c r="I3554" t="s">
        <v>37</v>
      </c>
      <c r="J3554">
        <v>7.476</v>
      </c>
      <c r="K3554">
        <v>1</v>
      </c>
      <c r="L3554">
        <v>0.7</v>
      </c>
      <c r="M3554">
        <v>-5.9808000000000003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26</v>
      </c>
      <c r="I3555" t="s">
        <v>32</v>
      </c>
      <c r="J3555">
        <v>330.4</v>
      </c>
      <c r="K3555">
        <v>2</v>
      </c>
      <c r="L3555">
        <v>0</v>
      </c>
      <c r="M3555">
        <v>85.903999999999996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35</v>
      </c>
      <c r="I3556" t="s">
        <v>36</v>
      </c>
      <c r="J3556">
        <v>604.75199999999995</v>
      </c>
      <c r="K3556">
        <v>6</v>
      </c>
      <c r="L3556">
        <v>0.2</v>
      </c>
      <c r="M3556">
        <v>37.796999999999997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41</v>
      </c>
      <c r="J3557">
        <v>45.36</v>
      </c>
      <c r="K3557">
        <v>7</v>
      </c>
      <c r="L3557">
        <v>0</v>
      </c>
      <c r="M3557">
        <v>21.7728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37</v>
      </c>
      <c r="J3558">
        <v>10.128</v>
      </c>
      <c r="K3558">
        <v>2</v>
      </c>
      <c r="L3558">
        <v>0.2</v>
      </c>
      <c r="M3558">
        <v>3.6714000000000002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26</v>
      </c>
      <c r="I3559" t="s">
        <v>37</v>
      </c>
      <c r="J3559">
        <v>21.792000000000002</v>
      </c>
      <c r="K3559">
        <v>4</v>
      </c>
      <c r="L3559">
        <v>0.2</v>
      </c>
      <c r="M3559">
        <v>7.6272000000000002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35</v>
      </c>
      <c r="I3560" t="s">
        <v>59</v>
      </c>
      <c r="J3560">
        <v>439.8</v>
      </c>
      <c r="K3560">
        <v>4</v>
      </c>
      <c r="L3560">
        <v>0</v>
      </c>
      <c r="M3560">
        <v>145.13399999999999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34</v>
      </c>
      <c r="J3561">
        <v>8.2560000000000002</v>
      </c>
      <c r="K3561">
        <v>4</v>
      </c>
      <c r="L3561">
        <v>0.2</v>
      </c>
      <c r="M3561">
        <v>0.61919999999999997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25.56</v>
      </c>
      <c r="K3562">
        <v>5</v>
      </c>
      <c r="L3562">
        <v>0.7</v>
      </c>
      <c r="M3562">
        <v>-20.448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4.3680000000000003</v>
      </c>
      <c r="K3563">
        <v>2</v>
      </c>
      <c r="L3563">
        <v>0.7</v>
      </c>
      <c r="M3563">
        <v>-3.0575999999999999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41</v>
      </c>
      <c r="J3564">
        <v>11.52</v>
      </c>
      <c r="K3564">
        <v>4</v>
      </c>
      <c r="L3564">
        <v>0.2</v>
      </c>
      <c r="M3564">
        <v>3.7440000000000002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41</v>
      </c>
      <c r="J3565">
        <v>12.96</v>
      </c>
      <c r="K3565">
        <v>2</v>
      </c>
      <c r="L3565">
        <v>0</v>
      </c>
      <c r="M3565">
        <v>6.2207999999999997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77</v>
      </c>
      <c r="J3566">
        <v>3.96</v>
      </c>
      <c r="K3566">
        <v>2</v>
      </c>
      <c r="L3566">
        <v>0</v>
      </c>
      <c r="M3566">
        <v>7.9200000000000007E-2</v>
      </c>
    </row>
    <row r="3567" spans="1:13" x14ac:dyDescent="0.3">
      <c r="A3567" t="s">
        <v>28</v>
      </c>
      <c r="B3567" t="s">
        <v>44</v>
      </c>
      <c r="C3567" t="s">
        <v>15</v>
      </c>
      <c r="D3567" t="s">
        <v>111</v>
      </c>
      <c r="E3567" t="s">
        <v>112</v>
      </c>
      <c r="F3567">
        <v>64055</v>
      </c>
      <c r="G3567" t="s">
        <v>47</v>
      </c>
      <c r="H3567" t="s">
        <v>26</v>
      </c>
      <c r="I3567" t="s">
        <v>37</v>
      </c>
      <c r="J3567">
        <v>1577.94</v>
      </c>
      <c r="K3567">
        <v>3</v>
      </c>
      <c r="L3567">
        <v>0</v>
      </c>
      <c r="M3567">
        <v>757.41120000000001</v>
      </c>
    </row>
    <row r="3568" spans="1:13" x14ac:dyDescent="0.3">
      <c r="A3568" t="s">
        <v>13</v>
      </c>
      <c r="B3568" t="s">
        <v>44</v>
      </c>
      <c r="C3568" t="s">
        <v>15</v>
      </c>
      <c r="D3568" t="s">
        <v>135</v>
      </c>
      <c r="E3568" t="s">
        <v>46</v>
      </c>
      <c r="F3568">
        <v>75220</v>
      </c>
      <c r="G3568" t="s">
        <v>47</v>
      </c>
      <c r="H3568" t="s">
        <v>19</v>
      </c>
      <c r="I3568" t="s">
        <v>33</v>
      </c>
      <c r="J3568">
        <v>15.007999999999999</v>
      </c>
      <c r="K3568">
        <v>4</v>
      </c>
      <c r="L3568">
        <v>0.6</v>
      </c>
      <c r="M3568">
        <v>-12.006399999999999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59</v>
      </c>
      <c r="J3569">
        <v>59.98</v>
      </c>
      <c r="K3569">
        <v>2</v>
      </c>
      <c r="L3569">
        <v>0</v>
      </c>
      <c r="M3569">
        <v>26.391200000000001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123</v>
      </c>
      <c r="J3570">
        <v>2395.1999999999998</v>
      </c>
      <c r="K3570">
        <v>6</v>
      </c>
      <c r="L3570">
        <v>0.2</v>
      </c>
      <c r="M3570">
        <v>209.58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59</v>
      </c>
      <c r="J3571">
        <v>1687.8</v>
      </c>
      <c r="K3571">
        <v>4</v>
      </c>
      <c r="L3571">
        <v>0</v>
      </c>
      <c r="M3571">
        <v>742.63199999999995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36</v>
      </c>
      <c r="J3572">
        <v>7.992</v>
      </c>
      <c r="K3572">
        <v>1</v>
      </c>
      <c r="L3572">
        <v>0.2</v>
      </c>
      <c r="M3572">
        <v>2.6972999999999998</v>
      </c>
    </row>
    <row r="3573" spans="1:13" x14ac:dyDescent="0.3">
      <c r="A3573" t="s">
        <v>28</v>
      </c>
      <c r="B3573" t="s">
        <v>22</v>
      </c>
      <c r="C3573" t="s">
        <v>15</v>
      </c>
      <c r="D3573" t="s">
        <v>365</v>
      </c>
      <c r="E3573" t="s">
        <v>46</v>
      </c>
      <c r="F3573">
        <v>75150</v>
      </c>
      <c r="G3573" t="s">
        <v>47</v>
      </c>
      <c r="H3573" t="s">
        <v>26</v>
      </c>
      <c r="I3573" t="s">
        <v>41</v>
      </c>
      <c r="J3573">
        <v>5.1840000000000002</v>
      </c>
      <c r="K3573">
        <v>1</v>
      </c>
      <c r="L3573">
        <v>0.2</v>
      </c>
      <c r="M3573">
        <v>1.8144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11.68</v>
      </c>
      <c r="K3574">
        <v>2</v>
      </c>
      <c r="L3574">
        <v>0</v>
      </c>
      <c r="M3574">
        <v>5.4896000000000003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104.8</v>
      </c>
      <c r="K3575">
        <v>10</v>
      </c>
      <c r="L3575">
        <v>0</v>
      </c>
      <c r="M3575">
        <v>26.2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458</v>
      </c>
      <c r="E3576" t="s">
        <v>30</v>
      </c>
      <c r="F3576">
        <v>33161</v>
      </c>
      <c r="G3576" t="s">
        <v>18</v>
      </c>
      <c r="H3576" t="s">
        <v>26</v>
      </c>
      <c r="I3576" t="s">
        <v>41</v>
      </c>
      <c r="J3576">
        <v>14.496</v>
      </c>
      <c r="K3576">
        <v>3</v>
      </c>
      <c r="L3576">
        <v>0.2</v>
      </c>
      <c r="M3576">
        <v>4.8924000000000003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37</v>
      </c>
      <c r="J3577">
        <v>4.7839999999999998</v>
      </c>
      <c r="K3577">
        <v>1</v>
      </c>
      <c r="L3577">
        <v>0.2</v>
      </c>
      <c r="M3577">
        <v>1.5548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41</v>
      </c>
      <c r="J3578">
        <v>4.7300000000000004</v>
      </c>
      <c r="K3578">
        <v>1</v>
      </c>
      <c r="L3578">
        <v>0</v>
      </c>
      <c r="M3578">
        <v>2.3176999999999999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32</v>
      </c>
      <c r="J3579">
        <v>7.89</v>
      </c>
      <c r="K3579">
        <v>1</v>
      </c>
      <c r="L3579">
        <v>0</v>
      </c>
      <c r="M3579">
        <v>0.31559999999999999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41</v>
      </c>
      <c r="J3580">
        <v>65.5</v>
      </c>
      <c r="K3580">
        <v>5</v>
      </c>
      <c r="L3580">
        <v>0</v>
      </c>
      <c r="M3580">
        <v>32.094999999999999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19</v>
      </c>
      <c r="I3581" t="s">
        <v>31</v>
      </c>
      <c r="J3581">
        <v>2430.08</v>
      </c>
      <c r="K3581">
        <v>8</v>
      </c>
      <c r="L3581">
        <v>0</v>
      </c>
      <c r="M3581">
        <v>388.81279999999998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53</v>
      </c>
      <c r="E3582" t="s">
        <v>54</v>
      </c>
      <c r="F3582">
        <v>68025</v>
      </c>
      <c r="G3582" t="s">
        <v>47</v>
      </c>
      <c r="H3582" t="s">
        <v>26</v>
      </c>
      <c r="I3582" t="s">
        <v>41</v>
      </c>
      <c r="J3582">
        <v>104.85</v>
      </c>
      <c r="K3582">
        <v>1</v>
      </c>
      <c r="L3582">
        <v>0</v>
      </c>
      <c r="M3582">
        <v>50.328000000000003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26</v>
      </c>
      <c r="I3583" t="s">
        <v>34</v>
      </c>
      <c r="J3583">
        <v>3.9</v>
      </c>
      <c r="K3583">
        <v>2</v>
      </c>
      <c r="L3583">
        <v>0</v>
      </c>
      <c r="M3583">
        <v>1.5209999999999999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31</v>
      </c>
      <c r="J3584">
        <v>801.96</v>
      </c>
      <c r="K3584">
        <v>2</v>
      </c>
      <c r="L3584">
        <v>0</v>
      </c>
      <c r="M3584">
        <v>200.49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21</v>
      </c>
      <c r="J3585">
        <v>191.96</v>
      </c>
      <c r="K3585">
        <v>2</v>
      </c>
      <c r="L3585">
        <v>0</v>
      </c>
      <c r="M3585">
        <v>32.633200000000002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26</v>
      </c>
      <c r="I3586" t="s">
        <v>27</v>
      </c>
      <c r="J3586">
        <v>2.61</v>
      </c>
      <c r="K3586">
        <v>1</v>
      </c>
      <c r="L3586">
        <v>0</v>
      </c>
      <c r="M3586">
        <v>1.2005999999999999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52</v>
      </c>
      <c r="E3587" t="s">
        <v>24</v>
      </c>
      <c r="F3587">
        <v>94122</v>
      </c>
      <c r="G3587" t="s">
        <v>25</v>
      </c>
      <c r="H3587" t="s">
        <v>26</v>
      </c>
      <c r="I3587" t="s">
        <v>34</v>
      </c>
      <c r="J3587">
        <v>5.96</v>
      </c>
      <c r="K3587">
        <v>2</v>
      </c>
      <c r="L3587">
        <v>0</v>
      </c>
      <c r="M3587">
        <v>1.6688000000000001</v>
      </c>
    </row>
    <row r="3588" spans="1:13" x14ac:dyDescent="0.3">
      <c r="A3588" t="s">
        <v>28</v>
      </c>
      <c r="B3588" t="s">
        <v>44</v>
      </c>
      <c r="C3588" t="s">
        <v>15</v>
      </c>
      <c r="D3588" t="s">
        <v>235</v>
      </c>
      <c r="E3588" t="s">
        <v>104</v>
      </c>
      <c r="F3588">
        <v>43130</v>
      </c>
      <c r="G3588" t="s">
        <v>57</v>
      </c>
      <c r="H3588" t="s">
        <v>35</v>
      </c>
      <c r="I3588" t="s">
        <v>36</v>
      </c>
      <c r="J3588">
        <v>1169.694</v>
      </c>
      <c r="K3588">
        <v>3</v>
      </c>
      <c r="L3588">
        <v>0.4</v>
      </c>
      <c r="M3588">
        <v>-253.43369999999999</v>
      </c>
    </row>
    <row r="3589" spans="1:13" x14ac:dyDescent="0.3">
      <c r="A3589" t="s">
        <v>62</v>
      </c>
      <c r="B3589" t="s">
        <v>14</v>
      </c>
      <c r="C3589" t="s">
        <v>15</v>
      </c>
      <c r="D3589" t="s">
        <v>325</v>
      </c>
      <c r="E3589" t="s">
        <v>125</v>
      </c>
      <c r="F3589">
        <v>70506</v>
      </c>
      <c r="G3589" t="s">
        <v>18</v>
      </c>
      <c r="H3589" t="s">
        <v>26</v>
      </c>
      <c r="I3589" t="s">
        <v>110</v>
      </c>
      <c r="J3589">
        <v>1665.62</v>
      </c>
      <c r="K3589">
        <v>2</v>
      </c>
      <c r="L3589">
        <v>0</v>
      </c>
      <c r="M3589">
        <v>33.312399999999997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37</v>
      </c>
      <c r="J3590">
        <v>2.88</v>
      </c>
      <c r="K3590">
        <v>1</v>
      </c>
      <c r="L3590">
        <v>0</v>
      </c>
      <c r="M3590">
        <v>1.4112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32</v>
      </c>
      <c r="J3591">
        <v>1443.96</v>
      </c>
      <c r="K3591">
        <v>12</v>
      </c>
      <c r="L3591">
        <v>0</v>
      </c>
      <c r="M3591">
        <v>375.42959999999999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61</v>
      </c>
      <c r="E3592" t="s">
        <v>46</v>
      </c>
      <c r="F3592">
        <v>77070</v>
      </c>
      <c r="G3592" t="s">
        <v>47</v>
      </c>
      <c r="H3592" t="s">
        <v>26</v>
      </c>
      <c r="I3592" t="s">
        <v>110</v>
      </c>
      <c r="J3592">
        <v>2.92</v>
      </c>
      <c r="K3592">
        <v>1</v>
      </c>
      <c r="L3592">
        <v>0.2</v>
      </c>
      <c r="M3592">
        <v>0.36499999999999999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75</v>
      </c>
      <c r="E3593" t="s">
        <v>76</v>
      </c>
      <c r="F3593">
        <v>10024</v>
      </c>
      <c r="G3593" t="s">
        <v>57</v>
      </c>
      <c r="H3593" t="s">
        <v>26</v>
      </c>
      <c r="I3593" t="s">
        <v>32</v>
      </c>
      <c r="J3593">
        <v>465.18</v>
      </c>
      <c r="K3593">
        <v>3</v>
      </c>
      <c r="L3593">
        <v>0</v>
      </c>
      <c r="M3593">
        <v>120.9468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37</v>
      </c>
      <c r="J3594">
        <v>22.428000000000001</v>
      </c>
      <c r="K3594">
        <v>3</v>
      </c>
      <c r="L3594">
        <v>0.7</v>
      </c>
      <c r="M3594">
        <v>-17.942399999999999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32</v>
      </c>
      <c r="J3595">
        <v>37.520000000000003</v>
      </c>
      <c r="K3595">
        <v>5</v>
      </c>
      <c r="L3595">
        <v>0.2</v>
      </c>
      <c r="M3595">
        <v>3.7519999999999998</v>
      </c>
    </row>
    <row r="3596" spans="1:13" x14ac:dyDescent="0.3">
      <c r="A3596" t="s">
        <v>28</v>
      </c>
      <c r="B3596" t="s">
        <v>22</v>
      </c>
      <c r="C3596" t="s">
        <v>15</v>
      </c>
      <c r="D3596" t="s">
        <v>55</v>
      </c>
      <c r="E3596" t="s">
        <v>56</v>
      </c>
      <c r="F3596">
        <v>19143</v>
      </c>
      <c r="G3596" t="s">
        <v>57</v>
      </c>
      <c r="H3596" t="s">
        <v>26</v>
      </c>
      <c r="I3596" t="s">
        <v>34</v>
      </c>
      <c r="J3596">
        <v>2.6240000000000001</v>
      </c>
      <c r="K3596">
        <v>1</v>
      </c>
      <c r="L3596">
        <v>0.2</v>
      </c>
      <c r="M3596">
        <v>0.4264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26</v>
      </c>
      <c r="I3597" t="s">
        <v>41</v>
      </c>
      <c r="J3597">
        <v>15.552</v>
      </c>
      <c r="K3597">
        <v>3</v>
      </c>
      <c r="L3597">
        <v>0.2</v>
      </c>
      <c r="M3597">
        <v>5.4432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35</v>
      </c>
      <c r="I3598" t="s">
        <v>59</v>
      </c>
      <c r="J3598">
        <v>64.703999999999994</v>
      </c>
      <c r="K3598">
        <v>6</v>
      </c>
      <c r="L3598">
        <v>0.2</v>
      </c>
      <c r="M3598">
        <v>-4.8528000000000002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19</v>
      </c>
      <c r="I3599" t="s">
        <v>33</v>
      </c>
      <c r="J3599">
        <v>17.472000000000001</v>
      </c>
      <c r="K3599">
        <v>3</v>
      </c>
      <c r="L3599">
        <v>0.2</v>
      </c>
      <c r="M3599">
        <v>5.0232000000000001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35</v>
      </c>
      <c r="I3600" t="s">
        <v>36</v>
      </c>
      <c r="J3600">
        <v>135.51599999999999</v>
      </c>
      <c r="K3600">
        <v>1</v>
      </c>
      <c r="L3600">
        <v>0.4</v>
      </c>
      <c r="M3600">
        <v>-31.6204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134</v>
      </c>
      <c r="E3601" t="s">
        <v>98</v>
      </c>
      <c r="F3601">
        <v>80219</v>
      </c>
      <c r="G3601" t="s">
        <v>25</v>
      </c>
      <c r="H3601" t="s">
        <v>35</v>
      </c>
      <c r="I3601" t="s">
        <v>59</v>
      </c>
      <c r="J3601">
        <v>431.928</v>
      </c>
      <c r="K3601">
        <v>9</v>
      </c>
      <c r="L3601">
        <v>0.2</v>
      </c>
      <c r="M3601">
        <v>64.789199999999994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26</v>
      </c>
      <c r="I3602" t="s">
        <v>41</v>
      </c>
      <c r="J3602">
        <v>12.448</v>
      </c>
      <c r="K3602">
        <v>2</v>
      </c>
      <c r="L3602">
        <v>0.2</v>
      </c>
      <c r="M3602">
        <v>3.89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19</v>
      </c>
      <c r="I3603" t="s">
        <v>21</v>
      </c>
      <c r="J3603">
        <v>657.93</v>
      </c>
      <c r="K3603">
        <v>5</v>
      </c>
      <c r="L3603">
        <v>0.3</v>
      </c>
      <c r="M3603">
        <v>-93.99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26</v>
      </c>
      <c r="I3604" t="s">
        <v>41</v>
      </c>
      <c r="J3604">
        <v>277.39999999999998</v>
      </c>
      <c r="K3604">
        <v>5</v>
      </c>
      <c r="L3604">
        <v>0</v>
      </c>
      <c r="M3604">
        <v>133.15199999999999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25.16</v>
      </c>
      <c r="K3605">
        <v>2</v>
      </c>
      <c r="L3605">
        <v>0</v>
      </c>
      <c r="M3605">
        <v>8.5543999999999993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91.92</v>
      </c>
      <c r="K3606">
        <v>4</v>
      </c>
      <c r="L3606">
        <v>0</v>
      </c>
      <c r="M3606">
        <v>31.252800000000001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10024</v>
      </c>
      <c r="G3607" t="s">
        <v>57</v>
      </c>
      <c r="H3607" t="s">
        <v>26</v>
      </c>
      <c r="I3607" t="s">
        <v>60</v>
      </c>
      <c r="J3607">
        <v>29.34</v>
      </c>
      <c r="K3607">
        <v>3</v>
      </c>
      <c r="L3607">
        <v>0</v>
      </c>
      <c r="M3607">
        <v>13.4964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10035</v>
      </c>
      <c r="G3608" t="s">
        <v>57</v>
      </c>
      <c r="H3608" t="s">
        <v>26</v>
      </c>
      <c r="I3608" t="s">
        <v>37</v>
      </c>
      <c r="J3608">
        <v>139.44</v>
      </c>
      <c r="K3608">
        <v>3</v>
      </c>
      <c r="L3608">
        <v>0.2</v>
      </c>
      <c r="M3608">
        <v>47.061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27</v>
      </c>
      <c r="J3609">
        <v>6.9119999999999999</v>
      </c>
      <c r="K3609">
        <v>3</v>
      </c>
      <c r="L3609">
        <v>0.2</v>
      </c>
      <c r="M3609">
        <v>2.5055999999999998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27.096</v>
      </c>
      <c r="K3610">
        <v>3</v>
      </c>
      <c r="L3610">
        <v>0.2</v>
      </c>
      <c r="M3610">
        <v>2.0322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177.56800000000001</v>
      </c>
      <c r="K3611">
        <v>2</v>
      </c>
      <c r="L3611">
        <v>0.2</v>
      </c>
      <c r="M3611">
        <v>-37.733199999999997</v>
      </c>
    </row>
    <row r="3612" spans="1:13" x14ac:dyDescent="0.3">
      <c r="A3612" t="s">
        <v>13</v>
      </c>
      <c r="B3612" t="s">
        <v>22</v>
      </c>
      <c r="C3612" t="s">
        <v>15</v>
      </c>
      <c r="D3612" t="s">
        <v>135</v>
      </c>
      <c r="E3612" t="s">
        <v>46</v>
      </c>
      <c r="F3612">
        <v>75217</v>
      </c>
      <c r="G3612" t="s">
        <v>47</v>
      </c>
      <c r="H3612" t="s">
        <v>35</v>
      </c>
      <c r="I3612" t="s">
        <v>59</v>
      </c>
      <c r="J3612">
        <v>58.415999999999997</v>
      </c>
      <c r="K3612">
        <v>2</v>
      </c>
      <c r="L3612">
        <v>0.2</v>
      </c>
      <c r="M3612">
        <v>16.794599999999999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26</v>
      </c>
      <c r="I3613" t="s">
        <v>41</v>
      </c>
      <c r="J3613">
        <v>16.448</v>
      </c>
      <c r="K3613">
        <v>2</v>
      </c>
      <c r="L3613">
        <v>0.2</v>
      </c>
      <c r="M3613">
        <v>5.5511999999999997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35</v>
      </c>
      <c r="I3614" t="s">
        <v>59</v>
      </c>
      <c r="J3614">
        <v>36.783999999999999</v>
      </c>
      <c r="K3614">
        <v>2</v>
      </c>
      <c r="L3614">
        <v>0.2</v>
      </c>
      <c r="M3614">
        <v>10.5754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19</v>
      </c>
      <c r="I3615" t="s">
        <v>31</v>
      </c>
      <c r="J3615">
        <v>718.11599999999999</v>
      </c>
      <c r="K3615">
        <v>6</v>
      </c>
      <c r="L3615">
        <v>0.3</v>
      </c>
      <c r="M3615">
        <v>-71.811599999999999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26</v>
      </c>
      <c r="I3616" t="s">
        <v>34</v>
      </c>
      <c r="J3616">
        <v>31.776</v>
      </c>
      <c r="K3616">
        <v>4</v>
      </c>
      <c r="L3616">
        <v>0.2</v>
      </c>
      <c r="M3616">
        <v>8.7384000000000004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55</v>
      </c>
      <c r="E3617" t="s">
        <v>56</v>
      </c>
      <c r="F3617">
        <v>19120</v>
      </c>
      <c r="G3617" t="s">
        <v>57</v>
      </c>
      <c r="H3617" t="s">
        <v>26</v>
      </c>
      <c r="I3617" t="s">
        <v>37</v>
      </c>
      <c r="J3617">
        <v>9.5549999999999997</v>
      </c>
      <c r="K3617">
        <v>5</v>
      </c>
      <c r="L3617">
        <v>0.7</v>
      </c>
      <c r="M3617">
        <v>-7.3254999999999999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26</v>
      </c>
      <c r="I3618" t="s">
        <v>37</v>
      </c>
      <c r="J3618">
        <v>487.98399999999998</v>
      </c>
      <c r="K3618">
        <v>2</v>
      </c>
      <c r="L3618">
        <v>0.2</v>
      </c>
      <c r="M3618">
        <v>152.495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35</v>
      </c>
      <c r="I3619" t="s">
        <v>36</v>
      </c>
      <c r="J3619">
        <v>5.56</v>
      </c>
      <c r="K3619">
        <v>1</v>
      </c>
      <c r="L3619">
        <v>0.2</v>
      </c>
      <c r="M3619">
        <v>1.7375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26</v>
      </c>
      <c r="I3620" t="s">
        <v>32</v>
      </c>
      <c r="J3620">
        <v>217.85</v>
      </c>
      <c r="K3620">
        <v>5</v>
      </c>
      <c r="L3620">
        <v>0</v>
      </c>
      <c r="M3620">
        <v>65.355000000000004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26</v>
      </c>
      <c r="I3621" t="s">
        <v>34</v>
      </c>
      <c r="J3621">
        <v>40.776000000000003</v>
      </c>
      <c r="K3621">
        <v>3</v>
      </c>
      <c r="L3621">
        <v>0.2</v>
      </c>
      <c r="M3621">
        <v>4.5872999999999999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35</v>
      </c>
      <c r="I3622" t="s">
        <v>36</v>
      </c>
      <c r="J3622">
        <v>63.936</v>
      </c>
      <c r="K3622">
        <v>8</v>
      </c>
      <c r="L3622">
        <v>0.2</v>
      </c>
      <c r="M3622">
        <v>5.5944000000000003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19</v>
      </c>
      <c r="I3623" t="s">
        <v>33</v>
      </c>
      <c r="J3623">
        <v>142.4</v>
      </c>
      <c r="K3623">
        <v>5</v>
      </c>
      <c r="L3623">
        <v>0</v>
      </c>
      <c r="M3623">
        <v>52.688000000000002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26</v>
      </c>
      <c r="I3624" t="s">
        <v>37</v>
      </c>
      <c r="J3624">
        <v>7.16</v>
      </c>
      <c r="K3624">
        <v>2</v>
      </c>
      <c r="L3624">
        <v>0</v>
      </c>
      <c r="M3624">
        <v>3.4367999999999999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19</v>
      </c>
      <c r="I3625" t="s">
        <v>21</v>
      </c>
      <c r="J3625">
        <v>681.40800000000002</v>
      </c>
      <c r="K3625">
        <v>12</v>
      </c>
      <c r="L3625">
        <v>0.2</v>
      </c>
      <c r="M3625">
        <v>42.588000000000001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3.52</v>
      </c>
      <c r="K3626">
        <v>2</v>
      </c>
      <c r="L3626">
        <v>0</v>
      </c>
      <c r="M3626">
        <v>1.0207999999999999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5.58</v>
      </c>
      <c r="K3627">
        <v>1</v>
      </c>
      <c r="L3627">
        <v>0</v>
      </c>
      <c r="M3627">
        <v>1.395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35</v>
      </c>
      <c r="I3628" t="s">
        <v>59</v>
      </c>
      <c r="J3628">
        <v>36.32</v>
      </c>
      <c r="K3628">
        <v>1</v>
      </c>
      <c r="L3628">
        <v>0</v>
      </c>
      <c r="M3628">
        <v>10.896000000000001</v>
      </c>
    </row>
    <row r="3629" spans="1:13" x14ac:dyDescent="0.3">
      <c r="A3629" t="s">
        <v>28</v>
      </c>
      <c r="B3629" t="s">
        <v>14</v>
      </c>
      <c r="C3629" t="s">
        <v>15</v>
      </c>
      <c r="D3629" t="s">
        <v>42</v>
      </c>
      <c r="E3629" t="s">
        <v>43</v>
      </c>
      <c r="F3629">
        <v>98103</v>
      </c>
      <c r="G3629" t="s">
        <v>25</v>
      </c>
      <c r="H3629" t="s">
        <v>26</v>
      </c>
      <c r="I3629" t="s">
        <v>37</v>
      </c>
      <c r="J3629">
        <v>2060.7440000000001</v>
      </c>
      <c r="K3629">
        <v>7</v>
      </c>
      <c r="L3629">
        <v>0.2</v>
      </c>
      <c r="M3629">
        <v>643.98249999999996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52.271999999999998</v>
      </c>
      <c r="K3630">
        <v>3</v>
      </c>
      <c r="L3630">
        <v>0.2</v>
      </c>
      <c r="M3630">
        <v>9.8010000000000002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213.136</v>
      </c>
      <c r="K3631">
        <v>7</v>
      </c>
      <c r="L3631">
        <v>0.2</v>
      </c>
      <c r="M3631">
        <v>23.977799999999998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69.52</v>
      </c>
      <c r="K3632">
        <v>2</v>
      </c>
      <c r="L3632">
        <v>0</v>
      </c>
      <c r="M3632">
        <v>19.465599999999998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763.44</v>
      </c>
      <c r="K3633">
        <v>8</v>
      </c>
      <c r="L3633">
        <v>0</v>
      </c>
      <c r="M3633">
        <v>45.806399999999996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26</v>
      </c>
      <c r="I3634" t="s">
        <v>27</v>
      </c>
      <c r="J3634">
        <v>9.2159999999999993</v>
      </c>
      <c r="K3634">
        <v>4</v>
      </c>
      <c r="L3634">
        <v>0.2</v>
      </c>
      <c r="M3634">
        <v>3.3408000000000002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35</v>
      </c>
      <c r="I3635" t="s">
        <v>36</v>
      </c>
      <c r="J3635">
        <v>41.957999999999998</v>
      </c>
      <c r="K3635">
        <v>7</v>
      </c>
      <c r="L3635">
        <v>0.4</v>
      </c>
      <c r="M3635">
        <v>-9.7902000000000005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89.567999999999998</v>
      </c>
      <c r="K3636">
        <v>2</v>
      </c>
      <c r="L3636">
        <v>0.2</v>
      </c>
      <c r="M3636">
        <v>32.468400000000003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22.248000000000001</v>
      </c>
      <c r="K3637">
        <v>3</v>
      </c>
      <c r="L3637">
        <v>0.2</v>
      </c>
      <c r="M3637">
        <v>7.5087000000000002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38</v>
      </c>
      <c r="J3638">
        <v>334.88</v>
      </c>
      <c r="K3638">
        <v>4</v>
      </c>
      <c r="L3638">
        <v>0.2</v>
      </c>
      <c r="M3638">
        <v>29.302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19</v>
      </c>
      <c r="I3639" t="s">
        <v>33</v>
      </c>
      <c r="J3639">
        <v>148.28800000000001</v>
      </c>
      <c r="K3639">
        <v>7</v>
      </c>
      <c r="L3639">
        <v>0.2</v>
      </c>
      <c r="M3639">
        <v>29.657599999999999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26</v>
      </c>
      <c r="I3640" t="s">
        <v>41</v>
      </c>
      <c r="J3640">
        <v>4.6239999999999997</v>
      </c>
      <c r="K3640">
        <v>1</v>
      </c>
      <c r="L3640">
        <v>0.2</v>
      </c>
      <c r="M3640">
        <v>1.6761999999999999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35</v>
      </c>
      <c r="I3641" t="s">
        <v>59</v>
      </c>
      <c r="J3641">
        <v>178.92</v>
      </c>
      <c r="K3641">
        <v>7</v>
      </c>
      <c r="L3641">
        <v>0.2</v>
      </c>
      <c r="M3641">
        <v>-29.0745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26</v>
      </c>
      <c r="I3642" t="s">
        <v>37</v>
      </c>
      <c r="J3642">
        <v>69.888000000000005</v>
      </c>
      <c r="K3642">
        <v>7</v>
      </c>
      <c r="L3642">
        <v>0.7</v>
      </c>
      <c r="M3642">
        <v>-46.591999999999999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37</v>
      </c>
      <c r="J3643">
        <v>487.98399999999998</v>
      </c>
      <c r="K3643">
        <v>2</v>
      </c>
      <c r="L3643">
        <v>0.2</v>
      </c>
      <c r="M3643">
        <v>152.495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47.3</v>
      </c>
      <c r="K3644">
        <v>2</v>
      </c>
      <c r="L3644">
        <v>0</v>
      </c>
      <c r="M3644">
        <v>12.298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4.13</v>
      </c>
      <c r="K3645">
        <v>1</v>
      </c>
      <c r="L3645">
        <v>0</v>
      </c>
      <c r="M3645">
        <v>1.1564000000000001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37</v>
      </c>
      <c r="J3646">
        <v>155.12</v>
      </c>
      <c r="K3646">
        <v>5</v>
      </c>
      <c r="L3646">
        <v>0.2</v>
      </c>
      <c r="M3646">
        <v>50.414000000000001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41</v>
      </c>
      <c r="J3647">
        <v>6.48</v>
      </c>
      <c r="K3647">
        <v>1</v>
      </c>
      <c r="L3647">
        <v>0</v>
      </c>
      <c r="M3647">
        <v>3.1751999999999998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110</v>
      </c>
      <c r="J3648">
        <v>15.52</v>
      </c>
      <c r="K3648">
        <v>4</v>
      </c>
      <c r="L3648">
        <v>0</v>
      </c>
      <c r="M3648">
        <v>4.5007999999999999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37</v>
      </c>
      <c r="J3649">
        <v>2.9460000000000002</v>
      </c>
      <c r="K3649">
        <v>2</v>
      </c>
      <c r="L3649">
        <v>0.7</v>
      </c>
      <c r="M3649">
        <v>-2.0621999999999998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77</v>
      </c>
      <c r="J3650">
        <v>55.103999999999999</v>
      </c>
      <c r="K3650">
        <v>6</v>
      </c>
      <c r="L3650">
        <v>0.2</v>
      </c>
      <c r="M3650">
        <v>18.5976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35</v>
      </c>
      <c r="I3651" t="s">
        <v>59</v>
      </c>
      <c r="J3651">
        <v>104.88</v>
      </c>
      <c r="K3651">
        <v>6</v>
      </c>
      <c r="L3651">
        <v>0</v>
      </c>
      <c r="M3651">
        <v>41.951999999999998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34</v>
      </c>
      <c r="J3652">
        <v>34.700000000000003</v>
      </c>
      <c r="K3652">
        <v>5</v>
      </c>
      <c r="L3652">
        <v>0</v>
      </c>
      <c r="M3652">
        <v>12.492000000000001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37</v>
      </c>
      <c r="J3653">
        <v>33.72</v>
      </c>
      <c r="K3653">
        <v>4</v>
      </c>
      <c r="L3653">
        <v>0</v>
      </c>
      <c r="M3653">
        <v>15.511200000000001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41</v>
      </c>
      <c r="J3654">
        <v>14.94</v>
      </c>
      <c r="K3654">
        <v>3</v>
      </c>
      <c r="L3654">
        <v>0</v>
      </c>
      <c r="M3654">
        <v>7.0217999999999998</v>
      </c>
    </row>
    <row r="3655" spans="1:13" x14ac:dyDescent="0.3">
      <c r="A3655" t="s">
        <v>28</v>
      </c>
      <c r="B3655" t="s">
        <v>14</v>
      </c>
      <c r="C3655" t="s">
        <v>15</v>
      </c>
      <c r="D3655" t="s">
        <v>184</v>
      </c>
      <c r="E3655" t="s">
        <v>74</v>
      </c>
      <c r="F3655">
        <v>46226</v>
      </c>
      <c r="G3655" t="s">
        <v>47</v>
      </c>
      <c r="H3655" t="s">
        <v>26</v>
      </c>
      <c r="I3655" t="s">
        <v>38</v>
      </c>
      <c r="J3655">
        <v>638.73</v>
      </c>
      <c r="K3655">
        <v>9</v>
      </c>
      <c r="L3655">
        <v>0</v>
      </c>
      <c r="M3655">
        <v>166.06979999999999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189</v>
      </c>
      <c r="E3656" t="s">
        <v>30</v>
      </c>
      <c r="F3656">
        <v>32216</v>
      </c>
      <c r="G3656" t="s">
        <v>18</v>
      </c>
      <c r="H3656" t="s">
        <v>26</v>
      </c>
      <c r="I3656" t="s">
        <v>32</v>
      </c>
      <c r="J3656">
        <v>113.568</v>
      </c>
      <c r="K3656">
        <v>2</v>
      </c>
      <c r="L3656">
        <v>0.2</v>
      </c>
      <c r="M3656">
        <v>-21.294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139</v>
      </c>
      <c r="E3657" t="s">
        <v>104</v>
      </c>
      <c r="F3657">
        <v>43017</v>
      </c>
      <c r="G3657" t="s">
        <v>57</v>
      </c>
      <c r="H3657" t="s">
        <v>35</v>
      </c>
      <c r="I3657" t="s">
        <v>59</v>
      </c>
      <c r="J3657">
        <v>9.0960000000000001</v>
      </c>
      <c r="K3657">
        <v>1</v>
      </c>
      <c r="L3657">
        <v>0.2</v>
      </c>
      <c r="M3657">
        <v>1.7055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26</v>
      </c>
      <c r="I3658" t="s">
        <v>60</v>
      </c>
      <c r="J3658">
        <v>8.6880000000000006</v>
      </c>
      <c r="K3658">
        <v>3</v>
      </c>
      <c r="L3658">
        <v>0.2</v>
      </c>
      <c r="M3658">
        <v>2.9321999999999999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30.88</v>
      </c>
      <c r="K3659">
        <v>4</v>
      </c>
      <c r="L3659">
        <v>0.2</v>
      </c>
      <c r="M3659">
        <v>3.86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6.4080000000000004</v>
      </c>
      <c r="K3660">
        <v>3</v>
      </c>
      <c r="L3660">
        <v>0.2</v>
      </c>
      <c r="M3660">
        <v>1.4418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305</v>
      </c>
      <c r="E3661" t="s">
        <v>81</v>
      </c>
      <c r="F3661">
        <v>85301</v>
      </c>
      <c r="G3661" t="s">
        <v>25</v>
      </c>
      <c r="H3661" t="s">
        <v>26</v>
      </c>
      <c r="I3661" t="s">
        <v>110</v>
      </c>
      <c r="J3661">
        <v>33.799999999999997</v>
      </c>
      <c r="K3661">
        <v>5</v>
      </c>
      <c r="L3661">
        <v>0.2</v>
      </c>
      <c r="M3661">
        <v>4.2249999999999996</v>
      </c>
    </row>
    <row r="3662" spans="1:13" x14ac:dyDescent="0.3">
      <c r="A3662" t="s">
        <v>13</v>
      </c>
      <c r="B3662" t="s">
        <v>44</v>
      </c>
      <c r="C3662" t="s">
        <v>15</v>
      </c>
      <c r="D3662" t="s">
        <v>84</v>
      </c>
      <c r="E3662" t="s">
        <v>70</v>
      </c>
      <c r="F3662">
        <v>49201</v>
      </c>
      <c r="G3662" t="s">
        <v>47</v>
      </c>
      <c r="H3662" t="s">
        <v>35</v>
      </c>
      <c r="I3662" t="s">
        <v>36</v>
      </c>
      <c r="J3662">
        <v>377.97</v>
      </c>
      <c r="K3662">
        <v>3</v>
      </c>
      <c r="L3662">
        <v>0</v>
      </c>
      <c r="M3662">
        <v>94.492500000000007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35</v>
      </c>
      <c r="I3663" t="s">
        <v>59</v>
      </c>
      <c r="J3663">
        <v>258.89999999999998</v>
      </c>
      <c r="K3663">
        <v>10</v>
      </c>
      <c r="L3663">
        <v>0</v>
      </c>
      <c r="M3663">
        <v>93.203999999999994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26</v>
      </c>
      <c r="I3664" t="s">
        <v>41</v>
      </c>
      <c r="J3664">
        <v>24.56</v>
      </c>
      <c r="K3664">
        <v>2</v>
      </c>
      <c r="L3664">
        <v>0</v>
      </c>
      <c r="M3664">
        <v>11.543200000000001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27</v>
      </c>
      <c r="J3665">
        <v>27.888000000000002</v>
      </c>
      <c r="K3665">
        <v>7</v>
      </c>
      <c r="L3665">
        <v>0.2</v>
      </c>
      <c r="M3665">
        <v>9.0635999999999992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37</v>
      </c>
      <c r="J3666">
        <v>6.4560000000000004</v>
      </c>
      <c r="K3666">
        <v>4</v>
      </c>
      <c r="L3666">
        <v>0.7</v>
      </c>
      <c r="M3666">
        <v>-4.5191999999999997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35</v>
      </c>
      <c r="I3667" t="s">
        <v>36</v>
      </c>
      <c r="J3667">
        <v>52.68</v>
      </c>
      <c r="K3667">
        <v>3</v>
      </c>
      <c r="L3667">
        <v>0.2</v>
      </c>
      <c r="M3667">
        <v>19.754999999999999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26</v>
      </c>
      <c r="I3668" t="s">
        <v>110</v>
      </c>
      <c r="J3668">
        <v>13.88</v>
      </c>
      <c r="K3668">
        <v>5</v>
      </c>
      <c r="L3668">
        <v>0.2</v>
      </c>
      <c r="M3668">
        <v>-2.6025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35</v>
      </c>
      <c r="I3669" t="s">
        <v>59</v>
      </c>
      <c r="J3669">
        <v>103.92</v>
      </c>
      <c r="K3669">
        <v>10</v>
      </c>
      <c r="L3669">
        <v>0.2</v>
      </c>
      <c r="M3669">
        <v>-18.186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27</v>
      </c>
      <c r="J3670">
        <v>11.52</v>
      </c>
      <c r="K3670">
        <v>5</v>
      </c>
      <c r="L3670">
        <v>0.2</v>
      </c>
      <c r="M3670">
        <v>3.7440000000000002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32</v>
      </c>
      <c r="J3671">
        <v>39.072000000000003</v>
      </c>
      <c r="K3671">
        <v>3</v>
      </c>
      <c r="L3671">
        <v>0.2</v>
      </c>
      <c r="M3671">
        <v>2.9304000000000001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60</v>
      </c>
      <c r="J3672">
        <v>8.8719999999999999</v>
      </c>
      <c r="K3672">
        <v>1</v>
      </c>
      <c r="L3672">
        <v>0.2</v>
      </c>
      <c r="M3672">
        <v>3.2161</v>
      </c>
    </row>
    <row r="3673" spans="1:13" x14ac:dyDescent="0.3">
      <c r="A3673" t="s">
        <v>28</v>
      </c>
      <c r="B3673" t="s">
        <v>44</v>
      </c>
      <c r="C3673" t="s">
        <v>15</v>
      </c>
      <c r="D3673" t="s">
        <v>78</v>
      </c>
      <c r="E3673" t="s">
        <v>104</v>
      </c>
      <c r="F3673">
        <v>45373</v>
      </c>
      <c r="G3673" t="s">
        <v>57</v>
      </c>
      <c r="H3673" t="s">
        <v>26</v>
      </c>
      <c r="I3673" t="s">
        <v>37</v>
      </c>
      <c r="J3673">
        <v>121.104</v>
      </c>
      <c r="K3673">
        <v>6</v>
      </c>
      <c r="L3673">
        <v>0.7</v>
      </c>
      <c r="M3673">
        <v>-100.92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19</v>
      </c>
      <c r="I3674" t="s">
        <v>21</v>
      </c>
      <c r="J3674">
        <v>127.372</v>
      </c>
      <c r="K3674">
        <v>2</v>
      </c>
      <c r="L3674">
        <v>0.3</v>
      </c>
      <c r="M3674">
        <v>-30.933199999999999</v>
      </c>
    </row>
    <row r="3675" spans="1:13" x14ac:dyDescent="0.3">
      <c r="A3675" t="s">
        <v>28</v>
      </c>
      <c r="B3675" t="s">
        <v>14</v>
      </c>
      <c r="C3675" t="s">
        <v>15</v>
      </c>
      <c r="D3675" t="s">
        <v>55</v>
      </c>
      <c r="E3675" t="s">
        <v>56</v>
      </c>
      <c r="F3675">
        <v>19143</v>
      </c>
      <c r="G3675" t="s">
        <v>57</v>
      </c>
      <c r="H3675" t="s">
        <v>26</v>
      </c>
      <c r="I3675" t="s">
        <v>41</v>
      </c>
      <c r="J3675">
        <v>47.951999999999998</v>
      </c>
      <c r="K3675">
        <v>3</v>
      </c>
      <c r="L3675">
        <v>0.2</v>
      </c>
      <c r="M3675">
        <v>16.183800000000002</v>
      </c>
    </row>
    <row r="3676" spans="1:13" x14ac:dyDescent="0.3">
      <c r="A3676" t="s">
        <v>28</v>
      </c>
      <c r="B3676" t="s">
        <v>22</v>
      </c>
      <c r="C3676" t="s">
        <v>15</v>
      </c>
      <c r="D3676" t="s">
        <v>144</v>
      </c>
      <c r="E3676" t="s">
        <v>24</v>
      </c>
      <c r="F3676">
        <v>92105</v>
      </c>
      <c r="G3676" t="s">
        <v>25</v>
      </c>
      <c r="H3676" t="s">
        <v>19</v>
      </c>
      <c r="I3676" t="s">
        <v>33</v>
      </c>
      <c r="J3676">
        <v>44.46</v>
      </c>
      <c r="K3676">
        <v>2</v>
      </c>
      <c r="L3676">
        <v>0</v>
      </c>
      <c r="M3676">
        <v>14.671799999999999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26</v>
      </c>
      <c r="I3677" t="s">
        <v>77</v>
      </c>
      <c r="J3677">
        <v>15.8</v>
      </c>
      <c r="K3677">
        <v>4</v>
      </c>
      <c r="L3677">
        <v>0</v>
      </c>
      <c r="M3677">
        <v>5.056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35</v>
      </c>
      <c r="I3678" t="s">
        <v>123</v>
      </c>
      <c r="J3678">
        <v>464.97</v>
      </c>
      <c r="K3678">
        <v>3</v>
      </c>
      <c r="L3678">
        <v>0</v>
      </c>
      <c r="M3678">
        <v>209.23650000000001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19</v>
      </c>
      <c r="I3679" t="s">
        <v>33</v>
      </c>
      <c r="J3679">
        <v>181.96</v>
      </c>
      <c r="K3679">
        <v>2</v>
      </c>
      <c r="L3679">
        <v>0</v>
      </c>
      <c r="M3679">
        <v>20.015599999999999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27</v>
      </c>
      <c r="J3680">
        <v>12.39</v>
      </c>
      <c r="K3680">
        <v>3</v>
      </c>
      <c r="L3680">
        <v>0</v>
      </c>
      <c r="M3680">
        <v>5.6993999999999998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37</v>
      </c>
      <c r="J3681">
        <v>84.09</v>
      </c>
      <c r="K3681">
        <v>3</v>
      </c>
      <c r="L3681">
        <v>0</v>
      </c>
      <c r="M3681">
        <v>42.045000000000002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34</v>
      </c>
      <c r="J3682">
        <v>79.36</v>
      </c>
      <c r="K3682">
        <v>4</v>
      </c>
      <c r="L3682">
        <v>0</v>
      </c>
      <c r="M3682">
        <v>32.537599999999998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153.36000000000001</v>
      </c>
      <c r="K3683">
        <v>9</v>
      </c>
      <c r="L3683">
        <v>0</v>
      </c>
      <c r="M3683">
        <v>70.545599999999993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37</v>
      </c>
      <c r="J3684">
        <v>43.68</v>
      </c>
      <c r="K3684">
        <v>6</v>
      </c>
      <c r="L3684">
        <v>0</v>
      </c>
      <c r="M3684">
        <v>21.403199999999998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32</v>
      </c>
      <c r="J3685">
        <v>98.21</v>
      </c>
      <c r="K3685">
        <v>7</v>
      </c>
      <c r="L3685">
        <v>0</v>
      </c>
      <c r="M3685">
        <v>28.480899999999998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254</v>
      </c>
      <c r="E3686" t="s">
        <v>24</v>
      </c>
      <c r="F3686">
        <v>92503</v>
      </c>
      <c r="G3686" t="s">
        <v>25</v>
      </c>
      <c r="H3686" t="s">
        <v>26</v>
      </c>
      <c r="I3686" t="s">
        <v>34</v>
      </c>
      <c r="J3686">
        <v>9.84</v>
      </c>
      <c r="K3686">
        <v>3</v>
      </c>
      <c r="L3686">
        <v>0</v>
      </c>
      <c r="M3686">
        <v>3.2471999999999999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460</v>
      </c>
      <c r="E3687" t="s">
        <v>30</v>
      </c>
      <c r="F3687">
        <v>34952</v>
      </c>
      <c r="G3687" t="s">
        <v>18</v>
      </c>
      <c r="H3687" t="s">
        <v>26</v>
      </c>
      <c r="I3687" t="s">
        <v>37</v>
      </c>
      <c r="J3687">
        <v>2.694</v>
      </c>
      <c r="K3687">
        <v>2</v>
      </c>
      <c r="L3687">
        <v>0.7</v>
      </c>
      <c r="M3687">
        <v>-2.2450000000000001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41</v>
      </c>
      <c r="J3688">
        <v>25.344000000000001</v>
      </c>
      <c r="K3688">
        <v>6</v>
      </c>
      <c r="L3688">
        <v>0.2</v>
      </c>
      <c r="M3688">
        <v>7.92</v>
      </c>
    </row>
    <row r="3689" spans="1:13" x14ac:dyDescent="0.3">
      <c r="A3689" t="s">
        <v>13</v>
      </c>
      <c r="B3689" t="s">
        <v>14</v>
      </c>
      <c r="C3689" t="s">
        <v>15</v>
      </c>
      <c r="D3689" t="s">
        <v>206</v>
      </c>
      <c r="E3689" t="s">
        <v>81</v>
      </c>
      <c r="F3689">
        <v>85204</v>
      </c>
      <c r="G3689" t="s">
        <v>25</v>
      </c>
      <c r="H3689" t="s">
        <v>26</v>
      </c>
      <c r="I3689" t="s">
        <v>60</v>
      </c>
      <c r="J3689">
        <v>43.92</v>
      </c>
      <c r="K3689">
        <v>5</v>
      </c>
      <c r="L3689">
        <v>0.2</v>
      </c>
      <c r="M3689">
        <v>15.920999999999999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123</v>
      </c>
      <c r="J3690">
        <v>59.994</v>
      </c>
      <c r="K3690">
        <v>2</v>
      </c>
      <c r="L3690">
        <v>0.7</v>
      </c>
      <c r="M3690">
        <v>-45.995399999999997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162</v>
      </c>
      <c r="J3691">
        <v>439.99200000000002</v>
      </c>
      <c r="K3691">
        <v>1</v>
      </c>
      <c r="L3691">
        <v>0.2</v>
      </c>
      <c r="M3691">
        <v>164.99700000000001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36</v>
      </c>
      <c r="J3692">
        <v>87.96</v>
      </c>
      <c r="K3692">
        <v>5</v>
      </c>
      <c r="L3692">
        <v>0.2</v>
      </c>
      <c r="M3692">
        <v>30.786000000000001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19</v>
      </c>
      <c r="I3693" t="s">
        <v>33</v>
      </c>
      <c r="J3693">
        <v>15.488</v>
      </c>
      <c r="K3693">
        <v>4</v>
      </c>
      <c r="L3693">
        <v>0.2</v>
      </c>
      <c r="M3693">
        <v>3.6783999999999999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37</v>
      </c>
      <c r="J3694">
        <v>232.96</v>
      </c>
      <c r="K3694">
        <v>7</v>
      </c>
      <c r="L3694">
        <v>0</v>
      </c>
      <c r="M3694">
        <v>116.48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60</v>
      </c>
      <c r="J3695">
        <v>66.540000000000006</v>
      </c>
      <c r="K3695">
        <v>6</v>
      </c>
      <c r="L3695">
        <v>0</v>
      </c>
      <c r="M3695">
        <v>32.604599999999998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38</v>
      </c>
      <c r="J3696">
        <v>43.26</v>
      </c>
      <c r="K3696">
        <v>3</v>
      </c>
      <c r="L3696">
        <v>0</v>
      </c>
      <c r="M3696">
        <v>14.2758</v>
      </c>
    </row>
    <row r="3697" spans="1:13" x14ac:dyDescent="0.3">
      <c r="A3697" t="s">
        <v>13</v>
      </c>
      <c r="B3697" t="s">
        <v>44</v>
      </c>
      <c r="C3697" t="s">
        <v>15</v>
      </c>
      <c r="D3697" t="s">
        <v>42</v>
      </c>
      <c r="E3697" t="s">
        <v>43</v>
      </c>
      <c r="F3697">
        <v>98115</v>
      </c>
      <c r="G3697" t="s">
        <v>25</v>
      </c>
      <c r="H3697" t="s">
        <v>19</v>
      </c>
      <c r="I3697" t="s">
        <v>33</v>
      </c>
      <c r="J3697">
        <v>141.96</v>
      </c>
      <c r="K3697">
        <v>2</v>
      </c>
      <c r="L3697">
        <v>0</v>
      </c>
      <c r="M3697">
        <v>22.7136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313</v>
      </c>
      <c r="E3698" t="s">
        <v>81</v>
      </c>
      <c r="F3698">
        <v>85281</v>
      </c>
      <c r="G3698" t="s">
        <v>25</v>
      </c>
      <c r="H3698" t="s">
        <v>26</v>
      </c>
      <c r="I3698" t="s">
        <v>32</v>
      </c>
      <c r="J3698">
        <v>79.400000000000006</v>
      </c>
      <c r="K3698">
        <v>5</v>
      </c>
      <c r="L3698">
        <v>0.2</v>
      </c>
      <c r="M3698">
        <v>5.9550000000000001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266</v>
      </c>
      <c r="E3699" t="s">
        <v>76</v>
      </c>
      <c r="F3699">
        <v>10701</v>
      </c>
      <c r="G3699" t="s">
        <v>57</v>
      </c>
      <c r="H3699" t="s">
        <v>35</v>
      </c>
      <c r="I3699" t="s">
        <v>59</v>
      </c>
      <c r="J3699">
        <v>163.96</v>
      </c>
      <c r="K3699">
        <v>4</v>
      </c>
      <c r="L3699">
        <v>0</v>
      </c>
      <c r="M3699">
        <v>70.502799999999993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92</v>
      </c>
      <c r="E3700" t="s">
        <v>76</v>
      </c>
      <c r="F3700">
        <v>14609</v>
      </c>
      <c r="G3700" t="s">
        <v>57</v>
      </c>
      <c r="H3700" t="s">
        <v>19</v>
      </c>
      <c r="I3700" t="s">
        <v>33</v>
      </c>
      <c r="J3700">
        <v>37.93</v>
      </c>
      <c r="K3700">
        <v>1</v>
      </c>
      <c r="L3700">
        <v>0</v>
      </c>
      <c r="M3700">
        <v>6.8273999999999999</v>
      </c>
    </row>
    <row r="3701" spans="1:13" x14ac:dyDescent="0.3">
      <c r="A3701" t="s">
        <v>13</v>
      </c>
      <c r="B3701" t="s">
        <v>22</v>
      </c>
      <c r="C3701" t="s">
        <v>15</v>
      </c>
      <c r="D3701" t="s">
        <v>252</v>
      </c>
      <c r="E3701" t="s">
        <v>104</v>
      </c>
      <c r="F3701">
        <v>43615</v>
      </c>
      <c r="G3701" t="s">
        <v>57</v>
      </c>
      <c r="H3701" t="s">
        <v>19</v>
      </c>
      <c r="I3701" t="s">
        <v>33</v>
      </c>
      <c r="J3701">
        <v>15.167999999999999</v>
      </c>
      <c r="K3701">
        <v>2</v>
      </c>
      <c r="L3701">
        <v>0.2</v>
      </c>
      <c r="M3701">
        <v>3.7919999999999998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34</v>
      </c>
      <c r="J3702">
        <v>24.78</v>
      </c>
      <c r="K3702">
        <v>6</v>
      </c>
      <c r="L3702">
        <v>0</v>
      </c>
      <c r="M3702">
        <v>6.9383999999999997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26</v>
      </c>
      <c r="I3703" t="s">
        <v>37</v>
      </c>
      <c r="J3703">
        <v>19.14</v>
      </c>
      <c r="K3703">
        <v>3</v>
      </c>
      <c r="L3703">
        <v>0</v>
      </c>
      <c r="M3703">
        <v>8.8043999999999993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35</v>
      </c>
      <c r="I3704" t="s">
        <v>162</v>
      </c>
      <c r="J3704">
        <v>899.97</v>
      </c>
      <c r="K3704">
        <v>3</v>
      </c>
      <c r="L3704">
        <v>0</v>
      </c>
      <c r="M3704">
        <v>314.98950000000002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41</v>
      </c>
      <c r="J3705">
        <v>32.4</v>
      </c>
      <c r="K3705">
        <v>5</v>
      </c>
      <c r="L3705">
        <v>0</v>
      </c>
      <c r="M3705">
        <v>15.552</v>
      </c>
    </row>
    <row r="3706" spans="1:13" x14ac:dyDescent="0.3">
      <c r="A3706" t="s">
        <v>28</v>
      </c>
      <c r="B3706" t="s">
        <v>14</v>
      </c>
      <c r="C3706" t="s">
        <v>15</v>
      </c>
      <c r="D3706" t="s">
        <v>135</v>
      </c>
      <c r="E3706" t="s">
        <v>46</v>
      </c>
      <c r="F3706">
        <v>75220</v>
      </c>
      <c r="G3706" t="s">
        <v>47</v>
      </c>
      <c r="H3706" t="s">
        <v>26</v>
      </c>
      <c r="I3706" t="s">
        <v>34</v>
      </c>
      <c r="J3706">
        <v>23.832000000000001</v>
      </c>
      <c r="K3706">
        <v>3</v>
      </c>
      <c r="L3706">
        <v>0.2</v>
      </c>
      <c r="M3706">
        <v>6.5537999999999998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19</v>
      </c>
      <c r="I3707" t="s">
        <v>33</v>
      </c>
      <c r="J3707">
        <v>6.3680000000000003</v>
      </c>
      <c r="K3707">
        <v>2</v>
      </c>
      <c r="L3707">
        <v>0.6</v>
      </c>
      <c r="M3707">
        <v>-2.5472000000000001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26</v>
      </c>
      <c r="I3708" t="s">
        <v>38</v>
      </c>
      <c r="J3708">
        <v>34.176000000000002</v>
      </c>
      <c r="K3708">
        <v>3</v>
      </c>
      <c r="L3708">
        <v>0.8</v>
      </c>
      <c r="M3708">
        <v>-87.148799999999994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35</v>
      </c>
      <c r="I3709" t="s">
        <v>59</v>
      </c>
      <c r="J3709">
        <v>5.5439999999999996</v>
      </c>
      <c r="K3709">
        <v>7</v>
      </c>
      <c r="L3709">
        <v>0.2</v>
      </c>
      <c r="M3709">
        <v>1.6632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19</v>
      </c>
      <c r="I3710" t="s">
        <v>31</v>
      </c>
      <c r="J3710">
        <v>510.24</v>
      </c>
      <c r="K3710">
        <v>3</v>
      </c>
      <c r="L3710">
        <v>0.2</v>
      </c>
      <c r="M3710">
        <v>6.3780000000000001</v>
      </c>
    </row>
    <row r="3711" spans="1:13" x14ac:dyDescent="0.3">
      <c r="A3711" t="s">
        <v>62</v>
      </c>
      <c r="B3711" t="s">
        <v>22</v>
      </c>
      <c r="C3711" t="s">
        <v>15</v>
      </c>
      <c r="D3711" t="s">
        <v>23</v>
      </c>
      <c r="E3711" t="s">
        <v>24</v>
      </c>
      <c r="F3711">
        <v>90045</v>
      </c>
      <c r="G3711" t="s">
        <v>25</v>
      </c>
      <c r="H3711" t="s">
        <v>26</v>
      </c>
      <c r="I3711" t="s">
        <v>41</v>
      </c>
      <c r="J3711">
        <v>204.95</v>
      </c>
      <c r="K3711">
        <v>5</v>
      </c>
      <c r="L3711">
        <v>0</v>
      </c>
      <c r="M3711">
        <v>100.4255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35</v>
      </c>
      <c r="I3712" t="s">
        <v>59</v>
      </c>
      <c r="J3712">
        <v>11.54</v>
      </c>
      <c r="K3712">
        <v>1</v>
      </c>
      <c r="L3712">
        <v>0</v>
      </c>
      <c r="M3712">
        <v>3.4620000000000002</v>
      </c>
    </row>
    <row r="3713" spans="1:13" x14ac:dyDescent="0.3">
      <c r="A3713" t="s">
        <v>62</v>
      </c>
      <c r="B3713" t="s">
        <v>14</v>
      </c>
      <c r="C3713" t="s">
        <v>15</v>
      </c>
      <c r="D3713" t="s">
        <v>42</v>
      </c>
      <c r="E3713" t="s">
        <v>43</v>
      </c>
      <c r="F3713">
        <v>98103</v>
      </c>
      <c r="G3713" t="s">
        <v>25</v>
      </c>
      <c r="H3713" t="s">
        <v>19</v>
      </c>
      <c r="I3713" t="s">
        <v>33</v>
      </c>
      <c r="J3713">
        <v>162.6</v>
      </c>
      <c r="K3713">
        <v>3</v>
      </c>
      <c r="L3713">
        <v>0</v>
      </c>
      <c r="M3713">
        <v>34.146000000000001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26</v>
      </c>
      <c r="I3714" t="s">
        <v>41</v>
      </c>
      <c r="J3714">
        <v>45.68</v>
      </c>
      <c r="K3714">
        <v>2</v>
      </c>
      <c r="L3714">
        <v>0</v>
      </c>
      <c r="M3714">
        <v>21.012799999999999</v>
      </c>
    </row>
    <row r="3715" spans="1:13" x14ac:dyDescent="0.3">
      <c r="A3715" t="s">
        <v>13</v>
      </c>
      <c r="B3715" t="s">
        <v>14</v>
      </c>
      <c r="C3715" t="s">
        <v>15</v>
      </c>
      <c r="D3715" t="s">
        <v>260</v>
      </c>
      <c r="E3715" t="s">
        <v>43</v>
      </c>
      <c r="F3715">
        <v>98502</v>
      </c>
      <c r="G3715" t="s">
        <v>25</v>
      </c>
      <c r="H3715" t="s">
        <v>19</v>
      </c>
      <c r="I3715" t="s">
        <v>21</v>
      </c>
      <c r="J3715">
        <v>603.91999999999996</v>
      </c>
      <c r="K3715">
        <v>5</v>
      </c>
      <c r="L3715">
        <v>0.2</v>
      </c>
      <c r="M3715">
        <v>45.293999999999997</v>
      </c>
    </row>
    <row r="3716" spans="1:13" x14ac:dyDescent="0.3">
      <c r="A3716" t="s">
        <v>28</v>
      </c>
      <c r="B3716" t="s">
        <v>44</v>
      </c>
      <c r="C3716" t="s">
        <v>15</v>
      </c>
      <c r="D3716" t="s">
        <v>238</v>
      </c>
      <c r="E3716" t="s">
        <v>54</v>
      </c>
      <c r="F3716">
        <v>68104</v>
      </c>
      <c r="G3716" t="s">
        <v>47</v>
      </c>
      <c r="H3716" t="s">
        <v>26</v>
      </c>
      <c r="I3716" t="s">
        <v>77</v>
      </c>
      <c r="J3716">
        <v>23.55</v>
      </c>
      <c r="K3716">
        <v>5</v>
      </c>
      <c r="L3716">
        <v>0</v>
      </c>
      <c r="M3716">
        <v>1.1775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26</v>
      </c>
      <c r="I3717" t="s">
        <v>110</v>
      </c>
      <c r="J3717">
        <v>5.04</v>
      </c>
      <c r="K3717">
        <v>2</v>
      </c>
      <c r="L3717">
        <v>0</v>
      </c>
      <c r="M3717">
        <v>0.1512</v>
      </c>
    </row>
    <row r="3718" spans="1:13" x14ac:dyDescent="0.3">
      <c r="A3718" t="s">
        <v>28</v>
      </c>
      <c r="B3718" t="s">
        <v>14</v>
      </c>
      <c r="C3718" t="s">
        <v>15</v>
      </c>
      <c r="D3718" t="s">
        <v>103</v>
      </c>
      <c r="E3718" t="s">
        <v>167</v>
      </c>
      <c r="F3718">
        <v>31907</v>
      </c>
      <c r="G3718" t="s">
        <v>18</v>
      </c>
      <c r="H3718" t="s">
        <v>35</v>
      </c>
      <c r="I3718" t="s">
        <v>59</v>
      </c>
      <c r="J3718">
        <v>249.95</v>
      </c>
      <c r="K3718">
        <v>5</v>
      </c>
      <c r="L3718">
        <v>0</v>
      </c>
      <c r="M3718">
        <v>107.4785</v>
      </c>
    </row>
    <row r="3719" spans="1:13" x14ac:dyDescent="0.3">
      <c r="A3719" t="s">
        <v>28</v>
      </c>
      <c r="B3719" t="s">
        <v>22</v>
      </c>
      <c r="C3719" t="s">
        <v>15</v>
      </c>
      <c r="D3719" t="s">
        <v>103</v>
      </c>
      <c r="E3719" t="s">
        <v>74</v>
      </c>
      <c r="F3719">
        <v>47201</v>
      </c>
      <c r="G3719" t="s">
        <v>47</v>
      </c>
      <c r="H3719" t="s">
        <v>26</v>
      </c>
      <c r="I3719" t="s">
        <v>34</v>
      </c>
      <c r="J3719">
        <v>33.4</v>
      </c>
      <c r="K3719">
        <v>5</v>
      </c>
      <c r="L3719">
        <v>0</v>
      </c>
      <c r="M3719">
        <v>12.358000000000001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19</v>
      </c>
      <c r="I3720" t="s">
        <v>33</v>
      </c>
      <c r="J3720">
        <v>18.920000000000002</v>
      </c>
      <c r="K3720">
        <v>4</v>
      </c>
      <c r="L3720">
        <v>0</v>
      </c>
      <c r="M3720">
        <v>7.3788</v>
      </c>
    </row>
    <row r="3721" spans="1:13" x14ac:dyDescent="0.3">
      <c r="A3721" t="s">
        <v>28</v>
      </c>
      <c r="B3721" t="s">
        <v>44</v>
      </c>
      <c r="C3721" t="s">
        <v>15</v>
      </c>
      <c r="D3721" t="s">
        <v>84</v>
      </c>
      <c r="E3721" t="s">
        <v>185</v>
      </c>
      <c r="F3721">
        <v>39212</v>
      </c>
      <c r="G3721" t="s">
        <v>18</v>
      </c>
      <c r="H3721" t="s">
        <v>26</v>
      </c>
      <c r="I3721" t="s">
        <v>37</v>
      </c>
      <c r="J3721">
        <v>15.42</v>
      </c>
      <c r="K3721">
        <v>2</v>
      </c>
      <c r="L3721">
        <v>0</v>
      </c>
      <c r="M3721">
        <v>6.9390000000000001</v>
      </c>
    </row>
    <row r="3722" spans="1:13" x14ac:dyDescent="0.3">
      <c r="A3722" t="s">
        <v>28</v>
      </c>
      <c r="B3722" t="s">
        <v>14</v>
      </c>
      <c r="C3722" t="s">
        <v>15</v>
      </c>
      <c r="D3722" t="s">
        <v>61</v>
      </c>
      <c r="E3722" t="s">
        <v>46</v>
      </c>
      <c r="F3722">
        <v>77070</v>
      </c>
      <c r="G3722" t="s">
        <v>47</v>
      </c>
      <c r="H3722" t="s">
        <v>26</v>
      </c>
      <c r="I3722" t="s">
        <v>34</v>
      </c>
      <c r="J3722">
        <v>35.712000000000003</v>
      </c>
      <c r="K3722">
        <v>8</v>
      </c>
      <c r="L3722">
        <v>0.2</v>
      </c>
      <c r="M3722">
        <v>2.2320000000000002</v>
      </c>
    </row>
    <row r="3723" spans="1:13" x14ac:dyDescent="0.3">
      <c r="A3723" t="s">
        <v>28</v>
      </c>
      <c r="B3723" t="s">
        <v>22</v>
      </c>
      <c r="C3723" t="s">
        <v>15</v>
      </c>
      <c r="D3723" t="s">
        <v>108</v>
      </c>
      <c r="E3723" t="s">
        <v>81</v>
      </c>
      <c r="F3723">
        <v>85023</v>
      </c>
      <c r="G3723" t="s">
        <v>25</v>
      </c>
      <c r="H3723" t="s">
        <v>26</v>
      </c>
      <c r="I3723" t="s">
        <v>37</v>
      </c>
      <c r="J3723">
        <v>551.98500000000001</v>
      </c>
      <c r="K3723">
        <v>5</v>
      </c>
      <c r="L3723">
        <v>0.7</v>
      </c>
      <c r="M3723">
        <v>-459.98750000000001</v>
      </c>
    </row>
    <row r="3724" spans="1:13" x14ac:dyDescent="0.3">
      <c r="A3724" t="s">
        <v>62</v>
      </c>
      <c r="B3724" t="s">
        <v>14</v>
      </c>
      <c r="C3724" t="s">
        <v>15</v>
      </c>
      <c r="D3724" t="s">
        <v>79</v>
      </c>
      <c r="E3724" t="s">
        <v>65</v>
      </c>
      <c r="F3724">
        <v>60653</v>
      </c>
      <c r="G3724" t="s">
        <v>47</v>
      </c>
      <c r="H3724" t="s">
        <v>26</v>
      </c>
      <c r="I3724" t="s">
        <v>34</v>
      </c>
      <c r="J3724">
        <v>7.056</v>
      </c>
      <c r="K3724">
        <v>3</v>
      </c>
      <c r="L3724">
        <v>0.2</v>
      </c>
      <c r="M3724">
        <v>2.2050000000000001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134</v>
      </c>
      <c r="E3725" t="s">
        <v>98</v>
      </c>
      <c r="F3725">
        <v>80219</v>
      </c>
      <c r="G3725" t="s">
        <v>25</v>
      </c>
      <c r="H3725" t="s">
        <v>26</v>
      </c>
      <c r="I3725" t="s">
        <v>38</v>
      </c>
      <c r="J3725">
        <v>18.72</v>
      </c>
      <c r="K3725">
        <v>2</v>
      </c>
      <c r="L3725">
        <v>0.2</v>
      </c>
      <c r="M3725">
        <v>3.51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32</v>
      </c>
      <c r="J3726">
        <v>360.38</v>
      </c>
      <c r="K3726">
        <v>2</v>
      </c>
      <c r="L3726">
        <v>0</v>
      </c>
      <c r="M3726">
        <v>93.698800000000006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34</v>
      </c>
      <c r="J3727">
        <v>11.16</v>
      </c>
      <c r="K3727">
        <v>2</v>
      </c>
      <c r="L3727">
        <v>0</v>
      </c>
      <c r="M3727">
        <v>2.79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27</v>
      </c>
      <c r="J3728">
        <v>14.94</v>
      </c>
      <c r="K3728">
        <v>3</v>
      </c>
      <c r="L3728">
        <v>0</v>
      </c>
      <c r="M3728">
        <v>6.8723999999999998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41.96</v>
      </c>
      <c r="K3729">
        <v>2</v>
      </c>
      <c r="L3729">
        <v>0</v>
      </c>
      <c r="M3729">
        <v>7.9724000000000004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26</v>
      </c>
      <c r="I3730" t="s">
        <v>32</v>
      </c>
      <c r="J3730">
        <v>636.86</v>
      </c>
      <c r="K3730">
        <v>7</v>
      </c>
      <c r="L3730">
        <v>0</v>
      </c>
      <c r="M3730">
        <v>0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499.99</v>
      </c>
      <c r="K3731">
        <v>1</v>
      </c>
      <c r="L3731">
        <v>0</v>
      </c>
      <c r="M3731">
        <v>129.9974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35</v>
      </c>
      <c r="I3732" t="s">
        <v>36</v>
      </c>
      <c r="J3732">
        <v>1259.93</v>
      </c>
      <c r="K3732">
        <v>7</v>
      </c>
      <c r="L3732">
        <v>0</v>
      </c>
      <c r="M3732">
        <v>327.58179999999999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26</v>
      </c>
      <c r="I3733" t="s">
        <v>37</v>
      </c>
      <c r="J3733">
        <v>65.08</v>
      </c>
      <c r="K3733">
        <v>4</v>
      </c>
      <c r="L3733">
        <v>0</v>
      </c>
      <c r="M3733">
        <v>31.889199999999999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26</v>
      </c>
      <c r="I3734" t="s">
        <v>41</v>
      </c>
      <c r="J3734">
        <v>26.38</v>
      </c>
      <c r="K3734">
        <v>1</v>
      </c>
      <c r="L3734">
        <v>0</v>
      </c>
      <c r="M3734">
        <v>12.1348</v>
      </c>
    </row>
    <row r="3735" spans="1:13" x14ac:dyDescent="0.3">
      <c r="A3735" t="s">
        <v>13</v>
      </c>
      <c r="B3735" t="s">
        <v>14</v>
      </c>
      <c r="C3735" t="s">
        <v>15</v>
      </c>
      <c r="D3735" t="s">
        <v>75</v>
      </c>
      <c r="E3735" t="s">
        <v>76</v>
      </c>
      <c r="F3735">
        <v>10011</v>
      </c>
      <c r="G3735" t="s">
        <v>57</v>
      </c>
      <c r="H3735" t="s">
        <v>19</v>
      </c>
      <c r="I3735" t="s">
        <v>33</v>
      </c>
      <c r="J3735">
        <v>71.97</v>
      </c>
      <c r="K3735">
        <v>3</v>
      </c>
      <c r="L3735">
        <v>0</v>
      </c>
      <c r="M3735">
        <v>16.553100000000001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35</v>
      </c>
      <c r="I3736" t="s">
        <v>36</v>
      </c>
      <c r="J3736">
        <v>129.97999999999999</v>
      </c>
      <c r="K3736">
        <v>2</v>
      </c>
      <c r="L3736">
        <v>0</v>
      </c>
      <c r="M3736">
        <v>62.3904</v>
      </c>
    </row>
    <row r="3737" spans="1:13" x14ac:dyDescent="0.3">
      <c r="A3737" t="s">
        <v>168</v>
      </c>
      <c r="B3737" t="s">
        <v>14</v>
      </c>
      <c r="C3737" t="s">
        <v>15</v>
      </c>
      <c r="D3737" t="s">
        <v>114</v>
      </c>
      <c r="E3737" t="s">
        <v>72</v>
      </c>
      <c r="F3737">
        <v>19711</v>
      </c>
      <c r="G3737" t="s">
        <v>57</v>
      </c>
      <c r="H3737" t="s">
        <v>26</v>
      </c>
      <c r="I3737" t="s">
        <v>37</v>
      </c>
      <c r="J3737">
        <v>32.54</v>
      </c>
      <c r="K3737">
        <v>2</v>
      </c>
      <c r="L3737">
        <v>0</v>
      </c>
      <c r="M3737">
        <v>15.944599999999999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36</v>
      </c>
      <c r="J3738">
        <v>10.9</v>
      </c>
      <c r="K3738">
        <v>1</v>
      </c>
      <c r="L3738">
        <v>0</v>
      </c>
      <c r="M3738">
        <v>3.052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35</v>
      </c>
      <c r="I3739" t="s">
        <v>59</v>
      </c>
      <c r="J3739">
        <v>59.98</v>
      </c>
      <c r="K3739">
        <v>2</v>
      </c>
      <c r="L3739">
        <v>0</v>
      </c>
      <c r="M3739">
        <v>25.191600000000001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26</v>
      </c>
      <c r="I3740" t="s">
        <v>38</v>
      </c>
      <c r="J3740">
        <v>61.929000000000002</v>
      </c>
      <c r="K3740">
        <v>1</v>
      </c>
      <c r="L3740">
        <v>0.1</v>
      </c>
      <c r="M3740">
        <v>23.395399999999999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60</v>
      </c>
      <c r="J3741">
        <v>16.52</v>
      </c>
      <c r="K3741">
        <v>4</v>
      </c>
      <c r="L3741">
        <v>0</v>
      </c>
      <c r="M3741">
        <v>7.5991999999999997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41</v>
      </c>
      <c r="J3742">
        <v>60.12</v>
      </c>
      <c r="K3742">
        <v>9</v>
      </c>
      <c r="L3742">
        <v>0</v>
      </c>
      <c r="M3742">
        <v>28.857600000000001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37</v>
      </c>
      <c r="J3743">
        <v>49.536000000000001</v>
      </c>
      <c r="K3743">
        <v>3</v>
      </c>
      <c r="L3743">
        <v>0.2</v>
      </c>
      <c r="M3743">
        <v>17.337599999999998</v>
      </c>
    </row>
    <row r="3744" spans="1:13" x14ac:dyDescent="0.3">
      <c r="A3744" t="s">
        <v>168</v>
      </c>
      <c r="B3744" t="s">
        <v>14</v>
      </c>
      <c r="C3744" t="s">
        <v>15</v>
      </c>
      <c r="D3744" t="s">
        <v>461</v>
      </c>
      <c r="E3744" t="s">
        <v>91</v>
      </c>
      <c r="F3744">
        <v>29730</v>
      </c>
      <c r="G3744" t="s">
        <v>18</v>
      </c>
      <c r="H3744" t="s">
        <v>26</v>
      </c>
      <c r="I3744" t="s">
        <v>77</v>
      </c>
      <c r="J3744">
        <v>11.85</v>
      </c>
      <c r="K3744">
        <v>3</v>
      </c>
      <c r="L3744">
        <v>0</v>
      </c>
      <c r="M3744">
        <v>3.7919999999999998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26</v>
      </c>
      <c r="I3745" t="s">
        <v>32</v>
      </c>
      <c r="J3745">
        <v>118.25</v>
      </c>
      <c r="K3745">
        <v>5</v>
      </c>
      <c r="L3745">
        <v>0</v>
      </c>
      <c r="M3745">
        <v>34.292499999999997</v>
      </c>
    </row>
    <row r="3746" spans="1:13" x14ac:dyDescent="0.3">
      <c r="A3746" t="s">
        <v>13</v>
      </c>
      <c r="B3746" t="s">
        <v>14</v>
      </c>
      <c r="C3746" t="s">
        <v>15</v>
      </c>
      <c r="D3746" t="s">
        <v>103</v>
      </c>
      <c r="E3746" t="s">
        <v>167</v>
      </c>
      <c r="F3746">
        <v>31907</v>
      </c>
      <c r="G3746" t="s">
        <v>18</v>
      </c>
      <c r="H3746" t="s">
        <v>19</v>
      </c>
      <c r="I3746" t="s">
        <v>21</v>
      </c>
      <c r="J3746">
        <v>368.97</v>
      </c>
      <c r="K3746">
        <v>3</v>
      </c>
      <c r="L3746">
        <v>0</v>
      </c>
      <c r="M3746">
        <v>81.173400000000001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19</v>
      </c>
      <c r="I3747" t="s">
        <v>33</v>
      </c>
      <c r="J3747">
        <v>198.46</v>
      </c>
      <c r="K3747">
        <v>2</v>
      </c>
      <c r="L3747">
        <v>0</v>
      </c>
      <c r="M3747">
        <v>99.23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26</v>
      </c>
      <c r="I3748" t="s">
        <v>38</v>
      </c>
      <c r="J3748">
        <v>321.92</v>
      </c>
      <c r="K3748">
        <v>4</v>
      </c>
      <c r="L3748">
        <v>0</v>
      </c>
      <c r="M3748">
        <v>96.575999999999993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35</v>
      </c>
      <c r="I3749" t="s">
        <v>162</v>
      </c>
      <c r="J3749">
        <v>879.98400000000004</v>
      </c>
      <c r="K3749">
        <v>2</v>
      </c>
      <c r="L3749">
        <v>0.2</v>
      </c>
      <c r="M3749">
        <v>329.99400000000003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110</v>
      </c>
      <c r="J3750">
        <v>28.4</v>
      </c>
      <c r="K3750">
        <v>5</v>
      </c>
      <c r="L3750">
        <v>0</v>
      </c>
      <c r="M3750">
        <v>8.2360000000000007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19</v>
      </c>
      <c r="I3751" t="s">
        <v>21</v>
      </c>
      <c r="J3751">
        <v>230.28</v>
      </c>
      <c r="K3751">
        <v>3</v>
      </c>
      <c r="L3751">
        <v>0.2</v>
      </c>
      <c r="M3751">
        <v>23.027999999999999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41</v>
      </c>
      <c r="J3752">
        <v>116.28</v>
      </c>
      <c r="K3752">
        <v>3</v>
      </c>
      <c r="L3752">
        <v>0</v>
      </c>
      <c r="M3752">
        <v>56.977200000000003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37</v>
      </c>
      <c r="J3753">
        <v>841.56799999999998</v>
      </c>
      <c r="K3753">
        <v>2</v>
      </c>
      <c r="L3753">
        <v>0.2</v>
      </c>
      <c r="M3753">
        <v>294.54880000000003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32</v>
      </c>
      <c r="J3754">
        <v>354.9</v>
      </c>
      <c r="K3754">
        <v>5</v>
      </c>
      <c r="L3754">
        <v>0</v>
      </c>
      <c r="M3754">
        <v>17.745000000000001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26</v>
      </c>
      <c r="I3755" t="s">
        <v>41</v>
      </c>
      <c r="J3755">
        <v>42.783999999999999</v>
      </c>
      <c r="K3755">
        <v>7</v>
      </c>
      <c r="L3755">
        <v>0.2</v>
      </c>
      <c r="M3755">
        <v>15.5092</v>
      </c>
    </row>
    <row r="3756" spans="1:13" x14ac:dyDescent="0.3">
      <c r="A3756" t="s">
        <v>62</v>
      </c>
      <c r="B3756" t="s">
        <v>22</v>
      </c>
      <c r="C3756" t="s">
        <v>15</v>
      </c>
      <c r="D3756" t="s">
        <v>462</v>
      </c>
      <c r="E3756" t="s">
        <v>46</v>
      </c>
      <c r="F3756">
        <v>79762</v>
      </c>
      <c r="G3756" t="s">
        <v>47</v>
      </c>
      <c r="H3756" t="s">
        <v>19</v>
      </c>
      <c r="I3756" t="s">
        <v>21</v>
      </c>
      <c r="J3756">
        <v>563.42999999999995</v>
      </c>
      <c r="K3756">
        <v>5</v>
      </c>
      <c r="L3756">
        <v>0.3</v>
      </c>
      <c r="M3756">
        <v>-56.343000000000004</v>
      </c>
    </row>
    <row r="3757" spans="1:13" x14ac:dyDescent="0.3">
      <c r="A3757" t="s">
        <v>28</v>
      </c>
      <c r="B3757" t="s">
        <v>14</v>
      </c>
      <c r="C3757" t="s">
        <v>15</v>
      </c>
      <c r="D3757" t="s">
        <v>114</v>
      </c>
      <c r="E3757" t="s">
        <v>104</v>
      </c>
      <c r="F3757">
        <v>43055</v>
      </c>
      <c r="G3757" t="s">
        <v>57</v>
      </c>
      <c r="H3757" t="s">
        <v>26</v>
      </c>
      <c r="I3757" t="s">
        <v>34</v>
      </c>
      <c r="J3757">
        <v>111.104</v>
      </c>
      <c r="K3757">
        <v>7</v>
      </c>
      <c r="L3757">
        <v>0.2</v>
      </c>
      <c r="M3757">
        <v>8.3328000000000007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34</v>
      </c>
      <c r="J3758">
        <v>11.68</v>
      </c>
      <c r="K3758">
        <v>2</v>
      </c>
      <c r="L3758">
        <v>0</v>
      </c>
      <c r="M3758">
        <v>5.4896000000000003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26</v>
      </c>
      <c r="I3759" t="s">
        <v>110</v>
      </c>
      <c r="J3759">
        <v>16.899999999999999</v>
      </c>
      <c r="K3759">
        <v>2</v>
      </c>
      <c r="L3759">
        <v>0</v>
      </c>
      <c r="M3759">
        <v>5.07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19</v>
      </c>
      <c r="I3760" t="s">
        <v>33</v>
      </c>
      <c r="J3760">
        <v>24.4</v>
      </c>
      <c r="K3760">
        <v>2</v>
      </c>
      <c r="L3760">
        <v>0</v>
      </c>
      <c r="M3760">
        <v>10.247999999999999</v>
      </c>
    </row>
    <row r="3761" spans="1:13" x14ac:dyDescent="0.3">
      <c r="A3761" t="s">
        <v>28</v>
      </c>
      <c r="B3761" t="s">
        <v>14</v>
      </c>
      <c r="C3761" t="s">
        <v>15</v>
      </c>
      <c r="D3761" t="s">
        <v>316</v>
      </c>
      <c r="E3761" t="s">
        <v>166</v>
      </c>
      <c r="F3761">
        <v>2149</v>
      </c>
      <c r="G3761" t="s">
        <v>57</v>
      </c>
      <c r="H3761" t="s">
        <v>26</v>
      </c>
      <c r="I3761" t="s">
        <v>41</v>
      </c>
      <c r="J3761">
        <v>87.6</v>
      </c>
      <c r="K3761">
        <v>5</v>
      </c>
      <c r="L3761">
        <v>0</v>
      </c>
      <c r="M3761">
        <v>42.048000000000002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19</v>
      </c>
      <c r="I3762" t="s">
        <v>20</v>
      </c>
      <c r="J3762">
        <v>241.96</v>
      </c>
      <c r="K3762">
        <v>2</v>
      </c>
      <c r="L3762">
        <v>0</v>
      </c>
      <c r="M3762">
        <v>24.196000000000002</v>
      </c>
    </row>
    <row r="3763" spans="1:13" x14ac:dyDescent="0.3">
      <c r="A3763" t="s">
        <v>13</v>
      </c>
      <c r="B3763" t="s">
        <v>22</v>
      </c>
      <c r="C3763" t="s">
        <v>15</v>
      </c>
      <c r="D3763" t="s">
        <v>463</v>
      </c>
      <c r="E3763" t="s">
        <v>49</v>
      </c>
      <c r="F3763">
        <v>53214</v>
      </c>
      <c r="G3763" t="s">
        <v>47</v>
      </c>
      <c r="H3763" t="s">
        <v>26</v>
      </c>
      <c r="I3763" t="s">
        <v>37</v>
      </c>
      <c r="J3763">
        <v>8.52</v>
      </c>
      <c r="K3763">
        <v>3</v>
      </c>
      <c r="L3763">
        <v>0</v>
      </c>
      <c r="M3763">
        <v>4.1748000000000003</v>
      </c>
    </row>
    <row r="3764" spans="1:13" x14ac:dyDescent="0.3">
      <c r="A3764" t="s">
        <v>28</v>
      </c>
      <c r="B3764" t="s">
        <v>14</v>
      </c>
      <c r="C3764" t="s">
        <v>15</v>
      </c>
      <c r="D3764" t="s">
        <v>79</v>
      </c>
      <c r="E3764" t="s">
        <v>65</v>
      </c>
      <c r="F3764">
        <v>60623</v>
      </c>
      <c r="G3764" t="s">
        <v>47</v>
      </c>
      <c r="H3764" t="s">
        <v>26</v>
      </c>
      <c r="I3764" t="s">
        <v>37</v>
      </c>
      <c r="J3764">
        <v>1.788</v>
      </c>
      <c r="K3764">
        <v>3</v>
      </c>
      <c r="L3764">
        <v>0.8</v>
      </c>
      <c r="M3764">
        <v>-3.0396000000000001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19</v>
      </c>
      <c r="I3765" t="s">
        <v>31</v>
      </c>
      <c r="J3765">
        <v>99.372</v>
      </c>
      <c r="K3765">
        <v>2</v>
      </c>
      <c r="L3765">
        <v>0.3</v>
      </c>
      <c r="M3765">
        <v>-1.4196</v>
      </c>
    </row>
    <row r="3766" spans="1:13" x14ac:dyDescent="0.3">
      <c r="A3766" t="s">
        <v>28</v>
      </c>
      <c r="B3766" t="s">
        <v>22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26</v>
      </c>
      <c r="I3766" t="s">
        <v>34</v>
      </c>
      <c r="J3766">
        <v>1.3440000000000001</v>
      </c>
      <c r="K3766">
        <v>1</v>
      </c>
      <c r="L3766">
        <v>0.2</v>
      </c>
      <c r="M3766">
        <v>0.504</v>
      </c>
    </row>
    <row r="3767" spans="1:13" x14ac:dyDescent="0.3">
      <c r="A3767" t="s">
        <v>13</v>
      </c>
      <c r="B3767" t="s">
        <v>44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35</v>
      </c>
      <c r="I3767" t="s">
        <v>36</v>
      </c>
      <c r="J3767">
        <v>119.96</v>
      </c>
      <c r="K3767">
        <v>5</v>
      </c>
      <c r="L3767">
        <v>0.2</v>
      </c>
      <c r="M3767">
        <v>11.996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19</v>
      </c>
      <c r="I3768" t="s">
        <v>21</v>
      </c>
      <c r="J3768">
        <v>1013.832</v>
      </c>
      <c r="K3768">
        <v>9</v>
      </c>
      <c r="L3768">
        <v>0.2</v>
      </c>
      <c r="M3768">
        <v>101.3832</v>
      </c>
    </row>
    <row r="3769" spans="1:13" x14ac:dyDescent="0.3">
      <c r="A3769" t="s">
        <v>13</v>
      </c>
      <c r="B3769" t="s">
        <v>22</v>
      </c>
      <c r="C3769" t="s">
        <v>15</v>
      </c>
      <c r="D3769" t="s">
        <v>229</v>
      </c>
      <c r="E3769" t="s">
        <v>30</v>
      </c>
      <c r="F3769">
        <v>33012</v>
      </c>
      <c r="G3769" t="s">
        <v>18</v>
      </c>
      <c r="H3769" t="s">
        <v>26</v>
      </c>
      <c r="I3769" t="s">
        <v>77</v>
      </c>
      <c r="J3769">
        <v>1.984</v>
      </c>
      <c r="K3769">
        <v>2</v>
      </c>
      <c r="L3769">
        <v>0.2</v>
      </c>
      <c r="M3769">
        <v>0.66959999999999997</v>
      </c>
    </row>
    <row r="3770" spans="1:13" x14ac:dyDescent="0.3">
      <c r="A3770" t="s">
        <v>28</v>
      </c>
      <c r="B3770" t="s">
        <v>14</v>
      </c>
      <c r="C3770" t="s">
        <v>15</v>
      </c>
      <c r="D3770" t="s">
        <v>52</v>
      </c>
      <c r="E3770" t="s">
        <v>24</v>
      </c>
      <c r="F3770">
        <v>94122</v>
      </c>
      <c r="G3770" t="s">
        <v>25</v>
      </c>
      <c r="H3770" t="s">
        <v>19</v>
      </c>
      <c r="I3770" t="s">
        <v>31</v>
      </c>
      <c r="J3770">
        <v>2003.52</v>
      </c>
      <c r="K3770">
        <v>6</v>
      </c>
      <c r="L3770">
        <v>0.2</v>
      </c>
      <c r="M3770">
        <v>-325.572</v>
      </c>
    </row>
    <row r="3771" spans="1:13" x14ac:dyDescent="0.3">
      <c r="A3771" t="s">
        <v>28</v>
      </c>
      <c r="B3771" t="s">
        <v>22</v>
      </c>
      <c r="C3771" t="s">
        <v>15</v>
      </c>
      <c r="D3771" t="s">
        <v>55</v>
      </c>
      <c r="E3771" t="s">
        <v>56</v>
      </c>
      <c r="F3771">
        <v>19140</v>
      </c>
      <c r="G3771" t="s">
        <v>57</v>
      </c>
      <c r="H3771" t="s">
        <v>26</v>
      </c>
      <c r="I3771" t="s">
        <v>32</v>
      </c>
      <c r="J3771">
        <v>82.367999999999995</v>
      </c>
      <c r="K3771">
        <v>2</v>
      </c>
      <c r="L3771">
        <v>0.2</v>
      </c>
      <c r="M3771">
        <v>-19.5624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90</v>
      </c>
      <c r="E3772" t="s">
        <v>91</v>
      </c>
      <c r="F3772">
        <v>29203</v>
      </c>
      <c r="G3772" t="s">
        <v>18</v>
      </c>
      <c r="H3772" t="s">
        <v>35</v>
      </c>
      <c r="I3772" t="s">
        <v>59</v>
      </c>
      <c r="J3772">
        <v>62.91</v>
      </c>
      <c r="K3772">
        <v>3</v>
      </c>
      <c r="L3772">
        <v>0</v>
      </c>
      <c r="M3772">
        <v>22.647600000000001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26</v>
      </c>
      <c r="I3773" t="s">
        <v>77</v>
      </c>
      <c r="J3773">
        <v>6.9119999999999999</v>
      </c>
      <c r="K3773">
        <v>3</v>
      </c>
      <c r="L3773">
        <v>0.2</v>
      </c>
      <c r="M3773">
        <v>2.3328000000000002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35</v>
      </c>
      <c r="I3774" t="s">
        <v>59</v>
      </c>
      <c r="J3774">
        <v>383.976</v>
      </c>
      <c r="K3774">
        <v>3</v>
      </c>
      <c r="L3774">
        <v>0.2</v>
      </c>
      <c r="M3774">
        <v>81.594899999999996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41</v>
      </c>
      <c r="J3775">
        <v>10.368</v>
      </c>
      <c r="K3775">
        <v>2</v>
      </c>
      <c r="L3775">
        <v>0.2</v>
      </c>
      <c r="M3775">
        <v>3.6288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335.94400000000002</v>
      </c>
      <c r="K3776">
        <v>7</v>
      </c>
      <c r="L3776">
        <v>0.2</v>
      </c>
      <c r="M3776">
        <v>41.993000000000002</v>
      </c>
    </row>
    <row r="3777" spans="1:13" x14ac:dyDescent="0.3">
      <c r="A3777" t="s">
        <v>28</v>
      </c>
      <c r="B3777" t="s">
        <v>44</v>
      </c>
      <c r="C3777" t="s">
        <v>15</v>
      </c>
      <c r="D3777" t="s">
        <v>464</v>
      </c>
      <c r="E3777" t="s">
        <v>24</v>
      </c>
      <c r="F3777">
        <v>91911</v>
      </c>
      <c r="G3777" t="s">
        <v>25</v>
      </c>
      <c r="H3777" t="s">
        <v>19</v>
      </c>
      <c r="I3777" t="s">
        <v>33</v>
      </c>
      <c r="J3777">
        <v>665.88</v>
      </c>
      <c r="K3777">
        <v>6</v>
      </c>
      <c r="L3777">
        <v>0</v>
      </c>
      <c r="M3777">
        <v>106.5408</v>
      </c>
    </row>
    <row r="3778" spans="1:13" x14ac:dyDescent="0.3">
      <c r="A3778" t="s">
        <v>13</v>
      </c>
      <c r="B3778" t="s">
        <v>44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36</v>
      </c>
      <c r="J3778">
        <v>71.975999999999999</v>
      </c>
      <c r="K3778">
        <v>3</v>
      </c>
      <c r="L3778">
        <v>0.2</v>
      </c>
      <c r="M3778">
        <v>8.9969999999999999</v>
      </c>
    </row>
    <row r="3779" spans="1:13" x14ac:dyDescent="0.3">
      <c r="A3779" t="s">
        <v>28</v>
      </c>
      <c r="B3779" t="s">
        <v>14</v>
      </c>
      <c r="C3779" t="s">
        <v>15</v>
      </c>
      <c r="D3779" t="s">
        <v>75</v>
      </c>
      <c r="E3779" t="s">
        <v>76</v>
      </c>
      <c r="F3779">
        <v>10035</v>
      </c>
      <c r="G3779" t="s">
        <v>57</v>
      </c>
      <c r="H3779" t="s">
        <v>26</v>
      </c>
      <c r="I3779" t="s">
        <v>41</v>
      </c>
      <c r="J3779">
        <v>37.94</v>
      </c>
      <c r="K3779">
        <v>2</v>
      </c>
      <c r="L3779">
        <v>0</v>
      </c>
      <c r="M3779">
        <v>18.211200000000002</v>
      </c>
    </row>
    <row r="3780" spans="1:13" x14ac:dyDescent="0.3">
      <c r="A3780" t="s">
        <v>28</v>
      </c>
      <c r="B3780" t="s">
        <v>44</v>
      </c>
      <c r="C3780" t="s">
        <v>15</v>
      </c>
      <c r="D3780" t="s">
        <v>465</v>
      </c>
      <c r="E3780" t="s">
        <v>336</v>
      </c>
      <c r="F3780">
        <v>66502</v>
      </c>
      <c r="G3780" t="s">
        <v>47</v>
      </c>
      <c r="H3780" t="s">
        <v>35</v>
      </c>
      <c r="I3780" t="s">
        <v>36</v>
      </c>
      <c r="J3780">
        <v>273.95999999999998</v>
      </c>
      <c r="K3780">
        <v>2</v>
      </c>
      <c r="L3780">
        <v>0</v>
      </c>
      <c r="M3780">
        <v>10.958399999999999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55</v>
      </c>
      <c r="E3781" t="s">
        <v>56</v>
      </c>
      <c r="F3781">
        <v>19120</v>
      </c>
      <c r="G3781" t="s">
        <v>57</v>
      </c>
      <c r="H3781" t="s">
        <v>35</v>
      </c>
      <c r="I3781" t="s">
        <v>36</v>
      </c>
      <c r="J3781">
        <v>269.98200000000003</v>
      </c>
      <c r="K3781">
        <v>3</v>
      </c>
      <c r="L3781">
        <v>0.4</v>
      </c>
      <c r="M3781">
        <v>40.497300000000003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41</v>
      </c>
      <c r="J3782">
        <v>8.9039999999999999</v>
      </c>
      <c r="K3782">
        <v>3</v>
      </c>
      <c r="L3782">
        <v>0.2</v>
      </c>
      <c r="M3782">
        <v>3.339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85</v>
      </c>
      <c r="E3783" t="s">
        <v>86</v>
      </c>
      <c r="F3783">
        <v>38109</v>
      </c>
      <c r="G3783" t="s">
        <v>18</v>
      </c>
      <c r="H3783" t="s">
        <v>26</v>
      </c>
      <c r="I3783" t="s">
        <v>32</v>
      </c>
      <c r="J3783">
        <v>720.06399999999996</v>
      </c>
      <c r="K3783">
        <v>4</v>
      </c>
      <c r="L3783">
        <v>0.2</v>
      </c>
      <c r="M3783">
        <v>-63.005600000000001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29</v>
      </c>
      <c r="E3784" t="s">
        <v>30</v>
      </c>
      <c r="F3784">
        <v>33311</v>
      </c>
      <c r="G3784" t="s">
        <v>18</v>
      </c>
      <c r="H3784" t="s">
        <v>35</v>
      </c>
      <c r="I3784" t="s">
        <v>59</v>
      </c>
      <c r="J3784">
        <v>41.423999999999999</v>
      </c>
      <c r="K3784">
        <v>2</v>
      </c>
      <c r="L3784">
        <v>0.2</v>
      </c>
      <c r="M3784">
        <v>8.2848000000000006</v>
      </c>
    </row>
    <row r="3785" spans="1:13" x14ac:dyDescent="0.3">
      <c r="A3785" t="s">
        <v>28</v>
      </c>
      <c r="B3785" t="s">
        <v>44</v>
      </c>
      <c r="C3785" t="s">
        <v>15</v>
      </c>
      <c r="D3785" t="s">
        <v>103</v>
      </c>
      <c r="E3785" t="s">
        <v>104</v>
      </c>
      <c r="F3785">
        <v>43229</v>
      </c>
      <c r="G3785" t="s">
        <v>57</v>
      </c>
      <c r="H3785" t="s">
        <v>26</v>
      </c>
      <c r="I3785" t="s">
        <v>37</v>
      </c>
      <c r="J3785">
        <v>3.1320000000000001</v>
      </c>
      <c r="K3785">
        <v>2</v>
      </c>
      <c r="L3785">
        <v>0.7</v>
      </c>
      <c r="M3785">
        <v>-2.61</v>
      </c>
    </row>
 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c r="E3786" t="s">
        <v>24</v>
      </c>
      <c r="F3786">
        <v>90045</v>
      </c>
      <c r="G3786" t="s">
        <v>25</v>
      </c>
      <c r="H3786" t="s">
        <v>26</v>
      </c>
      <c r="I3786" t="s">
        <v>32</v>
      </c>
      <c r="J3786">
        <v>1085.42</v>
      </c>
      <c r="K3786">
        <v>7</v>
      </c>
      <c r="L3786">
        <v>0</v>
      </c>
      <c r="M3786">
        <v>282.20920000000001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3.9119999999999999</v>
      </c>
      <c r="K3787">
        <v>1</v>
      </c>
      <c r="L3787">
        <v>0.2</v>
      </c>
      <c r="M3787">
        <v>1.0268999999999999</v>
      </c>
    </row>
    <row r="3788" spans="1:13" x14ac:dyDescent="0.3">
      <c r="A3788" t="s">
        <v>28</v>
      </c>
      <c r="B3788" t="s">
        <v>14</v>
      </c>
      <c r="C3788" t="s">
        <v>15</v>
      </c>
      <c r="D3788" t="s">
        <v>61</v>
      </c>
      <c r="E3788" t="s">
        <v>46</v>
      </c>
      <c r="F3788">
        <v>77041</v>
      </c>
      <c r="G3788" t="s">
        <v>47</v>
      </c>
      <c r="H3788" t="s">
        <v>26</v>
      </c>
      <c r="I3788" t="s">
        <v>34</v>
      </c>
      <c r="J3788">
        <v>62.375999999999998</v>
      </c>
      <c r="K3788">
        <v>3</v>
      </c>
      <c r="L3788">
        <v>0.2</v>
      </c>
      <c r="M3788">
        <v>7.0172999999999996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238</v>
      </c>
      <c r="E3789" t="s">
        <v>54</v>
      </c>
      <c r="F3789">
        <v>68104</v>
      </c>
      <c r="G3789" t="s">
        <v>47</v>
      </c>
      <c r="H3789" t="s">
        <v>26</v>
      </c>
      <c r="I3789" t="s">
        <v>77</v>
      </c>
      <c r="J3789">
        <v>29.05</v>
      </c>
      <c r="K3789">
        <v>5</v>
      </c>
      <c r="L3789">
        <v>0</v>
      </c>
      <c r="M3789">
        <v>9.0054999999999996</v>
      </c>
    </row>
    <row r="3790" spans="1:13" x14ac:dyDescent="0.3">
      <c r="A3790" t="s">
        <v>28</v>
      </c>
      <c r="B3790" t="s">
        <v>44</v>
      </c>
      <c r="C3790" t="s">
        <v>15</v>
      </c>
      <c r="D3790" t="s">
        <v>23</v>
      </c>
      <c r="E3790" t="s">
        <v>24</v>
      </c>
      <c r="F3790">
        <v>90004</v>
      </c>
      <c r="G3790" t="s">
        <v>25</v>
      </c>
      <c r="H3790" t="s">
        <v>26</v>
      </c>
      <c r="I3790" t="s">
        <v>37</v>
      </c>
      <c r="J3790">
        <v>180.96</v>
      </c>
      <c r="K3790">
        <v>6</v>
      </c>
      <c r="L3790">
        <v>0.2</v>
      </c>
      <c r="M3790">
        <v>67.86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37</v>
      </c>
      <c r="J3791">
        <v>4.4189999999999996</v>
      </c>
      <c r="K3791">
        <v>3</v>
      </c>
      <c r="L3791">
        <v>0.7</v>
      </c>
      <c r="M3791">
        <v>-3.3879000000000001</v>
      </c>
    </row>
    <row r="3792" spans="1:13" x14ac:dyDescent="0.3">
      <c r="A3792" t="s">
        <v>62</v>
      </c>
      <c r="B3792" t="s">
        <v>22</v>
      </c>
      <c r="C3792" t="s">
        <v>15</v>
      </c>
      <c r="D3792" t="s">
        <v>466</v>
      </c>
      <c r="E3792" t="s">
        <v>56</v>
      </c>
      <c r="F3792">
        <v>16602</v>
      </c>
      <c r="G3792" t="s">
        <v>57</v>
      </c>
      <c r="H3792" t="s">
        <v>26</v>
      </c>
      <c r="I3792" t="s">
        <v>34</v>
      </c>
      <c r="J3792">
        <v>16.032</v>
      </c>
      <c r="K3792">
        <v>6</v>
      </c>
      <c r="L3792">
        <v>0.2</v>
      </c>
      <c r="M3792">
        <v>2.2044000000000001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75</v>
      </c>
      <c r="E3793" t="s">
        <v>76</v>
      </c>
      <c r="F3793">
        <v>10024</v>
      </c>
      <c r="G3793" t="s">
        <v>57</v>
      </c>
      <c r="H3793" t="s">
        <v>26</v>
      </c>
      <c r="I3793" t="s">
        <v>34</v>
      </c>
      <c r="J3793">
        <v>29.79</v>
      </c>
      <c r="K3793">
        <v>3</v>
      </c>
      <c r="L3793">
        <v>0</v>
      </c>
      <c r="M3793">
        <v>12.511799999999999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26</v>
      </c>
      <c r="I3794" t="s">
        <v>32</v>
      </c>
      <c r="J3794">
        <v>57.23</v>
      </c>
      <c r="K3794">
        <v>1</v>
      </c>
      <c r="L3794">
        <v>0</v>
      </c>
      <c r="M3794">
        <v>14.307499999999999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19</v>
      </c>
      <c r="I3795" t="s">
        <v>31</v>
      </c>
      <c r="J3795">
        <v>333</v>
      </c>
      <c r="K3795">
        <v>3</v>
      </c>
      <c r="L3795">
        <v>0.2</v>
      </c>
      <c r="M3795">
        <v>-16.649999999999999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34</v>
      </c>
      <c r="J3796">
        <v>36.44</v>
      </c>
      <c r="K3796">
        <v>4</v>
      </c>
      <c r="L3796">
        <v>0</v>
      </c>
      <c r="M3796">
        <v>12.0252</v>
      </c>
    </row>
    <row r="3797" spans="1:13" x14ac:dyDescent="0.3">
      <c r="A3797" t="s">
        <v>62</v>
      </c>
      <c r="B3797" t="s">
        <v>14</v>
      </c>
      <c r="C3797" t="s">
        <v>15</v>
      </c>
      <c r="D3797" t="s">
        <v>180</v>
      </c>
      <c r="E3797" t="s">
        <v>30</v>
      </c>
      <c r="F3797">
        <v>33178</v>
      </c>
      <c r="G3797" t="s">
        <v>18</v>
      </c>
      <c r="H3797" t="s">
        <v>26</v>
      </c>
      <c r="I3797" t="s">
        <v>41</v>
      </c>
      <c r="J3797">
        <v>251.64</v>
      </c>
      <c r="K3797">
        <v>3</v>
      </c>
      <c r="L3797">
        <v>0.2</v>
      </c>
      <c r="M3797">
        <v>88.073999999999998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19</v>
      </c>
      <c r="I3798" t="s">
        <v>31</v>
      </c>
      <c r="J3798">
        <v>523.76400000000001</v>
      </c>
      <c r="K3798">
        <v>3</v>
      </c>
      <c r="L3798">
        <v>0.4</v>
      </c>
      <c r="M3798">
        <v>-192.04679999999999</v>
      </c>
    </row>
    <row r="3799" spans="1:13" x14ac:dyDescent="0.3">
      <c r="A3799" t="s">
        <v>62</v>
      </c>
      <c r="B3799" t="s">
        <v>22</v>
      </c>
      <c r="C3799" t="s">
        <v>15</v>
      </c>
      <c r="D3799" t="s">
        <v>332</v>
      </c>
      <c r="E3799" t="s">
        <v>40</v>
      </c>
      <c r="F3799">
        <v>27405</v>
      </c>
      <c r="G3799" t="s">
        <v>18</v>
      </c>
      <c r="H3799" t="s">
        <v>35</v>
      </c>
      <c r="I3799" t="s">
        <v>36</v>
      </c>
      <c r="J3799">
        <v>1359.96</v>
      </c>
      <c r="K3799">
        <v>5</v>
      </c>
      <c r="L3799">
        <v>0.2</v>
      </c>
      <c r="M3799">
        <v>118.9965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19</v>
      </c>
      <c r="I3800" t="s">
        <v>21</v>
      </c>
      <c r="J3800">
        <v>102.592</v>
      </c>
      <c r="K3800">
        <v>1</v>
      </c>
      <c r="L3800">
        <v>0.2</v>
      </c>
      <c r="M3800">
        <v>10.2592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35</v>
      </c>
      <c r="I3801" t="s">
        <v>59</v>
      </c>
      <c r="J3801">
        <v>22.704000000000001</v>
      </c>
      <c r="K3801">
        <v>1</v>
      </c>
      <c r="L3801">
        <v>0.2</v>
      </c>
      <c r="M3801">
        <v>5.9598000000000004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41</v>
      </c>
      <c r="J3802">
        <v>93.024000000000001</v>
      </c>
      <c r="K3802">
        <v>3</v>
      </c>
      <c r="L3802">
        <v>0.2</v>
      </c>
      <c r="M3802">
        <v>33.721200000000003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110</v>
      </c>
      <c r="J3803">
        <v>12.768000000000001</v>
      </c>
      <c r="K3803">
        <v>2</v>
      </c>
      <c r="L3803">
        <v>0.2</v>
      </c>
      <c r="M3803">
        <v>1.4363999999999999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60</v>
      </c>
      <c r="J3804">
        <v>35.008000000000003</v>
      </c>
      <c r="K3804">
        <v>4</v>
      </c>
      <c r="L3804">
        <v>0.2</v>
      </c>
      <c r="M3804">
        <v>13.128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41</v>
      </c>
      <c r="J3805">
        <v>39.152000000000001</v>
      </c>
      <c r="K3805">
        <v>1</v>
      </c>
      <c r="L3805">
        <v>0.2</v>
      </c>
      <c r="M3805">
        <v>14.682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34</v>
      </c>
      <c r="J3806">
        <v>11.76</v>
      </c>
      <c r="K3806">
        <v>5</v>
      </c>
      <c r="L3806">
        <v>0.2</v>
      </c>
      <c r="M3806">
        <v>1.323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5.2380000000000004</v>
      </c>
      <c r="K3807">
        <v>2</v>
      </c>
      <c r="L3807">
        <v>0.7</v>
      </c>
      <c r="M3807">
        <v>-4.0157999999999996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37</v>
      </c>
      <c r="J3808">
        <v>4.6619999999999999</v>
      </c>
      <c r="K3808">
        <v>3</v>
      </c>
      <c r="L3808">
        <v>0.7</v>
      </c>
      <c r="M3808">
        <v>-3.7296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19</v>
      </c>
      <c r="I3809" t="s">
        <v>21</v>
      </c>
      <c r="J3809">
        <v>523.91999999999996</v>
      </c>
      <c r="K3809">
        <v>5</v>
      </c>
      <c r="L3809">
        <v>0.2</v>
      </c>
      <c r="M3809">
        <v>-72.039000000000001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35</v>
      </c>
      <c r="I3810" t="s">
        <v>36</v>
      </c>
      <c r="J3810">
        <v>100.792</v>
      </c>
      <c r="K3810">
        <v>1</v>
      </c>
      <c r="L3810">
        <v>0.2</v>
      </c>
      <c r="M3810">
        <v>10.0792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146.136</v>
      </c>
      <c r="K3811">
        <v>3</v>
      </c>
      <c r="L3811">
        <v>0.2</v>
      </c>
      <c r="M3811">
        <v>16.440300000000001</v>
      </c>
    </row>
    <row r="3812" spans="1:13" x14ac:dyDescent="0.3">
      <c r="A3812" t="s">
        <v>168</v>
      </c>
      <c r="B3812" t="s">
        <v>14</v>
      </c>
      <c r="C3812" t="s">
        <v>15</v>
      </c>
      <c r="D3812" t="s">
        <v>241</v>
      </c>
      <c r="E3812" t="s">
        <v>49</v>
      </c>
      <c r="F3812">
        <v>53209</v>
      </c>
      <c r="G3812" t="s">
        <v>47</v>
      </c>
      <c r="H3812" t="s">
        <v>26</v>
      </c>
      <c r="I3812" t="s">
        <v>27</v>
      </c>
      <c r="J3812">
        <v>25.06</v>
      </c>
      <c r="K3812">
        <v>2</v>
      </c>
      <c r="L3812">
        <v>0</v>
      </c>
      <c r="M3812">
        <v>11.7782</v>
      </c>
    </row>
    <row r="3813" spans="1:13" x14ac:dyDescent="0.3">
      <c r="A3813" t="s">
        <v>28</v>
      </c>
      <c r="B3813" t="s">
        <v>14</v>
      </c>
      <c r="C3813" t="s">
        <v>15</v>
      </c>
      <c r="D3813" t="s">
        <v>172</v>
      </c>
      <c r="E3813" t="s">
        <v>65</v>
      </c>
      <c r="F3813">
        <v>62301</v>
      </c>
      <c r="G3813" t="s">
        <v>47</v>
      </c>
      <c r="H3813" t="s">
        <v>26</v>
      </c>
      <c r="I3813" t="s">
        <v>27</v>
      </c>
      <c r="J3813">
        <v>19.824000000000002</v>
      </c>
      <c r="K3813">
        <v>6</v>
      </c>
      <c r="L3813">
        <v>0.2</v>
      </c>
      <c r="M3813">
        <v>6.4428000000000001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35</v>
      </c>
      <c r="I3814" t="s">
        <v>36</v>
      </c>
      <c r="J3814">
        <v>823.96</v>
      </c>
      <c r="K3814">
        <v>5</v>
      </c>
      <c r="L3814">
        <v>0.2</v>
      </c>
      <c r="M3814">
        <v>51.497500000000002</v>
      </c>
    </row>
    <row r="3815" spans="1:13" x14ac:dyDescent="0.3">
      <c r="A3815" t="s">
        <v>168</v>
      </c>
      <c r="B3815" t="s">
        <v>14</v>
      </c>
      <c r="C3815" t="s">
        <v>15</v>
      </c>
      <c r="D3815" t="s">
        <v>189</v>
      </c>
      <c r="E3815" t="s">
        <v>30</v>
      </c>
      <c r="F3815">
        <v>32216</v>
      </c>
      <c r="G3815" t="s">
        <v>18</v>
      </c>
      <c r="H3815" t="s">
        <v>26</v>
      </c>
      <c r="I3815" t="s">
        <v>41</v>
      </c>
      <c r="J3815">
        <v>15.984</v>
      </c>
      <c r="K3815">
        <v>2</v>
      </c>
      <c r="L3815">
        <v>0.2</v>
      </c>
      <c r="M3815">
        <v>4.9950000000000001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19</v>
      </c>
      <c r="I3816" t="s">
        <v>31</v>
      </c>
      <c r="J3816">
        <v>801.96</v>
      </c>
      <c r="K3816">
        <v>2</v>
      </c>
      <c r="L3816">
        <v>0</v>
      </c>
      <c r="M3816">
        <v>200.49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35</v>
      </c>
      <c r="I3817" t="s">
        <v>36</v>
      </c>
      <c r="J3817">
        <v>59.97</v>
      </c>
      <c r="K3817">
        <v>3</v>
      </c>
      <c r="L3817">
        <v>0</v>
      </c>
      <c r="M3817">
        <v>0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21</v>
      </c>
      <c r="J3818">
        <v>1056.8599999999999</v>
      </c>
      <c r="K3818">
        <v>7</v>
      </c>
      <c r="L3818">
        <v>0</v>
      </c>
      <c r="M3818">
        <v>306.48939999999999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26</v>
      </c>
      <c r="I3819" t="s">
        <v>37</v>
      </c>
      <c r="J3819">
        <v>12.816000000000001</v>
      </c>
      <c r="K3819">
        <v>3</v>
      </c>
      <c r="L3819">
        <v>0.2</v>
      </c>
      <c r="M3819">
        <v>4.3254000000000001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19</v>
      </c>
      <c r="I3820" t="s">
        <v>20</v>
      </c>
      <c r="J3820">
        <v>314.35199999999998</v>
      </c>
      <c r="K3820">
        <v>3</v>
      </c>
      <c r="L3820">
        <v>0.2</v>
      </c>
      <c r="M3820">
        <v>-15.717599999999999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41</v>
      </c>
      <c r="J3821">
        <v>18.98</v>
      </c>
      <c r="K3821">
        <v>2</v>
      </c>
      <c r="L3821">
        <v>0</v>
      </c>
      <c r="M3821">
        <v>8.9206000000000003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26</v>
      </c>
      <c r="I3822" t="s">
        <v>37</v>
      </c>
      <c r="J3822">
        <v>18.239999999999998</v>
      </c>
      <c r="K3822">
        <v>6</v>
      </c>
      <c r="L3822">
        <v>0.2</v>
      </c>
      <c r="M3822">
        <v>6.1559999999999997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26</v>
      </c>
      <c r="I3823" t="s">
        <v>32</v>
      </c>
      <c r="J3823">
        <v>991.2</v>
      </c>
      <c r="K3823">
        <v>6</v>
      </c>
      <c r="L3823">
        <v>0</v>
      </c>
      <c r="M3823">
        <v>257.71199999999999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35</v>
      </c>
      <c r="I3824" t="s">
        <v>162</v>
      </c>
      <c r="J3824">
        <v>879.98400000000004</v>
      </c>
      <c r="K3824">
        <v>2</v>
      </c>
      <c r="L3824">
        <v>0.2</v>
      </c>
      <c r="M3824">
        <v>329.99400000000003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37</v>
      </c>
      <c r="J3825">
        <v>12.96</v>
      </c>
      <c r="K3825">
        <v>9</v>
      </c>
      <c r="L3825">
        <v>0.2</v>
      </c>
      <c r="M3825">
        <v>4.5359999999999996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135</v>
      </c>
      <c r="E3826" t="s">
        <v>46</v>
      </c>
      <c r="F3826">
        <v>75217</v>
      </c>
      <c r="G3826" t="s">
        <v>47</v>
      </c>
      <c r="H3826" t="s">
        <v>26</v>
      </c>
      <c r="I3826" t="s">
        <v>32</v>
      </c>
      <c r="J3826">
        <v>107.44</v>
      </c>
      <c r="K3826">
        <v>10</v>
      </c>
      <c r="L3826">
        <v>0.2</v>
      </c>
      <c r="M3826">
        <v>10.744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1458.65</v>
      </c>
      <c r="K3827">
        <v>5</v>
      </c>
      <c r="L3827">
        <v>0</v>
      </c>
      <c r="M3827">
        <v>423.00850000000003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26.64</v>
      </c>
      <c r="K3828">
        <v>1</v>
      </c>
      <c r="L3828">
        <v>0</v>
      </c>
      <c r="M3828">
        <v>7.4592000000000001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476.8</v>
      </c>
      <c r="K3829">
        <v>2</v>
      </c>
      <c r="L3829">
        <v>0</v>
      </c>
      <c r="M3829">
        <v>119.2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26</v>
      </c>
      <c r="I3830" t="s">
        <v>38</v>
      </c>
      <c r="J3830">
        <v>87.444000000000003</v>
      </c>
      <c r="K3830">
        <v>2</v>
      </c>
      <c r="L3830">
        <v>0.1</v>
      </c>
      <c r="M3830">
        <v>18.4604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19</v>
      </c>
      <c r="I3831" t="s">
        <v>33</v>
      </c>
      <c r="J3831">
        <v>76.14</v>
      </c>
      <c r="K3831">
        <v>3</v>
      </c>
      <c r="L3831">
        <v>0</v>
      </c>
      <c r="M3831">
        <v>26.649000000000001</v>
      </c>
    </row>
    <row r="3832" spans="1:13" x14ac:dyDescent="0.3">
      <c r="A3832" t="s">
        <v>28</v>
      </c>
      <c r="B3832" t="s">
        <v>14</v>
      </c>
      <c r="C3832" t="s">
        <v>15</v>
      </c>
      <c r="D3832" t="s">
        <v>71</v>
      </c>
      <c r="E3832" t="s">
        <v>72</v>
      </c>
      <c r="F3832">
        <v>19901</v>
      </c>
      <c r="G3832" t="s">
        <v>57</v>
      </c>
      <c r="H3832" t="s">
        <v>26</v>
      </c>
      <c r="I3832" t="s">
        <v>37</v>
      </c>
      <c r="J3832">
        <v>19.96</v>
      </c>
      <c r="K3832">
        <v>2</v>
      </c>
      <c r="L3832">
        <v>0</v>
      </c>
      <c r="M3832">
        <v>9.3811999999999998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35</v>
      </c>
      <c r="I3833" t="s">
        <v>36</v>
      </c>
      <c r="J3833">
        <v>1049.97</v>
      </c>
      <c r="K3833">
        <v>5</v>
      </c>
      <c r="L3833">
        <v>0.4</v>
      </c>
      <c r="M3833">
        <v>-209.994</v>
      </c>
    </row>
    <row r="3834" spans="1:13" x14ac:dyDescent="0.3">
      <c r="A3834" t="s">
        <v>168</v>
      </c>
      <c r="B3834" t="s">
        <v>22</v>
      </c>
      <c r="C3834" t="s">
        <v>15</v>
      </c>
      <c r="D3834" t="s">
        <v>103</v>
      </c>
      <c r="E3834" t="s">
        <v>104</v>
      </c>
      <c r="F3834">
        <v>43229</v>
      </c>
      <c r="G3834" t="s">
        <v>57</v>
      </c>
      <c r="H3834" t="s">
        <v>19</v>
      </c>
      <c r="I3834" t="s">
        <v>21</v>
      </c>
      <c r="J3834">
        <v>611.05799999999999</v>
      </c>
      <c r="K3834">
        <v>3</v>
      </c>
      <c r="L3834">
        <v>0.3</v>
      </c>
      <c r="M3834">
        <v>-34.9176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77</v>
      </c>
      <c r="J3835">
        <v>2.3679999999999999</v>
      </c>
      <c r="K3835">
        <v>2</v>
      </c>
      <c r="L3835">
        <v>0.2</v>
      </c>
      <c r="M3835">
        <v>0.82879999999999998</v>
      </c>
    </row>
    <row r="3836" spans="1:13" x14ac:dyDescent="0.3">
      <c r="A3836" t="s">
        <v>28</v>
      </c>
      <c r="B3836" t="s">
        <v>22</v>
      </c>
      <c r="C3836" t="s">
        <v>15</v>
      </c>
      <c r="D3836" t="s">
        <v>305</v>
      </c>
      <c r="E3836" t="s">
        <v>81</v>
      </c>
      <c r="F3836">
        <v>85301</v>
      </c>
      <c r="G3836" t="s">
        <v>25</v>
      </c>
      <c r="H3836" t="s">
        <v>26</v>
      </c>
      <c r="I3836" t="s">
        <v>41</v>
      </c>
      <c r="J3836">
        <v>19.007999999999999</v>
      </c>
      <c r="K3836">
        <v>3</v>
      </c>
      <c r="L3836">
        <v>0.2</v>
      </c>
      <c r="M3836">
        <v>6.8903999999999996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35</v>
      </c>
      <c r="I3837" t="s">
        <v>36</v>
      </c>
      <c r="J3837">
        <v>911.98400000000004</v>
      </c>
      <c r="K3837">
        <v>2</v>
      </c>
      <c r="L3837">
        <v>0.2</v>
      </c>
      <c r="M3837">
        <v>113.998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21</v>
      </c>
      <c r="J3838">
        <v>674.35199999999998</v>
      </c>
      <c r="K3838">
        <v>3</v>
      </c>
      <c r="L3838">
        <v>0.2</v>
      </c>
      <c r="M3838">
        <v>-109.5822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19</v>
      </c>
      <c r="I3839" t="s">
        <v>33</v>
      </c>
      <c r="J3839">
        <v>134.01</v>
      </c>
      <c r="K3839">
        <v>9</v>
      </c>
      <c r="L3839">
        <v>0</v>
      </c>
      <c r="M3839">
        <v>36.182699999999997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35</v>
      </c>
      <c r="I3840" t="s">
        <v>59</v>
      </c>
      <c r="J3840">
        <v>170.97</v>
      </c>
      <c r="K3840">
        <v>3</v>
      </c>
      <c r="L3840">
        <v>0</v>
      </c>
      <c r="M3840">
        <v>70.097700000000003</v>
      </c>
    </row>
    <row r="3841" spans="1:13" x14ac:dyDescent="0.3">
      <c r="A3841" t="s">
        <v>28</v>
      </c>
      <c r="B3841" t="s">
        <v>22</v>
      </c>
      <c r="C3841" t="s">
        <v>15</v>
      </c>
      <c r="D3841" t="s">
        <v>105</v>
      </c>
      <c r="E3841" t="s">
        <v>86</v>
      </c>
      <c r="F3841">
        <v>37620</v>
      </c>
      <c r="G3841" t="s">
        <v>18</v>
      </c>
      <c r="H3841" t="s">
        <v>19</v>
      </c>
      <c r="I3841" t="s">
        <v>21</v>
      </c>
      <c r="J3841">
        <v>170.352</v>
      </c>
      <c r="K3841">
        <v>3</v>
      </c>
      <c r="L3841">
        <v>0.2</v>
      </c>
      <c r="M3841">
        <v>10.647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37</v>
      </c>
      <c r="J3842">
        <v>7.1840000000000002</v>
      </c>
      <c r="K3842">
        <v>2</v>
      </c>
      <c r="L3842">
        <v>0.2</v>
      </c>
      <c r="M3842">
        <v>2.2450000000000001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6.28</v>
      </c>
      <c r="K3843">
        <v>2</v>
      </c>
      <c r="L3843">
        <v>0</v>
      </c>
      <c r="M3843">
        <v>6.2799999999999995E-2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110</v>
      </c>
      <c r="J3844">
        <v>480.74</v>
      </c>
      <c r="K3844">
        <v>2</v>
      </c>
      <c r="L3844">
        <v>0</v>
      </c>
      <c r="M3844">
        <v>14.4222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19</v>
      </c>
      <c r="I3845" t="s">
        <v>20</v>
      </c>
      <c r="J3845">
        <v>616.99800000000005</v>
      </c>
      <c r="K3845">
        <v>6</v>
      </c>
      <c r="L3845">
        <v>0.15</v>
      </c>
      <c r="M3845">
        <v>-36.293999999999997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32</v>
      </c>
      <c r="J3846">
        <v>141.4</v>
      </c>
      <c r="K3846">
        <v>5</v>
      </c>
      <c r="L3846">
        <v>0</v>
      </c>
      <c r="M3846">
        <v>38.177999999999997</v>
      </c>
    </row>
    <row r="3847" spans="1:13" x14ac:dyDescent="0.3">
      <c r="A3847" t="s">
        <v>13</v>
      </c>
      <c r="B3847" t="s">
        <v>44</v>
      </c>
      <c r="C3847" t="s">
        <v>15</v>
      </c>
      <c r="D3847" t="s">
        <v>186</v>
      </c>
      <c r="E3847" t="s">
        <v>70</v>
      </c>
      <c r="F3847">
        <v>48187</v>
      </c>
      <c r="G3847" t="s">
        <v>47</v>
      </c>
      <c r="H3847" t="s">
        <v>26</v>
      </c>
      <c r="I3847" t="s">
        <v>32</v>
      </c>
      <c r="J3847">
        <v>501.81</v>
      </c>
      <c r="K3847">
        <v>3</v>
      </c>
      <c r="L3847">
        <v>0</v>
      </c>
      <c r="M3847">
        <v>0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26</v>
      </c>
      <c r="I3848" t="s">
        <v>37</v>
      </c>
      <c r="J3848">
        <v>691.96</v>
      </c>
      <c r="K3848">
        <v>4</v>
      </c>
      <c r="L3848">
        <v>0</v>
      </c>
      <c r="M3848">
        <v>318.30160000000001</v>
      </c>
    </row>
    <row r="3849" spans="1:13" x14ac:dyDescent="0.3">
      <c r="A3849" t="s">
        <v>62</v>
      </c>
      <c r="B3849" t="s">
        <v>14</v>
      </c>
      <c r="C3849" t="s">
        <v>15</v>
      </c>
      <c r="D3849" t="s">
        <v>196</v>
      </c>
      <c r="E3849" t="s">
        <v>197</v>
      </c>
      <c r="F3849">
        <v>72701</v>
      </c>
      <c r="G3849" t="s">
        <v>18</v>
      </c>
      <c r="H3849" t="s">
        <v>35</v>
      </c>
      <c r="I3849" t="s">
        <v>59</v>
      </c>
      <c r="J3849">
        <v>34.950000000000003</v>
      </c>
      <c r="K3849">
        <v>5</v>
      </c>
      <c r="L3849">
        <v>0</v>
      </c>
      <c r="M3849">
        <v>15.378</v>
      </c>
    </row>
    <row r="3850" spans="1:13" x14ac:dyDescent="0.3">
      <c r="A3850" t="s">
        <v>28</v>
      </c>
      <c r="B3850" t="s">
        <v>22</v>
      </c>
      <c r="C3850" t="s">
        <v>15</v>
      </c>
      <c r="D3850" t="s">
        <v>82</v>
      </c>
      <c r="E3850" t="s">
        <v>112</v>
      </c>
      <c r="F3850">
        <v>65807</v>
      </c>
      <c r="G3850" t="s">
        <v>47</v>
      </c>
      <c r="H3850" t="s">
        <v>26</v>
      </c>
      <c r="I3850" t="s">
        <v>41</v>
      </c>
      <c r="J3850">
        <v>85.96</v>
      </c>
      <c r="K3850">
        <v>7</v>
      </c>
      <c r="L3850">
        <v>0</v>
      </c>
      <c r="M3850">
        <v>40.401200000000003</v>
      </c>
    </row>
    <row r="3851" spans="1:13" x14ac:dyDescent="0.3">
      <c r="A3851" t="s">
        <v>168</v>
      </c>
      <c r="B3851" t="s">
        <v>44</v>
      </c>
      <c r="C3851" t="s">
        <v>15</v>
      </c>
      <c r="D3851" t="s">
        <v>172</v>
      </c>
      <c r="E3851" t="s">
        <v>166</v>
      </c>
      <c r="F3851">
        <v>2169</v>
      </c>
      <c r="G3851" t="s">
        <v>57</v>
      </c>
      <c r="H3851" t="s">
        <v>19</v>
      </c>
      <c r="I3851" t="s">
        <v>33</v>
      </c>
      <c r="J3851">
        <v>85.3</v>
      </c>
      <c r="K3851">
        <v>2</v>
      </c>
      <c r="L3851">
        <v>0</v>
      </c>
      <c r="M3851">
        <v>14.500999999999999</v>
      </c>
    </row>
    <row r="3852" spans="1:13" x14ac:dyDescent="0.3">
      <c r="A3852" t="s">
        <v>62</v>
      </c>
      <c r="B3852" t="s">
        <v>14</v>
      </c>
      <c r="C3852" t="s">
        <v>15</v>
      </c>
      <c r="D3852" t="s">
        <v>264</v>
      </c>
      <c r="E3852" t="s">
        <v>65</v>
      </c>
      <c r="F3852">
        <v>61107</v>
      </c>
      <c r="G3852" t="s">
        <v>47</v>
      </c>
      <c r="H3852" t="s">
        <v>26</v>
      </c>
      <c r="I3852" t="s">
        <v>37</v>
      </c>
      <c r="J3852">
        <v>33.567999999999998</v>
      </c>
      <c r="K3852">
        <v>8</v>
      </c>
      <c r="L3852">
        <v>0.8</v>
      </c>
      <c r="M3852">
        <v>-53.708799999999997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19</v>
      </c>
      <c r="I3853" t="s">
        <v>33</v>
      </c>
      <c r="J3853">
        <v>4.95</v>
      </c>
      <c r="K3853">
        <v>1</v>
      </c>
      <c r="L3853">
        <v>0</v>
      </c>
      <c r="M3853">
        <v>2.1779999999999999</v>
      </c>
    </row>
    <row r="3854" spans="1:13" x14ac:dyDescent="0.3">
      <c r="A3854" t="s">
        <v>28</v>
      </c>
      <c r="B3854" t="s">
        <v>44</v>
      </c>
      <c r="C3854" t="s">
        <v>15</v>
      </c>
      <c r="D3854" t="s">
        <v>52</v>
      </c>
      <c r="E3854" t="s">
        <v>24</v>
      </c>
      <c r="F3854">
        <v>94122</v>
      </c>
      <c r="G3854" t="s">
        <v>25</v>
      </c>
      <c r="H3854" t="s">
        <v>26</v>
      </c>
      <c r="I3854" t="s">
        <v>32</v>
      </c>
      <c r="J3854">
        <v>26.4</v>
      </c>
      <c r="K3854">
        <v>5</v>
      </c>
      <c r="L3854">
        <v>0</v>
      </c>
      <c r="M3854">
        <v>0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26</v>
      </c>
      <c r="I3855" t="s">
        <v>37</v>
      </c>
      <c r="J3855">
        <v>3.5640000000000001</v>
      </c>
      <c r="K3855">
        <v>3</v>
      </c>
      <c r="L3855">
        <v>0.8</v>
      </c>
      <c r="M3855">
        <v>-6.2370000000000001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35</v>
      </c>
      <c r="I3856" t="s">
        <v>36</v>
      </c>
      <c r="J3856">
        <v>823.96</v>
      </c>
      <c r="K3856">
        <v>5</v>
      </c>
      <c r="L3856">
        <v>0.2</v>
      </c>
      <c r="M3856">
        <v>51.497500000000002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34</v>
      </c>
      <c r="J3857">
        <v>10.272</v>
      </c>
      <c r="K3857">
        <v>3</v>
      </c>
      <c r="L3857">
        <v>0.2</v>
      </c>
      <c r="M3857">
        <v>0.89880000000000004</v>
      </c>
    </row>
    <row r="3858" spans="1:13" x14ac:dyDescent="0.3">
      <c r="A3858" t="s">
        <v>168</v>
      </c>
      <c r="B3858" t="s">
        <v>14</v>
      </c>
      <c r="C3858" t="s">
        <v>15</v>
      </c>
      <c r="D3858" t="s">
        <v>467</v>
      </c>
      <c r="E3858" t="s">
        <v>98</v>
      </c>
      <c r="F3858">
        <v>80229</v>
      </c>
      <c r="G3858" t="s">
        <v>25</v>
      </c>
      <c r="H3858" t="s">
        <v>35</v>
      </c>
      <c r="I3858" t="s">
        <v>59</v>
      </c>
      <c r="J3858">
        <v>447.94400000000002</v>
      </c>
      <c r="K3858">
        <v>7</v>
      </c>
      <c r="L3858">
        <v>0.2</v>
      </c>
      <c r="M3858">
        <v>89.588800000000006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19</v>
      </c>
      <c r="I3859" t="s">
        <v>31</v>
      </c>
      <c r="J3859">
        <v>480.96</v>
      </c>
      <c r="K3859">
        <v>3</v>
      </c>
      <c r="L3859">
        <v>0.5</v>
      </c>
      <c r="M3859">
        <v>-269.33760000000001</v>
      </c>
    </row>
    <row r="3860" spans="1:13" x14ac:dyDescent="0.3">
      <c r="A3860" t="s">
        <v>28</v>
      </c>
      <c r="B3860" t="s">
        <v>44</v>
      </c>
      <c r="C3860" t="s">
        <v>15</v>
      </c>
      <c r="D3860" t="s">
        <v>79</v>
      </c>
      <c r="E3860" t="s">
        <v>65</v>
      </c>
      <c r="F3860">
        <v>60653</v>
      </c>
      <c r="G3860" t="s">
        <v>47</v>
      </c>
      <c r="H3860" t="s">
        <v>35</v>
      </c>
      <c r="I3860" t="s">
        <v>36</v>
      </c>
      <c r="J3860">
        <v>124.792</v>
      </c>
      <c r="K3860">
        <v>1</v>
      </c>
      <c r="L3860">
        <v>0.2</v>
      </c>
      <c r="M3860">
        <v>10.9193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40.176000000000002</v>
      </c>
      <c r="K3861">
        <v>3</v>
      </c>
      <c r="L3861">
        <v>0.2</v>
      </c>
      <c r="M3861">
        <v>14.563800000000001</v>
      </c>
    </row>
    <row r="3862" spans="1:13" x14ac:dyDescent="0.3">
      <c r="A3862" t="s">
        <v>28</v>
      </c>
      <c r="B3862" t="s">
        <v>14</v>
      </c>
      <c r="C3862" t="s">
        <v>15</v>
      </c>
      <c r="D3862" t="s">
        <v>266</v>
      </c>
      <c r="E3862" t="s">
        <v>76</v>
      </c>
      <c r="F3862">
        <v>10701</v>
      </c>
      <c r="G3862" t="s">
        <v>57</v>
      </c>
      <c r="H3862" t="s">
        <v>26</v>
      </c>
      <c r="I3862" t="s">
        <v>37</v>
      </c>
      <c r="J3862">
        <v>10.896000000000001</v>
      </c>
      <c r="K3862">
        <v>3</v>
      </c>
      <c r="L3862">
        <v>0.2</v>
      </c>
      <c r="M3862">
        <v>3.9498000000000002</v>
      </c>
    </row>
    <row r="3863" spans="1:13" x14ac:dyDescent="0.3">
      <c r="A3863" t="s">
        <v>13</v>
      </c>
      <c r="B3863" t="s">
        <v>14</v>
      </c>
      <c r="C3863" t="s">
        <v>15</v>
      </c>
      <c r="D3863" t="s">
        <v>144</v>
      </c>
      <c r="E3863" t="s">
        <v>24</v>
      </c>
      <c r="F3863">
        <v>92037</v>
      </c>
      <c r="G3863" t="s">
        <v>25</v>
      </c>
      <c r="H3863" t="s">
        <v>26</v>
      </c>
      <c r="I3863" t="s">
        <v>34</v>
      </c>
      <c r="J3863">
        <v>10.64</v>
      </c>
      <c r="K3863">
        <v>4</v>
      </c>
      <c r="L3863">
        <v>0</v>
      </c>
      <c r="M3863">
        <v>2.7664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468</v>
      </c>
      <c r="E3864" t="s">
        <v>65</v>
      </c>
      <c r="F3864">
        <v>61821</v>
      </c>
      <c r="G3864" t="s">
        <v>47</v>
      </c>
      <c r="H3864" t="s">
        <v>19</v>
      </c>
      <c r="I3864" t="s">
        <v>33</v>
      </c>
      <c r="J3864">
        <v>151.96</v>
      </c>
      <c r="K3864">
        <v>5</v>
      </c>
      <c r="L3864">
        <v>0.6</v>
      </c>
      <c r="M3864">
        <v>-182.352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52</v>
      </c>
      <c r="E3865" t="s">
        <v>24</v>
      </c>
      <c r="F3865">
        <v>94122</v>
      </c>
      <c r="G3865" t="s">
        <v>25</v>
      </c>
      <c r="H3865" t="s">
        <v>35</v>
      </c>
      <c r="I3865" t="s">
        <v>59</v>
      </c>
      <c r="J3865">
        <v>238</v>
      </c>
      <c r="K3865">
        <v>2</v>
      </c>
      <c r="L3865">
        <v>0</v>
      </c>
      <c r="M3865">
        <v>38.08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184</v>
      </c>
      <c r="E3866" t="s">
        <v>74</v>
      </c>
      <c r="F3866">
        <v>46226</v>
      </c>
      <c r="G3866" t="s">
        <v>47</v>
      </c>
      <c r="H3866" t="s">
        <v>35</v>
      </c>
      <c r="I3866" t="s">
        <v>59</v>
      </c>
      <c r="J3866">
        <v>155.34</v>
      </c>
      <c r="K3866">
        <v>6</v>
      </c>
      <c r="L3866">
        <v>0</v>
      </c>
      <c r="M3866">
        <v>55.922400000000003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35</v>
      </c>
      <c r="I3867" t="s">
        <v>59</v>
      </c>
      <c r="J3867">
        <v>148.32</v>
      </c>
      <c r="K3867">
        <v>9</v>
      </c>
      <c r="L3867">
        <v>0</v>
      </c>
      <c r="M3867">
        <v>63.7776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240.78399999999999</v>
      </c>
      <c r="K3868">
        <v>1</v>
      </c>
      <c r="L3868">
        <v>0.2</v>
      </c>
      <c r="M3868">
        <v>27.088200000000001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19</v>
      </c>
      <c r="I3869" t="s">
        <v>21</v>
      </c>
      <c r="J3869">
        <v>191.96799999999999</v>
      </c>
      <c r="K3869">
        <v>7</v>
      </c>
      <c r="L3869">
        <v>0.2</v>
      </c>
      <c r="M3869">
        <v>16.7972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41</v>
      </c>
      <c r="J3870">
        <v>11.56</v>
      </c>
      <c r="K3870">
        <v>2</v>
      </c>
      <c r="L3870">
        <v>0</v>
      </c>
      <c r="M3870">
        <v>5.6643999999999997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26</v>
      </c>
      <c r="I3871" t="s">
        <v>60</v>
      </c>
      <c r="J3871">
        <v>11.8</v>
      </c>
      <c r="K3871">
        <v>4</v>
      </c>
      <c r="L3871">
        <v>0</v>
      </c>
      <c r="M3871">
        <v>5.6639999999999997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19</v>
      </c>
      <c r="I3872" t="s">
        <v>21</v>
      </c>
      <c r="J3872">
        <v>842.35199999999998</v>
      </c>
      <c r="K3872">
        <v>3</v>
      </c>
      <c r="L3872">
        <v>0.2</v>
      </c>
      <c r="M3872">
        <v>42.117600000000003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60</v>
      </c>
      <c r="J3873">
        <v>23.472000000000001</v>
      </c>
      <c r="K3873">
        <v>3</v>
      </c>
      <c r="L3873">
        <v>0.2</v>
      </c>
      <c r="M3873">
        <v>7.6284000000000001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26</v>
      </c>
      <c r="I3874" t="s">
        <v>37</v>
      </c>
      <c r="J3874">
        <v>86.058000000000007</v>
      </c>
      <c r="K3874">
        <v>7</v>
      </c>
      <c r="L3874">
        <v>0.7</v>
      </c>
      <c r="M3874">
        <v>-63.109200000000001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35</v>
      </c>
      <c r="I3875" t="s">
        <v>36</v>
      </c>
      <c r="J3875">
        <v>108.78400000000001</v>
      </c>
      <c r="K3875">
        <v>2</v>
      </c>
      <c r="L3875">
        <v>0.2</v>
      </c>
      <c r="M3875">
        <v>6.7990000000000004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41</v>
      </c>
      <c r="J3876">
        <v>10.272</v>
      </c>
      <c r="K3876">
        <v>3</v>
      </c>
      <c r="L3876">
        <v>0.2</v>
      </c>
      <c r="M3876">
        <v>3.21</v>
      </c>
    </row>
    <row r="3877" spans="1:13" x14ac:dyDescent="0.3">
      <c r="A3877" t="s">
        <v>28</v>
      </c>
      <c r="B3877" t="s">
        <v>14</v>
      </c>
      <c r="C3877" t="s">
        <v>15</v>
      </c>
      <c r="D3877" t="s">
        <v>141</v>
      </c>
      <c r="E3877" t="s">
        <v>30</v>
      </c>
      <c r="F3877">
        <v>33614</v>
      </c>
      <c r="G3877" t="s">
        <v>18</v>
      </c>
      <c r="H3877" t="s">
        <v>26</v>
      </c>
      <c r="I3877" t="s">
        <v>37</v>
      </c>
      <c r="J3877">
        <v>38.19</v>
      </c>
      <c r="K3877">
        <v>5</v>
      </c>
      <c r="L3877">
        <v>0.7</v>
      </c>
      <c r="M3877">
        <v>-26.733000000000001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49.631999999999998</v>
      </c>
      <c r="K3878">
        <v>4</v>
      </c>
      <c r="L3878">
        <v>0.2</v>
      </c>
      <c r="M3878">
        <v>3.7223999999999999</v>
      </c>
    </row>
    <row r="3879" spans="1:13" x14ac:dyDescent="0.3">
      <c r="A3879" t="s">
        <v>62</v>
      </c>
      <c r="B3879" t="s">
        <v>22</v>
      </c>
      <c r="C3879" t="s">
        <v>15</v>
      </c>
      <c r="D3879" t="s">
        <v>87</v>
      </c>
      <c r="E3879" t="s">
        <v>65</v>
      </c>
      <c r="F3879">
        <v>62521</v>
      </c>
      <c r="G3879" t="s">
        <v>47</v>
      </c>
      <c r="H3879" t="s">
        <v>26</v>
      </c>
      <c r="I3879" t="s">
        <v>32</v>
      </c>
      <c r="J3879">
        <v>52.095999999999997</v>
      </c>
      <c r="K3879">
        <v>4</v>
      </c>
      <c r="L3879">
        <v>0.2</v>
      </c>
      <c r="M3879">
        <v>3.9072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41</v>
      </c>
      <c r="J3880">
        <v>9.5679999999999996</v>
      </c>
      <c r="K3880">
        <v>2</v>
      </c>
      <c r="L3880">
        <v>0.2</v>
      </c>
      <c r="M3880">
        <v>2.99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26</v>
      </c>
      <c r="I3881" t="s">
        <v>32</v>
      </c>
      <c r="J3881">
        <v>82.367999999999995</v>
      </c>
      <c r="K3881">
        <v>2</v>
      </c>
      <c r="L3881">
        <v>0.2</v>
      </c>
      <c r="M3881">
        <v>-19.5624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364.70400000000001</v>
      </c>
      <c r="K3882">
        <v>6</v>
      </c>
      <c r="L3882">
        <v>0.2</v>
      </c>
      <c r="M3882">
        <v>-36.470399999999998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19</v>
      </c>
      <c r="I3883" t="s">
        <v>33</v>
      </c>
      <c r="J3883">
        <v>40.256</v>
      </c>
      <c r="K3883">
        <v>4</v>
      </c>
      <c r="L3883">
        <v>0.2</v>
      </c>
      <c r="M3883">
        <v>11.070399999999999</v>
      </c>
    </row>
    <row r="3884" spans="1:13" x14ac:dyDescent="0.3">
      <c r="A3884" t="s">
        <v>28</v>
      </c>
      <c r="B3884" t="s">
        <v>22</v>
      </c>
      <c r="C3884" t="s">
        <v>15</v>
      </c>
      <c r="D3884" t="s">
        <v>375</v>
      </c>
      <c r="E3884" t="s">
        <v>86</v>
      </c>
      <c r="F3884">
        <v>37918</v>
      </c>
      <c r="G3884" t="s">
        <v>18</v>
      </c>
      <c r="H3884" t="s">
        <v>26</v>
      </c>
      <c r="I3884" t="s">
        <v>34</v>
      </c>
      <c r="J3884">
        <v>4.3680000000000003</v>
      </c>
      <c r="K3884">
        <v>3</v>
      </c>
      <c r="L3884">
        <v>0.2</v>
      </c>
      <c r="M3884">
        <v>0.38219999999999998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79</v>
      </c>
      <c r="E3885" t="s">
        <v>65</v>
      </c>
      <c r="F3885">
        <v>60653</v>
      </c>
      <c r="G3885" t="s">
        <v>47</v>
      </c>
      <c r="H3885" t="s">
        <v>26</v>
      </c>
      <c r="I3885" t="s">
        <v>37</v>
      </c>
      <c r="J3885">
        <v>12.128</v>
      </c>
      <c r="K3885">
        <v>4</v>
      </c>
      <c r="L3885">
        <v>0.8</v>
      </c>
      <c r="M3885">
        <v>-20.617599999999999</v>
      </c>
    </row>
    <row r="3886" spans="1:13" x14ac:dyDescent="0.3">
      <c r="A3886" t="s">
        <v>13</v>
      </c>
      <c r="B3886" t="s">
        <v>14</v>
      </c>
      <c r="C3886" t="s">
        <v>15</v>
      </c>
      <c r="D3886" t="s">
        <v>107</v>
      </c>
      <c r="E3886" t="s">
        <v>74</v>
      </c>
      <c r="F3886">
        <v>47401</v>
      </c>
      <c r="G3886" t="s">
        <v>47</v>
      </c>
      <c r="H3886" t="s">
        <v>35</v>
      </c>
      <c r="I3886" t="s">
        <v>36</v>
      </c>
      <c r="J3886">
        <v>134.85</v>
      </c>
      <c r="K3886">
        <v>3</v>
      </c>
      <c r="L3886">
        <v>0</v>
      </c>
      <c r="M3886">
        <v>37.758000000000003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26</v>
      </c>
      <c r="I3887" t="s">
        <v>34</v>
      </c>
      <c r="J3887">
        <v>8.56</v>
      </c>
      <c r="K3887">
        <v>2</v>
      </c>
      <c r="L3887">
        <v>0</v>
      </c>
      <c r="M3887">
        <v>2.6536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35</v>
      </c>
      <c r="I3888" t="s">
        <v>36</v>
      </c>
      <c r="J3888">
        <v>239.97</v>
      </c>
      <c r="K3888">
        <v>3</v>
      </c>
      <c r="L3888">
        <v>0</v>
      </c>
      <c r="M3888">
        <v>67.191599999999994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32</v>
      </c>
      <c r="J3889">
        <v>356.94</v>
      </c>
      <c r="K3889">
        <v>2</v>
      </c>
      <c r="L3889">
        <v>0</v>
      </c>
      <c r="M3889">
        <v>107.08199999999999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35</v>
      </c>
      <c r="I3890" t="s">
        <v>59</v>
      </c>
      <c r="J3890">
        <v>659.9</v>
      </c>
      <c r="K3890">
        <v>2</v>
      </c>
      <c r="L3890">
        <v>0</v>
      </c>
      <c r="M3890">
        <v>217.767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19</v>
      </c>
      <c r="I3891" t="s">
        <v>21</v>
      </c>
      <c r="J3891">
        <v>1684.752</v>
      </c>
      <c r="K3891">
        <v>6</v>
      </c>
      <c r="L3891">
        <v>0.2</v>
      </c>
      <c r="M3891">
        <v>210.59399999999999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559.91999999999996</v>
      </c>
      <c r="K3892">
        <v>8</v>
      </c>
      <c r="L3892">
        <v>0</v>
      </c>
      <c r="M3892">
        <v>190.37280000000001</v>
      </c>
    </row>
    <row r="3893" spans="1:13" x14ac:dyDescent="0.3">
      <c r="A3893" t="s">
        <v>28</v>
      </c>
      <c r="B3893" t="s">
        <v>14</v>
      </c>
      <c r="C3893" t="s">
        <v>15</v>
      </c>
      <c r="D3893" t="s">
        <v>61</v>
      </c>
      <c r="E3893" t="s">
        <v>46</v>
      </c>
      <c r="F3893">
        <v>77036</v>
      </c>
      <c r="G3893" t="s">
        <v>47</v>
      </c>
      <c r="H3893" t="s">
        <v>35</v>
      </c>
      <c r="I3893" t="s">
        <v>59</v>
      </c>
      <c r="J3893">
        <v>279.94400000000002</v>
      </c>
      <c r="K3893">
        <v>7</v>
      </c>
      <c r="L3893">
        <v>0.2</v>
      </c>
      <c r="M3893">
        <v>48.990200000000002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438</v>
      </c>
      <c r="E3894" t="s">
        <v>65</v>
      </c>
      <c r="F3894">
        <v>60440</v>
      </c>
      <c r="G3894" t="s">
        <v>47</v>
      </c>
      <c r="H3894" t="s">
        <v>26</v>
      </c>
      <c r="I3894" t="s">
        <v>37</v>
      </c>
      <c r="J3894">
        <v>9.98</v>
      </c>
      <c r="K3894">
        <v>5</v>
      </c>
      <c r="L3894">
        <v>0.8</v>
      </c>
      <c r="M3894">
        <v>-16.466999999999999</v>
      </c>
    </row>
    <row r="3895" spans="1:13" x14ac:dyDescent="0.3">
      <c r="A3895" t="s">
        <v>28</v>
      </c>
      <c r="B3895" t="s">
        <v>44</v>
      </c>
      <c r="C3895" t="s">
        <v>15</v>
      </c>
      <c r="D3895" t="s">
        <v>469</v>
      </c>
      <c r="E3895" t="s">
        <v>197</v>
      </c>
      <c r="F3895">
        <v>71854</v>
      </c>
      <c r="G3895" t="s">
        <v>18</v>
      </c>
      <c r="H3895" t="s">
        <v>35</v>
      </c>
      <c r="I3895" t="s">
        <v>59</v>
      </c>
      <c r="J3895">
        <v>48.9</v>
      </c>
      <c r="K3895">
        <v>5</v>
      </c>
      <c r="L3895">
        <v>0</v>
      </c>
      <c r="M3895">
        <v>18.093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77</v>
      </c>
      <c r="J3896">
        <v>3.552</v>
      </c>
      <c r="K3896">
        <v>3</v>
      </c>
      <c r="L3896">
        <v>0.2</v>
      </c>
      <c r="M3896">
        <v>1.2432000000000001</v>
      </c>
    </row>
    <row r="3897" spans="1:13" x14ac:dyDescent="0.3">
      <c r="A3897" t="s">
        <v>28</v>
      </c>
      <c r="B3897" t="s">
        <v>22</v>
      </c>
      <c r="C3897" t="s">
        <v>15</v>
      </c>
      <c r="D3897" t="s">
        <v>122</v>
      </c>
      <c r="E3897" t="s">
        <v>46</v>
      </c>
      <c r="F3897">
        <v>78207</v>
      </c>
      <c r="G3897" t="s">
        <v>47</v>
      </c>
      <c r="H3897" t="s">
        <v>26</v>
      </c>
      <c r="I3897" t="s">
        <v>41</v>
      </c>
      <c r="J3897">
        <v>15.552</v>
      </c>
      <c r="K3897">
        <v>3</v>
      </c>
      <c r="L3897">
        <v>0.2</v>
      </c>
      <c r="M3897">
        <v>5.4432</v>
      </c>
    </row>
    <row r="3898" spans="1:13" x14ac:dyDescent="0.3">
      <c r="A3898" t="s">
        <v>28</v>
      </c>
      <c r="B3898" t="s">
        <v>14</v>
      </c>
      <c r="C3898" t="s">
        <v>15</v>
      </c>
      <c r="D3898" t="s">
        <v>470</v>
      </c>
      <c r="E3898" t="s">
        <v>46</v>
      </c>
      <c r="F3898">
        <v>78539</v>
      </c>
      <c r="G3898" t="s">
        <v>47</v>
      </c>
      <c r="H3898" t="s">
        <v>26</v>
      </c>
      <c r="I3898" t="s">
        <v>77</v>
      </c>
      <c r="J3898">
        <v>2.3679999999999999</v>
      </c>
      <c r="K3898">
        <v>2</v>
      </c>
      <c r="L3898">
        <v>0.2</v>
      </c>
      <c r="M3898">
        <v>0.82879999999999998</v>
      </c>
    </row>
    <row r="3899" spans="1:13" x14ac:dyDescent="0.3">
      <c r="A3899" t="s">
        <v>62</v>
      </c>
      <c r="B3899" t="s">
        <v>14</v>
      </c>
      <c r="C3899" t="s">
        <v>15</v>
      </c>
      <c r="D3899" t="s">
        <v>252</v>
      </c>
      <c r="E3899" t="s">
        <v>104</v>
      </c>
      <c r="F3899">
        <v>43615</v>
      </c>
      <c r="G3899" t="s">
        <v>57</v>
      </c>
      <c r="H3899" t="s">
        <v>35</v>
      </c>
      <c r="I3899" t="s">
        <v>59</v>
      </c>
      <c r="J3899">
        <v>127.98399999999999</v>
      </c>
      <c r="K3899">
        <v>2</v>
      </c>
      <c r="L3899">
        <v>0.2</v>
      </c>
      <c r="M3899">
        <v>25.596800000000002</v>
      </c>
    </row>
    <row r="3900" spans="1:13" x14ac:dyDescent="0.3">
      <c r="A3900" t="s">
        <v>28</v>
      </c>
      <c r="B3900" t="s">
        <v>22</v>
      </c>
      <c r="C3900" t="s">
        <v>15</v>
      </c>
      <c r="D3900" t="s">
        <v>471</v>
      </c>
      <c r="E3900" t="s">
        <v>46</v>
      </c>
      <c r="F3900">
        <v>77520</v>
      </c>
      <c r="G3900" t="s">
        <v>47</v>
      </c>
      <c r="H3900" t="s">
        <v>26</v>
      </c>
      <c r="I3900" t="s">
        <v>41</v>
      </c>
      <c r="J3900">
        <v>10.368</v>
      </c>
      <c r="K3900">
        <v>2</v>
      </c>
      <c r="L3900">
        <v>0.2</v>
      </c>
      <c r="M3900">
        <v>3.6288</v>
      </c>
    </row>
    <row r="3901" spans="1:13" x14ac:dyDescent="0.3">
      <c r="A3901" t="s">
        <v>28</v>
      </c>
      <c r="B3901" t="s">
        <v>44</v>
      </c>
      <c r="C3901" t="s">
        <v>15</v>
      </c>
      <c r="D3901" t="s">
        <v>55</v>
      </c>
      <c r="E3901" t="s">
        <v>56</v>
      </c>
      <c r="F3901">
        <v>19143</v>
      </c>
      <c r="G3901" t="s">
        <v>57</v>
      </c>
      <c r="H3901" t="s">
        <v>35</v>
      </c>
      <c r="I3901" t="s">
        <v>59</v>
      </c>
      <c r="J3901">
        <v>47.984000000000002</v>
      </c>
      <c r="K3901">
        <v>2</v>
      </c>
      <c r="L3901">
        <v>0.2</v>
      </c>
      <c r="M3901">
        <v>-1.1996</v>
      </c>
    </row>
    <row r="3902" spans="1:13" x14ac:dyDescent="0.3">
      <c r="A3902" t="s">
        <v>13</v>
      </c>
      <c r="B3902" t="s">
        <v>44</v>
      </c>
      <c r="C3902" t="s">
        <v>15</v>
      </c>
      <c r="D3902" t="s">
        <v>23</v>
      </c>
      <c r="E3902" t="s">
        <v>24</v>
      </c>
      <c r="F3902">
        <v>90045</v>
      </c>
      <c r="G3902" t="s">
        <v>25</v>
      </c>
      <c r="H3902" t="s">
        <v>26</v>
      </c>
      <c r="I3902" t="s">
        <v>32</v>
      </c>
      <c r="J3902">
        <v>270.33999999999997</v>
      </c>
      <c r="K3902">
        <v>14</v>
      </c>
      <c r="L3902">
        <v>0</v>
      </c>
      <c r="M3902">
        <v>75.6952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38</v>
      </c>
      <c r="J3903">
        <v>98.111999999999995</v>
      </c>
      <c r="K3903">
        <v>7</v>
      </c>
      <c r="L3903">
        <v>0.2</v>
      </c>
      <c r="M3903">
        <v>18.396000000000001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32</v>
      </c>
      <c r="J3904">
        <v>563.80799999999999</v>
      </c>
      <c r="K3904">
        <v>4</v>
      </c>
      <c r="L3904">
        <v>0.2</v>
      </c>
      <c r="M3904">
        <v>21.142800000000001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37</v>
      </c>
      <c r="J3905">
        <v>10.428000000000001</v>
      </c>
      <c r="K3905">
        <v>4</v>
      </c>
      <c r="L3905">
        <v>0.7</v>
      </c>
      <c r="M3905">
        <v>-6.952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19</v>
      </c>
      <c r="I3906" t="s">
        <v>33</v>
      </c>
      <c r="J3906">
        <v>547.13599999999997</v>
      </c>
      <c r="K3906">
        <v>4</v>
      </c>
      <c r="L3906">
        <v>0.2</v>
      </c>
      <c r="M3906">
        <v>-68.391999999999996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14.85</v>
      </c>
      <c r="K3907">
        <v>5</v>
      </c>
      <c r="L3907">
        <v>0.4</v>
      </c>
      <c r="M3907">
        <v>-3.2174999999999998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35</v>
      </c>
      <c r="I3908" t="s">
        <v>36</v>
      </c>
      <c r="J3908">
        <v>41.988</v>
      </c>
      <c r="K3908">
        <v>2</v>
      </c>
      <c r="L3908">
        <v>0.4</v>
      </c>
      <c r="M3908">
        <v>-9.7972000000000001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33</v>
      </c>
      <c r="J3909">
        <v>7.5839999999999996</v>
      </c>
      <c r="K3909">
        <v>1</v>
      </c>
      <c r="L3909">
        <v>0.2</v>
      </c>
      <c r="M3909">
        <v>2.37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19</v>
      </c>
      <c r="I3910" t="s">
        <v>20</v>
      </c>
      <c r="J3910">
        <v>352.45</v>
      </c>
      <c r="K3910">
        <v>5</v>
      </c>
      <c r="L3910">
        <v>0.5</v>
      </c>
      <c r="M3910">
        <v>-211.47</v>
      </c>
    </row>
    <row r="3911" spans="1:13" x14ac:dyDescent="0.3">
      <c r="A3911" t="s">
        <v>62</v>
      </c>
      <c r="B3911" t="s">
        <v>14</v>
      </c>
      <c r="C3911" t="s">
        <v>15</v>
      </c>
      <c r="D3911" t="s">
        <v>442</v>
      </c>
      <c r="E3911" t="s">
        <v>46</v>
      </c>
      <c r="F3911">
        <v>77581</v>
      </c>
      <c r="G3911" t="s">
        <v>47</v>
      </c>
      <c r="H3911" t="s">
        <v>35</v>
      </c>
      <c r="I3911" t="s">
        <v>36</v>
      </c>
      <c r="J3911">
        <v>470.37599999999998</v>
      </c>
      <c r="K3911">
        <v>3</v>
      </c>
      <c r="L3911">
        <v>0.2</v>
      </c>
      <c r="M3911">
        <v>52.917299999999997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26</v>
      </c>
      <c r="I3912" t="s">
        <v>41</v>
      </c>
      <c r="J3912">
        <v>19.440000000000001</v>
      </c>
      <c r="K3912">
        <v>3</v>
      </c>
      <c r="L3912">
        <v>0</v>
      </c>
      <c r="M3912">
        <v>9.3312000000000008</v>
      </c>
    </row>
    <row r="3913" spans="1:13" x14ac:dyDescent="0.3">
      <c r="A3913" t="s">
        <v>28</v>
      </c>
      <c r="B3913" t="s">
        <v>22</v>
      </c>
      <c r="C3913" t="s">
        <v>15</v>
      </c>
      <c r="D3913" t="s">
        <v>75</v>
      </c>
      <c r="E3913" t="s">
        <v>76</v>
      </c>
      <c r="F3913">
        <v>10035</v>
      </c>
      <c r="G3913" t="s">
        <v>57</v>
      </c>
      <c r="H3913" t="s">
        <v>19</v>
      </c>
      <c r="I3913" t="s">
        <v>33</v>
      </c>
      <c r="J3913">
        <v>9.82</v>
      </c>
      <c r="K3913">
        <v>2</v>
      </c>
      <c r="L3913">
        <v>0</v>
      </c>
      <c r="M3913">
        <v>3.2406000000000001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31</v>
      </c>
      <c r="J3914">
        <v>801.6</v>
      </c>
      <c r="K3914">
        <v>5</v>
      </c>
      <c r="L3914">
        <v>0.5</v>
      </c>
      <c r="M3914">
        <v>-448.89600000000002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19</v>
      </c>
      <c r="I3915" t="s">
        <v>21</v>
      </c>
      <c r="J3915">
        <v>161.56800000000001</v>
      </c>
      <c r="K3915">
        <v>2</v>
      </c>
      <c r="L3915">
        <v>0.2</v>
      </c>
      <c r="M3915">
        <v>10.098000000000001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41</v>
      </c>
      <c r="J3916">
        <v>16.096</v>
      </c>
      <c r="K3916">
        <v>2</v>
      </c>
      <c r="L3916">
        <v>0.2</v>
      </c>
      <c r="M3916">
        <v>5.2312000000000003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26</v>
      </c>
      <c r="I3917" t="s">
        <v>37</v>
      </c>
      <c r="J3917">
        <v>7.6559999999999997</v>
      </c>
      <c r="K3917">
        <v>4</v>
      </c>
      <c r="L3917">
        <v>0.7</v>
      </c>
      <c r="M3917">
        <v>-6.1247999999999996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19</v>
      </c>
      <c r="I3918" t="s">
        <v>21</v>
      </c>
      <c r="J3918">
        <v>311.976</v>
      </c>
      <c r="K3918">
        <v>3</v>
      </c>
      <c r="L3918">
        <v>0.2</v>
      </c>
      <c r="M3918">
        <v>-42.896700000000003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32</v>
      </c>
      <c r="J3919">
        <v>61.68</v>
      </c>
      <c r="K3919">
        <v>4</v>
      </c>
      <c r="L3919">
        <v>0</v>
      </c>
      <c r="M3919">
        <v>16.653600000000001</v>
      </c>
    </row>
    <row r="3920" spans="1:13" x14ac:dyDescent="0.3">
      <c r="A3920" t="s">
        <v>28</v>
      </c>
      <c r="B3920" t="s">
        <v>22</v>
      </c>
      <c r="C3920" t="s">
        <v>15</v>
      </c>
      <c r="D3920" t="s">
        <v>355</v>
      </c>
      <c r="E3920" t="s">
        <v>83</v>
      </c>
      <c r="F3920">
        <v>23320</v>
      </c>
      <c r="G3920" t="s">
        <v>18</v>
      </c>
      <c r="H3920" t="s">
        <v>26</v>
      </c>
      <c r="I3920" t="s">
        <v>37</v>
      </c>
      <c r="J3920">
        <v>63.96</v>
      </c>
      <c r="K3920">
        <v>4</v>
      </c>
      <c r="L3920">
        <v>0</v>
      </c>
      <c r="M3920">
        <v>30.700800000000001</v>
      </c>
    </row>
    <row r="3921" spans="1:13" x14ac:dyDescent="0.3">
      <c r="A3921" t="s">
        <v>13</v>
      </c>
      <c r="B3921" t="s">
        <v>14</v>
      </c>
      <c r="C3921" t="s">
        <v>15</v>
      </c>
      <c r="D3921" t="s">
        <v>79</v>
      </c>
      <c r="E3921" t="s">
        <v>65</v>
      </c>
      <c r="F3921">
        <v>60610</v>
      </c>
      <c r="G3921" t="s">
        <v>47</v>
      </c>
      <c r="H3921" t="s">
        <v>35</v>
      </c>
      <c r="I3921" t="s">
        <v>36</v>
      </c>
      <c r="J3921">
        <v>359.976</v>
      </c>
      <c r="K3921">
        <v>3</v>
      </c>
      <c r="L3921">
        <v>0.2</v>
      </c>
      <c r="M3921">
        <v>35.997599999999998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25.344000000000001</v>
      </c>
      <c r="K3922">
        <v>6</v>
      </c>
      <c r="L3922">
        <v>0.2</v>
      </c>
      <c r="M3922">
        <v>7.92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79</v>
      </c>
      <c r="E3923" t="s">
        <v>65</v>
      </c>
      <c r="F3923">
        <v>60623</v>
      </c>
      <c r="G3923" t="s">
        <v>47</v>
      </c>
      <c r="H3923" t="s">
        <v>26</v>
      </c>
      <c r="I3923" t="s">
        <v>41</v>
      </c>
      <c r="J3923">
        <v>26.72</v>
      </c>
      <c r="K3923">
        <v>5</v>
      </c>
      <c r="L3923">
        <v>0.2</v>
      </c>
      <c r="M3923">
        <v>9.3520000000000003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30.28</v>
      </c>
      <c r="K3924">
        <v>2</v>
      </c>
      <c r="L3924">
        <v>0</v>
      </c>
      <c r="M3924">
        <v>1.2112000000000001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26</v>
      </c>
      <c r="I3925" t="s">
        <v>32</v>
      </c>
      <c r="J3925">
        <v>57.93</v>
      </c>
      <c r="K3925">
        <v>3</v>
      </c>
      <c r="L3925">
        <v>0</v>
      </c>
      <c r="M3925">
        <v>16.220400000000001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19</v>
      </c>
      <c r="I3926" t="s">
        <v>33</v>
      </c>
      <c r="J3926">
        <v>35.340000000000003</v>
      </c>
      <c r="K3926">
        <v>2</v>
      </c>
      <c r="L3926">
        <v>0</v>
      </c>
      <c r="M3926">
        <v>13.4292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37</v>
      </c>
      <c r="J3927">
        <v>137.24</v>
      </c>
      <c r="K3927">
        <v>5</v>
      </c>
      <c r="L3927">
        <v>0.2</v>
      </c>
      <c r="M3927">
        <v>46.3185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19</v>
      </c>
      <c r="I3928" t="s">
        <v>20</v>
      </c>
      <c r="J3928">
        <v>241.33199999999999</v>
      </c>
      <c r="K3928">
        <v>5</v>
      </c>
      <c r="L3928">
        <v>0.32</v>
      </c>
      <c r="M3928">
        <v>-14.196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41</v>
      </c>
      <c r="J3929">
        <v>5.1840000000000002</v>
      </c>
      <c r="K3929">
        <v>1</v>
      </c>
      <c r="L3929">
        <v>0.2</v>
      </c>
      <c r="M3929">
        <v>1.8792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26</v>
      </c>
      <c r="I3930" t="s">
        <v>34</v>
      </c>
      <c r="J3930">
        <v>145.54400000000001</v>
      </c>
      <c r="K3930">
        <v>7</v>
      </c>
      <c r="L3930">
        <v>0.2</v>
      </c>
      <c r="M3930">
        <v>16.373699999999999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26</v>
      </c>
      <c r="I3931" t="s">
        <v>34</v>
      </c>
      <c r="J3931">
        <v>5.4720000000000004</v>
      </c>
      <c r="K3931">
        <v>3</v>
      </c>
      <c r="L3931">
        <v>0.2</v>
      </c>
      <c r="M3931">
        <v>1.6415999999999999</v>
      </c>
    </row>
    <row r="3932" spans="1:13" x14ac:dyDescent="0.3">
      <c r="A3932" t="s">
        <v>28</v>
      </c>
      <c r="B3932" t="s">
        <v>22</v>
      </c>
      <c r="C3932" t="s">
        <v>15</v>
      </c>
      <c r="D3932" t="s">
        <v>55</v>
      </c>
      <c r="E3932" t="s">
        <v>56</v>
      </c>
      <c r="F3932">
        <v>19140</v>
      </c>
      <c r="G3932" t="s">
        <v>57</v>
      </c>
      <c r="H3932" t="s">
        <v>35</v>
      </c>
      <c r="I3932" t="s">
        <v>59</v>
      </c>
      <c r="J3932">
        <v>47.984000000000002</v>
      </c>
      <c r="K3932">
        <v>2</v>
      </c>
      <c r="L3932">
        <v>0.2</v>
      </c>
      <c r="M3932">
        <v>13.195600000000001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34</v>
      </c>
      <c r="J3933">
        <v>9.4</v>
      </c>
      <c r="K3933">
        <v>5</v>
      </c>
      <c r="L3933">
        <v>0</v>
      </c>
      <c r="M3933">
        <v>2.726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26</v>
      </c>
      <c r="I3934" t="s">
        <v>27</v>
      </c>
      <c r="J3934">
        <v>74</v>
      </c>
      <c r="K3934">
        <v>5</v>
      </c>
      <c r="L3934">
        <v>0</v>
      </c>
      <c r="M3934">
        <v>37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35</v>
      </c>
      <c r="I3935" t="s">
        <v>36</v>
      </c>
      <c r="J3935">
        <v>201.584</v>
      </c>
      <c r="K3935">
        <v>2</v>
      </c>
      <c r="L3935">
        <v>0.2</v>
      </c>
      <c r="M3935">
        <v>12.599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60</v>
      </c>
      <c r="J3936">
        <v>28.751999999999999</v>
      </c>
      <c r="K3936">
        <v>3</v>
      </c>
      <c r="L3936">
        <v>0.2</v>
      </c>
      <c r="M3936">
        <v>9.3444000000000003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26</v>
      </c>
      <c r="I3937" t="s">
        <v>41</v>
      </c>
      <c r="J3937">
        <v>27.216000000000001</v>
      </c>
      <c r="K3937">
        <v>3</v>
      </c>
      <c r="L3937">
        <v>0.2</v>
      </c>
      <c r="M3937">
        <v>9.8658000000000001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19</v>
      </c>
      <c r="I3938" t="s">
        <v>21</v>
      </c>
      <c r="J3938">
        <v>197.37200000000001</v>
      </c>
      <c r="K3938">
        <v>2</v>
      </c>
      <c r="L3938">
        <v>0.3</v>
      </c>
      <c r="M3938">
        <v>-25.3764</v>
      </c>
    </row>
    <row r="3939" spans="1:13" x14ac:dyDescent="0.3">
      <c r="A3939" t="s">
        <v>168</v>
      </c>
      <c r="B3939" t="s">
        <v>14</v>
      </c>
      <c r="C3939" t="s">
        <v>15</v>
      </c>
      <c r="D3939" t="s">
        <v>472</v>
      </c>
      <c r="E3939" t="s">
        <v>74</v>
      </c>
      <c r="F3939">
        <v>46142</v>
      </c>
      <c r="G3939" t="s">
        <v>47</v>
      </c>
      <c r="H3939" t="s">
        <v>19</v>
      </c>
      <c r="I3939" t="s">
        <v>21</v>
      </c>
      <c r="J3939">
        <v>1424.9</v>
      </c>
      <c r="K3939">
        <v>5</v>
      </c>
      <c r="L3939">
        <v>0</v>
      </c>
      <c r="M3939">
        <v>356.22500000000002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19</v>
      </c>
      <c r="I3940" t="s">
        <v>33</v>
      </c>
      <c r="J3940">
        <v>14.56</v>
      </c>
      <c r="K3940">
        <v>2</v>
      </c>
      <c r="L3940">
        <v>0</v>
      </c>
      <c r="M3940">
        <v>6.2607999999999997</v>
      </c>
    </row>
    <row r="3941" spans="1:13" x14ac:dyDescent="0.3">
      <c r="A3941" t="s">
        <v>28</v>
      </c>
      <c r="B3941" t="s">
        <v>14</v>
      </c>
      <c r="C3941" t="s">
        <v>15</v>
      </c>
      <c r="D3941" t="s">
        <v>75</v>
      </c>
      <c r="E3941" t="s">
        <v>76</v>
      </c>
      <c r="F3941">
        <v>10024</v>
      </c>
      <c r="G3941" t="s">
        <v>57</v>
      </c>
      <c r="H3941" t="s">
        <v>26</v>
      </c>
      <c r="I3941" t="s">
        <v>37</v>
      </c>
      <c r="J3941">
        <v>3.048</v>
      </c>
      <c r="K3941">
        <v>1</v>
      </c>
      <c r="L3941">
        <v>0.2</v>
      </c>
      <c r="M3941">
        <v>1.0286999999999999</v>
      </c>
    </row>
    <row r="3942" spans="1:13" x14ac:dyDescent="0.3">
      <c r="A3942" t="s">
        <v>13</v>
      </c>
      <c r="B3942" t="s">
        <v>14</v>
      </c>
      <c r="C3942" t="s">
        <v>15</v>
      </c>
      <c r="D3942" t="s">
        <v>85</v>
      </c>
      <c r="E3942" t="s">
        <v>86</v>
      </c>
      <c r="F3942">
        <v>38109</v>
      </c>
      <c r="G3942" t="s">
        <v>18</v>
      </c>
      <c r="H3942" t="s">
        <v>26</v>
      </c>
      <c r="I3942" t="s">
        <v>41</v>
      </c>
      <c r="J3942">
        <v>25.92</v>
      </c>
      <c r="K3942">
        <v>5</v>
      </c>
      <c r="L3942">
        <v>0.2</v>
      </c>
      <c r="M3942">
        <v>9.0719999999999992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283</v>
      </c>
      <c r="E3943" t="s">
        <v>76</v>
      </c>
      <c r="F3943">
        <v>14215</v>
      </c>
      <c r="G3943" t="s">
        <v>57</v>
      </c>
      <c r="H3943" t="s">
        <v>26</v>
      </c>
      <c r="I3943" t="s">
        <v>110</v>
      </c>
      <c r="J3943">
        <v>835.17</v>
      </c>
      <c r="K3943">
        <v>7</v>
      </c>
      <c r="L3943">
        <v>0</v>
      </c>
      <c r="M3943">
        <v>16.703399999999998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23</v>
      </c>
      <c r="E3944" t="s">
        <v>24</v>
      </c>
      <c r="F3944">
        <v>90036</v>
      </c>
      <c r="G3944" t="s">
        <v>25</v>
      </c>
      <c r="H3944" t="s">
        <v>26</v>
      </c>
      <c r="I3944" t="s">
        <v>41</v>
      </c>
      <c r="J3944">
        <v>17.34</v>
      </c>
      <c r="K3944">
        <v>3</v>
      </c>
      <c r="L3944">
        <v>0</v>
      </c>
      <c r="M3944">
        <v>8.4966000000000008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41</v>
      </c>
      <c r="J3945">
        <v>44.384</v>
      </c>
      <c r="K3945">
        <v>1</v>
      </c>
      <c r="L3945">
        <v>0.2</v>
      </c>
      <c r="M3945">
        <v>15.5344</v>
      </c>
    </row>
    <row r="3946" spans="1:13" x14ac:dyDescent="0.3">
      <c r="A3946" t="s">
        <v>28</v>
      </c>
      <c r="B3946" t="s">
        <v>14</v>
      </c>
      <c r="C3946" t="s">
        <v>15</v>
      </c>
      <c r="D3946" t="s">
        <v>273</v>
      </c>
      <c r="E3946" t="s">
        <v>30</v>
      </c>
      <c r="F3946">
        <v>33030</v>
      </c>
      <c r="G3946" t="s">
        <v>18</v>
      </c>
      <c r="H3946" t="s">
        <v>26</v>
      </c>
      <c r="I3946" t="s">
        <v>110</v>
      </c>
      <c r="J3946">
        <v>2.944</v>
      </c>
      <c r="K3946">
        <v>1</v>
      </c>
      <c r="L3946">
        <v>0.2</v>
      </c>
      <c r="M3946">
        <v>-0.66239999999999999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34</v>
      </c>
      <c r="J3947">
        <v>6.3680000000000003</v>
      </c>
      <c r="K3947">
        <v>2</v>
      </c>
      <c r="L3947">
        <v>0.2</v>
      </c>
      <c r="M3947">
        <v>1.0347999999999999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27</v>
      </c>
      <c r="J3948">
        <v>48.847999999999999</v>
      </c>
      <c r="K3948">
        <v>2</v>
      </c>
      <c r="L3948">
        <v>0.2</v>
      </c>
      <c r="M3948">
        <v>15.8756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41</v>
      </c>
      <c r="J3949">
        <v>19.648</v>
      </c>
      <c r="K3949">
        <v>2</v>
      </c>
      <c r="L3949">
        <v>0.2</v>
      </c>
      <c r="M3949">
        <v>6.6311999999999998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19</v>
      </c>
      <c r="I3950" t="s">
        <v>21</v>
      </c>
      <c r="J3950">
        <v>255.108</v>
      </c>
      <c r="K3950">
        <v>6</v>
      </c>
      <c r="L3950">
        <v>0.3</v>
      </c>
      <c r="M3950">
        <v>-18.222000000000001</v>
      </c>
    </row>
    <row r="3951" spans="1:13" x14ac:dyDescent="0.3">
      <c r="A3951" t="s">
        <v>13</v>
      </c>
      <c r="B3951" t="s">
        <v>14</v>
      </c>
      <c r="C3951" t="s">
        <v>15</v>
      </c>
      <c r="D3951" t="s">
        <v>295</v>
      </c>
      <c r="E3951" t="s">
        <v>76</v>
      </c>
      <c r="F3951">
        <v>11520</v>
      </c>
      <c r="G3951" t="s">
        <v>57</v>
      </c>
      <c r="H3951" t="s">
        <v>26</v>
      </c>
      <c r="I3951" t="s">
        <v>37</v>
      </c>
      <c r="J3951">
        <v>17.248000000000001</v>
      </c>
      <c r="K3951">
        <v>2</v>
      </c>
      <c r="L3951">
        <v>0.2</v>
      </c>
      <c r="M3951">
        <v>6.0368000000000004</v>
      </c>
    </row>
    <row r="3952" spans="1:13" x14ac:dyDescent="0.3">
      <c r="A3952" t="s">
        <v>28</v>
      </c>
      <c r="B3952" t="s">
        <v>22</v>
      </c>
      <c r="C3952" t="s">
        <v>15</v>
      </c>
      <c r="D3952" t="s">
        <v>134</v>
      </c>
      <c r="E3952" t="s">
        <v>98</v>
      </c>
      <c r="F3952">
        <v>80219</v>
      </c>
      <c r="G3952" t="s">
        <v>25</v>
      </c>
      <c r="H3952" t="s">
        <v>35</v>
      </c>
      <c r="I3952" t="s">
        <v>36</v>
      </c>
      <c r="J3952">
        <v>159.98400000000001</v>
      </c>
      <c r="K3952">
        <v>2</v>
      </c>
      <c r="L3952">
        <v>0.2</v>
      </c>
      <c r="M3952">
        <v>13.9986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172</v>
      </c>
      <c r="E3953" t="s">
        <v>166</v>
      </c>
      <c r="F3953">
        <v>2169</v>
      </c>
      <c r="G3953" t="s">
        <v>57</v>
      </c>
      <c r="H3953" t="s">
        <v>26</v>
      </c>
      <c r="I3953" t="s">
        <v>41</v>
      </c>
      <c r="J3953">
        <v>12.7</v>
      </c>
      <c r="K3953">
        <v>2</v>
      </c>
      <c r="L3953">
        <v>0</v>
      </c>
      <c r="M3953">
        <v>5.8419999999999996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19</v>
      </c>
      <c r="I3954" t="s">
        <v>33</v>
      </c>
      <c r="J3954">
        <v>5.47</v>
      </c>
      <c r="K3954">
        <v>1</v>
      </c>
      <c r="L3954">
        <v>0</v>
      </c>
      <c r="M3954">
        <v>2.3521000000000001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140</v>
      </c>
      <c r="E3955" t="s">
        <v>70</v>
      </c>
      <c r="F3955">
        <v>48205</v>
      </c>
      <c r="G3955" t="s">
        <v>47</v>
      </c>
      <c r="H3955" t="s">
        <v>26</v>
      </c>
      <c r="I3955" t="s">
        <v>34</v>
      </c>
      <c r="J3955">
        <v>79.36</v>
      </c>
      <c r="K3955">
        <v>4</v>
      </c>
      <c r="L3955">
        <v>0</v>
      </c>
      <c r="M3955">
        <v>23.808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52</v>
      </c>
      <c r="E3956" t="s">
        <v>24</v>
      </c>
      <c r="F3956">
        <v>94109</v>
      </c>
      <c r="G3956" t="s">
        <v>25</v>
      </c>
      <c r="H3956" t="s">
        <v>19</v>
      </c>
      <c r="I3956" t="s">
        <v>33</v>
      </c>
      <c r="J3956">
        <v>22.14</v>
      </c>
      <c r="K3956">
        <v>3</v>
      </c>
      <c r="L3956">
        <v>0</v>
      </c>
      <c r="M3956">
        <v>6.4206000000000003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37</v>
      </c>
      <c r="J3957">
        <v>11.276999999999999</v>
      </c>
      <c r="K3957">
        <v>3</v>
      </c>
      <c r="L3957">
        <v>0.7</v>
      </c>
      <c r="M3957">
        <v>-8.6456999999999997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26</v>
      </c>
      <c r="I3958" t="s">
        <v>34</v>
      </c>
      <c r="J3958">
        <v>4.4480000000000004</v>
      </c>
      <c r="K3958">
        <v>2</v>
      </c>
      <c r="L3958">
        <v>0.2</v>
      </c>
      <c r="M3958">
        <v>0.33360000000000001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19</v>
      </c>
      <c r="I3959" t="s">
        <v>33</v>
      </c>
      <c r="J3959">
        <v>44.76</v>
      </c>
      <c r="K3959">
        <v>3</v>
      </c>
      <c r="L3959">
        <v>0.2</v>
      </c>
      <c r="M3959">
        <v>14.547000000000001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26</v>
      </c>
      <c r="I3960" t="s">
        <v>37</v>
      </c>
      <c r="J3960">
        <v>38.28</v>
      </c>
      <c r="K3960">
        <v>6</v>
      </c>
      <c r="L3960">
        <v>0</v>
      </c>
      <c r="M3960">
        <v>17.608799999999999</v>
      </c>
    </row>
    <row r="3961" spans="1:13" x14ac:dyDescent="0.3">
      <c r="A3961" t="s">
        <v>28</v>
      </c>
      <c r="B3961" t="s">
        <v>22</v>
      </c>
      <c r="C3961" t="s">
        <v>15</v>
      </c>
      <c r="D3961" t="s">
        <v>140</v>
      </c>
      <c r="E3961" t="s">
        <v>70</v>
      </c>
      <c r="F3961">
        <v>48227</v>
      </c>
      <c r="G3961" t="s">
        <v>47</v>
      </c>
      <c r="H3961" t="s">
        <v>35</v>
      </c>
      <c r="I3961" t="s">
        <v>36</v>
      </c>
      <c r="J3961">
        <v>149.94999999999999</v>
      </c>
      <c r="K3961">
        <v>5</v>
      </c>
      <c r="L3961">
        <v>0</v>
      </c>
      <c r="M3961">
        <v>44.984999999999999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26</v>
      </c>
      <c r="I3962" t="s">
        <v>34</v>
      </c>
      <c r="J3962">
        <v>12.84</v>
      </c>
      <c r="K3962">
        <v>3</v>
      </c>
      <c r="L3962">
        <v>0</v>
      </c>
      <c r="M3962">
        <v>3.4668000000000001</v>
      </c>
    </row>
    <row r="3963" spans="1:13" x14ac:dyDescent="0.3">
      <c r="A3963" t="s">
        <v>62</v>
      </c>
      <c r="B3963" t="s">
        <v>44</v>
      </c>
      <c r="C3963" t="s">
        <v>15</v>
      </c>
      <c r="D3963" t="s">
        <v>23</v>
      </c>
      <c r="E3963" t="s">
        <v>24</v>
      </c>
      <c r="F3963">
        <v>90045</v>
      </c>
      <c r="G3963" t="s">
        <v>25</v>
      </c>
      <c r="H3963" t="s">
        <v>19</v>
      </c>
      <c r="I3963" t="s">
        <v>33</v>
      </c>
      <c r="J3963">
        <v>44.67</v>
      </c>
      <c r="K3963">
        <v>3</v>
      </c>
      <c r="L3963">
        <v>0</v>
      </c>
      <c r="M3963">
        <v>12.0609</v>
      </c>
    </row>
    <row r="3964" spans="1:13" x14ac:dyDescent="0.3">
      <c r="A3964" t="s">
        <v>28</v>
      </c>
      <c r="B3964" t="s">
        <v>14</v>
      </c>
      <c r="C3964" t="s">
        <v>15</v>
      </c>
      <c r="D3964" t="s">
        <v>55</v>
      </c>
      <c r="E3964" t="s">
        <v>56</v>
      </c>
      <c r="F3964">
        <v>19140</v>
      </c>
      <c r="G3964" t="s">
        <v>57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13</v>
      </c>
      <c r="B3965" t="s">
        <v>22</v>
      </c>
      <c r="C3965" t="s">
        <v>15</v>
      </c>
      <c r="D3965" t="s">
        <v>236</v>
      </c>
      <c r="E3965" t="s">
        <v>40</v>
      </c>
      <c r="F3965">
        <v>28806</v>
      </c>
      <c r="G3965" t="s">
        <v>18</v>
      </c>
      <c r="H3965" t="s">
        <v>26</v>
      </c>
      <c r="I3965" t="s">
        <v>34</v>
      </c>
      <c r="J3965">
        <v>7.8719999999999999</v>
      </c>
      <c r="K3965">
        <v>3</v>
      </c>
      <c r="L3965">
        <v>0.2</v>
      </c>
      <c r="M3965">
        <v>0.88560000000000005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75</v>
      </c>
      <c r="E3966" t="s">
        <v>76</v>
      </c>
      <c r="F3966">
        <v>10024</v>
      </c>
      <c r="G3966" t="s">
        <v>57</v>
      </c>
      <c r="H3966" t="s">
        <v>26</v>
      </c>
      <c r="I3966" t="s">
        <v>34</v>
      </c>
      <c r="J3966">
        <v>88.04</v>
      </c>
      <c r="K3966">
        <v>4</v>
      </c>
      <c r="L3966">
        <v>0</v>
      </c>
      <c r="M3966">
        <v>22.8904</v>
      </c>
    </row>
    <row r="3967" spans="1:13" x14ac:dyDescent="0.3">
      <c r="A3967" t="s">
        <v>62</v>
      </c>
      <c r="B3967" t="s">
        <v>44</v>
      </c>
      <c r="C3967" t="s">
        <v>15</v>
      </c>
      <c r="D3967" t="s">
        <v>151</v>
      </c>
      <c r="E3967" t="s">
        <v>98</v>
      </c>
      <c r="F3967">
        <v>80906</v>
      </c>
      <c r="G3967" t="s">
        <v>25</v>
      </c>
      <c r="H3967" t="s">
        <v>26</v>
      </c>
      <c r="I3967" t="s">
        <v>37</v>
      </c>
      <c r="J3967">
        <v>40.634999999999998</v>
      </c>
      <c r="K3967">
        <v>7</v>
      </c>
      <c r="L3967">
        <v>0.7</v>
      </c>
      <c r="M3967">
        <v>-32.508000000000003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37</v>
      </c>
      <c r="J3968">
        <v>5.7279999999999998</v>
      </c>
      <c r="K3968">
        <v>8</v>
      </c>
      <c r="L3968">
        <v>0.8</v>
      </c>
      <c r="M3968">
        <v>-9.1647999999999996</v>
      </c>
    </row>
    <row r="3969" spans="1:13" x14ac:dyDescent="0.3">
      <c r="A3969" t="s">
        <v>28</v>
      </c>
      <c r="B3969" t="s">
        <v>22</v>
      </c>
      <c r="C3969" t="s">
        <v>15</v>
      </c>
      <c r="D3969" t="s">
        <v>122</v>
      </c>
      <c r="E3969" t="s">
        <v>46</v>
      </c>
      <c r="F3969">
        <v>78207</v>
      </c>
      <c r="G3969" t="s">
        <v>47</v>
      </c>
      <c r="H3969" t="s">
        <v>26</v>
      </c>
      <c r="I3969" t="s">
        <v>41</v>
      </c>
      <c r="J3969">
        <v>42.24</v>
      </c>
      <c r="K3969">
        <v>10</v>
      </c>
      <c r="L3969">
        <v>0.2</v>
      </c>
      <c r="M3969">
        <v>13.2</v>
      </c>
    </row>
    <row r="3970" spans="1:13" x14ac:dyDescent="0.3">
      <c r="A3970" t="s">
        <v>28</v>
      </c>
      <c r="B3970" t="s">
        <v>14</v>
      </c>
      <c r="C3970" t="s">
        <v>15</v>
      </c>
      <c r="D3970" t="s">
        <v>23</v>
      </c>
      <c r="E3970" t="s">
        <v>24</v>
      </c>
      <c r="F3970">
        <v>90036</v>
      </c>
      <c r="G3970" t="s">
        <v>25</v>
      </c>
      <c r="H3970" t="s">
        <v>26</v>
      </c>
      <c r="I3970" t="s">
        <v>41</v>
      </c>
      <c r="J3970">
        <v>53.82</v>
      </c>
      <c r="K3970">
        <v>9</v>
      </c>
      <c r="L3970">
        <v>0</v>
      </c>
      <c r="M3970">
        <v>24.219000000000001</v>
      </c>
    </row>
    <row r="3971" spans="1:13" x14ac:dyDescent="0.3">
      <c r="A3971" t="s">
        <v>13</v>
      </c>
      <c r="B3971" t="s">
        <v>44</v>
      </c>
      <c r="C3971" t="s">
        <v>15</v>
      </c>
      <c r="D3971" t="s">
        <v>430</v>
      </c>
      <c r="E3971" t="s">
        <v>70</v>
      </c>
      <c r="F3971">
        <v>48310</v>
      </c>
      <c r="G3971" t="s">
        <v>47</v>
      </c>
      <c r="H3971" t="s">
        <v>26</v>
      </c>
      <c r="I3971" t="s">
        <v>34</v>
      </c>
      <c r="J3971">
        <v>79.36</v>
      </c>
      <c r="K3971">
        <v>4</v>
      </c>
      <c r="L3971">
        <v>0</v>
      </c>
      <c r="M3971">
        <v>20.633600000000001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41</v>
      </c>
      <c r="J3972">
        <v>13.48</v>
      </c>
      <c r="K3972">
        <v>2</v>
      </c>
      <c r="L3972">
        <v>0</v>
      </c>
      <c r="M3972">
        <v>6.74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26</v>
      </c>
      <c r="I3973" t="s">
        <v>37</v>
      </c>
      <c r="J3973">
        <v>29.8</v>
      </c>
      <c r="K3973">
        <v>5</v>
      </c>
      <c r="L3973">
        <v>0.2</v>
      </c>
      <c r="M3973">
        <v>9.3125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19</v>
      </c>
      <c r="I3974" t="s">
        <v>33</v>
      </c>
      <c r="J3974">
        <v>414</v>
      </c>
      <c r="K3974">
        <v>8</v>
      </c>
      <c r="L3974">
        <v>0</v>
      </c>
      <c r="M3974">
        <v>124.2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41.328000000000003</v>
      </c>
      <c r="K3975">
        <v>7</v>
      </c>
      <c r="L3975">
        <v>0.2</v>
      </c>
      <c r="M3975">
        <v>14.981400000000001</v>
      </c>
    </row>
    <row r="3976" spans="1:13" x14ac:dyDescent="0.3">
      <c r="A3976" t="s">
        <v>62</v>
      </c>
      <c r="B3976" t="s">
        <v>14</v>
      </c>
      <c r="C3976" t="s">
        <v>15</v>
      </c>
      <c r="D3976" t="s">
        <v>182</v>
      </c>
      <c r="E3976" t="s">
        <v>83</v>
      </c>
      <c r="F3976">
        <v>23223</v>
      </c>
      <c r="G3976" t="s">
        <v>18</v>
      </c>
      <c r="H3976" t="s">
        <v>19</v>
      </c>
      <c r="I3976" t="s">
        <v>33</v>
      </c>
      <c r="J3976">
        <v>39.92</v>
      </c>
      <c r="K3976">
        <v>4</v>
      </c>
      <c r="L3976">
        <v>0</v>
      </c>
      <c r="M3976">
        <v>11.1776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26</v>
      </c>
      <c r="I3977" t="s">
        <v>77</v>
      </c>
      <c r="J3977">
        <v>8.94</v>
      </c>
      <c r="K3977">
        <v>3</v>
      </c>
      <c r="L3977">
        <v>0</v>
      </c>
      <c r="M3977">
        <v>4.1124000000000001</v>
      </c>
    </row>
    <row r="3978" spans="1:13" x14ac:dyDescent="0.3">
      <c r="A3978" t="s">
        <v>28</v>
      </c>
      <c r="B3978" t="s">
        <v>44</v>
      </c>
      <c r="C3978" t="s">
        <v>15</v>
      </c>
      <c r="D3978" t="s">
        <v>42</v>
      </c>
      <c r="E3978" t="s">
        <v>43</v>
      </c>
      <c r="F3978">
        <v>98105</v>
      </c>
      <c r="G3978" t="s">
        <v>25</v>
      </c>
      <c r="H3978" t="s">
        <v>35</v>
      </c>
      <c r="I3978" t="s">
        <v>36</v>
      </c>
      <c r="J3978">
        <v>84.784000000000006</v>
      </c>
      <c r="K3978">
        <v>2</v>
      </c>
      <c r="L3978">
        <v>0.2</v>
      </c>
      <c r="M3978">
        <v>-20.136199999999999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19</v>
      </c>
      <c r="I3979" t="s">
        <v>31</v>
      </c>
      <c r="J3979">
        <v>53.316000000000003</v>
      </c>
      <c r="K3979">
        <v>2</v>
      </c>
      <c r="L3979">
        <v>0.4</v>
      </c>
      <c r="M3979">
        <v>-19.549199999999999</v>
      </c>
    </row>
    <row r="3980" spans="1:13" x14ac:dyDescent="0.3">
      <c r="A3980" t="s">
        <v>28</v>
      </c>
      <c r="B3980" t="s">
        <v>22</v>
      </c>
      <c r="C3980" t="s">
        <v>15</v>
      </c>
      <c r="D3980" t="s">
        <v>75</v>
      </c>
      <c r="E3980" t="s">
        <v>76</v>
      </c>
      <c r="F3980">
        <v>10024</v>
      </c>
      <c r="G3980" t="s">
        <v>57</v>
      </c>
      <c r="H3980" t="s">
        <v>26</v>
      </c>
      <c r="I3980" t="s">
        <v>38</v>
      </c>
      <c r="J3980">
        <v>56.52</v>
      </c>
      <c r="K3980">
        <v>3</v>
      </c>
      <c r="L3980">
        <v>0</v>
      </c>
      <c r="M3980">
        <v>15.8256</v>
      </c>
    </row>
    <row r="3981" spans="1:13" x14ac:dyDescent="0.3">
      <c r="A3981" t="s">
        <v>28</v>
      </c>
      <c r="B3981" t="s">
        <v>44</v>
      </c>
      <c r="C3981" t="s">
        <v>15</v>
      </c>
      <c r="D3981" t="s">
        <v>42</v>
      </c>
      <c r="E3981" t="s">
        <v>43</v>
      </c>
      <c r="F3981">
        <v>98115</v>
      </c>
      <c r="G3981" t="s">
        <v>25</v>
      </c>
      <c r="H3981" t="s">
        <v>19</v>
      </c>
      <c r="I3981" t="s">
        <v>33</v>
      </c>
      <c r="J3981">
        <v>22.77</v>
      </c>
      <c r="K3981">
        <v>3</v>
      </c>
      <c r="L3981">
        <v>0</v>
      </c>
      <c r="M3981">
        <v>9.7911000000000001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19</v>
      </c>
      <c r="I3982" t="s">
        <v>21</v>
      </c>
      <c r="J3982">
        <v>287.96800000000002</v>
      </c>
      <c r="K3982">
        <v>4</v>
      </c>
      <c r="L3982">
        <v>0.2</v>
      </c>
      <c r="M3982">
        <v>-3.5996000000000001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35</v>
      </c>
      <c r="I3983" t="s">
        <v>162</v>
      </c>
      <c r="J3983">
        <v>2799.96</v>
      </c>
      <c r="K3983">
        <v>5</v>
      </c>
      <c r="L3983">
        <v>0.2</v>
      </c>
      <c r="M3983">
        <v>944.98649999999998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26</v>
      </c>
      <c r="I3984" t="s">
        <v>41</v>
      </c>
      <c r="J3984">
        <v>48.94</v>
      </c>
      <c r="K3984">
        <v>1</v>
      </c>
      <c r="L3984">
        <v>0</v>
      </c>
      <c r="M3984">
        <v>24.47</v>
      </c>
    </row>
    <row r="3985" spans="1:13" x14ac:dyDescent="0.3">
      <c r="A3985" t="s">
        <v>28</v>
      </c>
      <c r="B3985" t="s">
        <v>14</v>
      </c>
      <c r="C3985" t="s">
        <v>15</v>
      </c>
      <c r="D3985" t="s">
        <v>154</v>
      </c>
      <c r="E3985" t="s">
        <v>24</v>
      </c>
      <c r="F3985">
        <v>90712</v>
      </c>
      <c r="G3985" t="s">
        <v>25</v>
      </c>
      <c r="H3985" t="s">
        <v>19</v>
      </c>
      <c r="I3985" t="s">
        <v>20</v>
      </c>
      <c r="J3985">
        <v>257.49900000000002</v>
      </c>
      <c r="K3985">
        <v>3</v>
      </c>
      <c r="L3985">
        <v>0.15</v>
      </c>
      <c r="M3985">
        <v>24.235199999999999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32</v>
      </c>
      <c r="J3986">
        <v>2591.56</v>
      </c>
      <c r="K3986">
        <v>4</v>
      </c>
      <c r="L3986">
        <v>0</v>
      </c>
      <c r="M3986">
        <v>621.97439999999995</v>
      </c>
    </row>
    <row r="3987" spans="1:13" x14ac:dyDescent="0.3">
      <c r="A3987" t="s">
        <v>28</v>
      </c>
      <c r="B3987" t="s">
        <v>44</v>
      </c>
      <c r="C3987" t="s">
        <v>15</v>
      </c>
      <c r="D3987" t="s">
        <v>218</v>
      </c>
      <c r="E3987" t="s">
        <v>132</v>
      </c>
      <c r="F3987">
        <v>7060</v>
      </c>
      <c r="G3987" t="s">
        <v>57</v>
      </c>
      <c r="H3987" t="s">
        <v>26</v>
      </c>
      <c r="I3987" t="s">
        <v>38</v>
      </c>
      <c r="J3987">
        <v>41.95</v>
      </c>
      <c r="K3987">
        <v>5</v>
      </c>
      <c r="L3987">
        <v>0</v>
      </c>
      <c r="M3987">
        <v>10.487500000000001</v>
      </c>
    </row>
    <row r="3988" spans="1:13" x14ac:dyDescent="0.3">
      <c r="A3988" t="s">
        <v>28</v>
      </c>
      <c r="B3988" t="s">
        <v>22</v>
      </c>
      <c r="C3988" t="s">
        <v>15</v>
      </c>
      <c r="D3988" t="s">
        <v>90</v>
      </c>
      <c r="E3988" t="s">
        <v>86</v>
      </c>
      <c r="F3988">
        <v>38401</v>
      </c>
      <c r="G3988" t="s">
        <v>18</v>
      </c>
      <c r="H3988" t="s">
        <v>19</v>
      </c>
      <c r="I3988" t="s">
        <v>33</v>
      </c>
      <c r="J3988">
        <v>79.12</v>
      </c>
      <c r="K3988">
        <v>5</v>
      </c>
      <c r="L3988">
        <v>0.2</v>
      </c>
      <c r="M3988">
        <v>13.846</v>
      </c>
    </row>
    <row r="3989" spans="1:13" x14ac:dyDescent="0.3">
      <c r="A3989" t="s">
        <v>13</v>
      </c>
      <c r="B3989" t="s">
        <v>14</v>
      </c>
      <c r="C3989" t="s">
        <v>15</v>
      </c>
      <c r="D3989" t="s">
        <v>473</v>
      </c>
      <c r="E3989" t="s">
        <v>179</v>
      </c>
      <c r="F3989">
        <v>2895</v>
      </c>
      <c r="G3989" t="s">
        <v>57</v>
      </c>
      <c r="H3989" t="s">
        <v>19</v>
      </c>
      <c r="I3989" t="s">
        <v>33</v>
      </c>
      <c r="J3989">
        <v>52.96</v>
      </c>
      <c r="K3989">
        <v>2</v>
      </c>
      <c r="L3989">
        <v>0</v>
      </c>
      <c r="M3989">
        <v>20.1248</v>
      </c>
    </row>
    <row r="3990" spans="1:13" x14ac:dyDescent="0.3">
      <c r="A3990" t="s">
        <v>28</v>
      </c>
      <c r="B3990" t="s">
        <v>14</v>
      </c>
      <c r="C3990" t="s">
        <v>15</v>
      </c>
      <c r="D3990" t="s">
        <v>235</v>
      </c>
      <c r="E3990" t="s">
        <v>56</v>
      </c>
      <c r="F3990">
        <v>17602</v>
      </c>
      <c r="G3990" t="s">
        <v>57</v>
      </c>
      <c r="H3990" t="s">
        <v>26</v>
      </c>
      <c r="I3990" t="s">
        <v>110</v>
      </c>
      <c r="J3990">
        <v>286.34399999999999</v>
      </c>
      <c r="K3990">
        <v>3</v>
      </c>
      <c r="L3990">
        <v>0.2</v>
      </c>
      <c r="M3990">
        <v>-64.427400000000006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19</v>
      </c>
      <c r="I3991" t="s">
        <v>33</v>
      </c>
      <c r="J3991">
        <v>63.552</v>
      </c>
      <c r="K3991">
        <v>3</v>
      </c>
      <c r="L3991">
        <v>0.2</v>
      </c>
      <c r="M3991">
        <v>14.299200000000001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110</v>
      </c>
      <c r="J3992">
        <v>41.375999999999998</v>
      </c>
      <c r="K3992">
        <v>3</v>
      </c>
      <c r="L3992">
        <v>0.2</v>
      </c>
      <c r="M3992">
        <v>4.6547999999999998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26</v>
      </c>
      <c r="I3993" t="s">
        <v>34</v>
      </c>
      <c r="J3993">
        <v>172.70400000000001</v>
      </c>
      <c r="K3993">
        <v>6</v>
      </c>
      <c r="L3993">
        <v>0.2</v>
      </c>
      <c r="M3993">
        <v>10.794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20</v>
      </c>
      <c r="J3994">
        <v>512.94000000000005</v>
      </c>
      <c r="K3994">
        <v>3</v>
      </c>
      <c r="L3994">
        <v>0</v>
      </c>
      <c r="M3994">
        <v>97.458600000000004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19</v>
      </c>
      <c r="I3995" t="s">
        <v>21</v>
      </c>
      <c r="J3995">
        <v>860.93</v>
      </c>
      <c r="K3995">
        <v>7</v>
      </c>
      <c r="L3995">
        <v>0</v>
      </c>
      <c r="M3995">
        <v>189.40459999999999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35</v>
      </c>
      <c r="I3996" t="s">
        <v>36</v>
      </c>
      <c r="J3996">
        <v>769.95</v>
      </c>
      <c r="K3996">
        <v>5</v>
      </c>
      <c r="L3996">
        <v>0</v>
      </c>
      <c r="M3996">
        <v>223.28550000000001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26</v>
      </c>
      <c r="I3997" t="s">
        <v>34</v>
      </c>
      <c r="J3997">
        <v>14.98</v>
      </c>
      <c r="K3997">
        <v>1</v>
      </c>
      <c r="L3997">
        <v>0</v>
      </c>
      <c r="M3997">
        <v>4.4939999999999998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19</v>
      </c>
      <c r="I3998" t="s">
        <v>33</v>
      </c>
      <c r="J3998">
        <v>373.08</v>
      </c>
      <c r="K3998">
        <v>6</v>
      </c>
      <c r="L3998">
        <v>0</v>
      </c>
      <c r="M3998">
        <v>82.077600000000004</v>
      </c>
    </row>
    <row r="3999" spans="1:13" x14ac:dyDescent="0.3">
      <c r="A3999" t="s">
        <v>13</v>
      </c>
      <c r="B3999" t="s">
        <v>22</v>
      </c>
      <c r="C3999" t="s">
        <v>15</v>
      </c>
      <c r="D3999" t="s">
        <v>460</v>
      </c>
      <c r="E3999" t="s">
        <v>30</v>
      </c>
      <c r="F3999">
        <v>34952</v>
      </c>
      <c r="G3999" t="s">
        <v>18</v>
      </c>
      <c r="H3999" t="s">
        <v>19</v>
      </c>
      <c r="I3999" t="s">
        <v>20</v>
      </c>
      <c r="J3999">
        <v>231.92</v>
      </c>
      <c r="K3999">
        <v>5</v>
      </c>
      <c r="L3999">
        <v>0.2</v>
      </c>
      <c r="M3999">
        <v>5.798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19</v>
      </c>
      <c r="I4000" t="s">
        <v>33</v>
      </c>
      <c r="J4000">
        <v>63.47</v>
      </c>
      <c r="K4000">
        <v>11</v>
      </c>
      <c r="L4000">
        <v>0</v>
      </c>
      <c r="M4000">
        <v>19.041</v>
      </c>
    </row>
    <row r="4001" spans="1:13" x14ac:dyDescent="0.3">
      <c r="A4001" t="s">
        <v>28</v>
      </c>
      <c r="B4001" t="s">
        <v>44</v>
      </c>
      <c r="C4001" t="s">
        <v>15</v>
      </c>
      <c r="D4001" t="s">
        <v>42</v>
      </c>
      <c r="E4001" t="s">
        <v>43</v>
      </c>
      <c r="F4001">
        <v>98115</v>
      </c>
      <c r="G4001" t="s">
        <v>25</v>
      </c>
      <c r="H4001" t="s">
        <v>35</v>
      </c>
      <c r="I4001" t="s">
        <v>59</v>
      </c>
      <c r="J4001">
        <v>345</v>
      </c>
      <c r="K4001">
        <v>5</v>
      </c>
      <c r="L4001">
        <v>0</v>
      </c>
      <c r="M4001">
        <v>58.65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19</v>
      </c>
      <c r="I4002" t="s">
        <v>31</v>
      </c>
      <c r="J4002">
        <v>637.89599999999996</v>
      </c>
      <c r="K4002">
        <v>3</v>
      </c>
      <c r="L4002">
        <v>0.3</v>
      </c>
      <c r="M4002">
        <v>-127.5792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35</v>
      </c>
      <c r="I4003" t="s">
        <v>123</v>
      </c>
      <c r="J4003">
        <v>287.91000000000003</v>
      </c>
      <c r="K4003">
        <v>3</v>
      </c>
      <c r="L4003">
        <v>0.4</v>
      </c>
      <c r="M4003">
        <v>33.589500000000001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26</v>
      </c>
      <c r="I4004" t="s">
        <v>60</v>
      </c>
      <c r="J4004">
        <v>36.6</v>
      </c>
      <c r="K4004">
        <v>3</v>
      </c>
      <c r="L4004">
        <v>0.2</v>
      </c>
      <c r="M4004">
        <v>11.895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34</v>
      </c>
      <c r="J4005">
        <v>1.78</v>
      </c>
      <c r="K4005">
        <v>1</v>
      </c>
      <c r="L4005">
        <v>0</v>
      </c>
      <c r="M4005">
        <v>0.49840000000000001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26</v>
      </c>
      <c r="I4006" t="s">
        <v>41</v>
      </c>
      <c r="J4006">
        <v>25.92</v>
      </c>
      <c r="K4006">
        <v>4</v>
      </c>
      <c r="L4006">
        <v>0</v>
      </c>
      <c r="M4006">
        <v>12.441599999999999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35</v>
      </c>
      <c r="I4007" t="s">
        <v>59</v>
      </c>
      <c r="J4007">
        <v>101.94</v>
      </c>
      <c r="K4007">
        <v>6</v>
      </c>
      <c r="L4007">
        <v>0</v>
      </c>
      <c r="M4007">
        <v>21.407399999999999</v>
      </c>
    </row>
    <row r="4008" spans="1:13" x14ac:dyDescent="0.3">
      <c r="A4008" t="s">
        <v>28</v>
      </c>
      <c r="B4008" t="s">
        <v>22</v>
      </c>
      <c r="C4008" t="s">
        <v>15</v>
      </c>
      <c r="D4008" t="s">
        <v>183</v>
      </c>
      <c r="E4008" t="s">
        <v>98</v>
      </c>
      <c r="F4008">
        <v>80027</v>
      </c>
      <c r="G4008" t="s">
        <v>25</v>
      </c>
      <c r="H4008" t="s">
        <v>26</v>
      </c>
      <c r="I4008" t="s">
        <v>34</v>
      </c>
      <c r="J4008">
        <v>6.8479999999999999</v>
      </c>
      <c r="K4008">
        <v>2</v>
      </c>
      <c r="L4008">
        <v>0.2</v>
      </c>
      <c r="M4008">
        <v>0.59919999999999995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23</v>
      </c>
      <c r="E4009" t="s">
        <v>24</v>
      </c>
      <c r="F4009">
        <v>90036</v>
      </c>
      <c r="G4009" t="s">
        <v>25</v>
      </c>
      <c r="H4009" t="s">
        <v>19</v>
      </c>
      <c r="I4009" t="s">
        <v>33</v>
      </c>
      <c r="J4009">
        <v>474.43</v>
      </c>
      <c r="K4009">
        <v>11</v>
      </c>
      <c r="L4009">
        <v>0</v>
      </c>
      <c r="M4009">
        <v>199.26060000000001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41</v>
      </c>
      <c r="J4010">
        <v>8.4480000000000004</v>
      </c>
      <c r="K4010">
        <v>2</v>
      </c>
      <c r="L4010">
        <v>0.2</v>
      </c>
      <c r="M4010">
        <v>2.64</v>
      </c>
    </row>
    <row r="4011" spans="1:13" x14ac:dyDescent="0.3">
      <c r="A4011" t="s">
        <v>62</v>
      </c>
      <c r="B4011" t="s">
        <v>14</v>
      </c>
      <c r="C4011" t="s">
        <v>15</v>
      </c>
      <c r="D4011" t="s">
        <v>55</v>
      </c>
      <c r="E4011" t="s">
        <v>56</v>
      </c>
      <c r="F4011">
        <v>19143</v>
      </c>
      <c r="G4011" t="s">
        <v>57</v>
      </c>
      <c r="H4011" t="s">
        <v>26</v>
      </c>
      <c r="I4011" t="s">
        <v>32</v>
      </c>
      <c r="J4011">
        <v>39.295999999999999</v>
      </c>
      <c r="K4011">
        <v>4</v>
      </c>
      <c r="L4011">
        <v>0.2</v>
      </c>
      <c r="M4011">
        <v>3.9296000000000002</v>
      </c>
    </row>
    <row r="4012" spans="1:13" x14ac:dyDescent="0.3">
      <c r="A4012" t="s">
        <v>28</v>
      </c>
      <c r="B4012" t="s">
        <v>44</v>
      </c>
      <c r="C4012" t="s">
        <v>15</v>
      </c>
      <c r="D4012" t="s">
        <v>474</v>
      </c>
      <c r="E4012" t="s">
        <v>49</v>
      </c>
      <c r="F4012">
        <v>54880</v>
      </c>
      <c r="G4012" t="s">
        <v>47</v>
      </c>
      <c r="H4012" t="s">
        <v>26</v>
      </c>
      <c r="I4012" t="s">
        <v>34</v>
      </c>
      <c r="J4012">
        <v>17.12</v>
      </c>
      <c r="K4012">
        <v>4</v>
      </c>
      <c r="L4012">
        <v>0</v>
      </c>
      <c r="M4012">
        <v>4.9648000000000003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38</v>
      </c>
      <c r="J4013">
        <v>542.94000000000005</v>
      </c>
      <c r="K4013">
        <v>3</v>
      </c>
      <c r="L4013">
        <v>0</v>
      </c>
      <c r="M4013">
        <v>152.0232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27</v>
      </c>
      <c r="J4014">
        <v>8.64</v>
      </c>
      <c r="K4014">
        <v>3</v>
      </c>
      <c r="L4014">
        <v>0</v>
      </c>
      <c r="M4014">
        <v>4.2336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193.8</v>
      </c>
      <c r="K4015">
        <v>5</v>
      </c>
      <c r="L4015">
        <v>0</v>
      </c>
      <c r="M4015">
        <v>94.962000000000003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21.4</v>
      </c>
      <c r="K4016">
        <v>5</v>
      </c>
      <c r="L4016">
        <v>0</v>
      </c>
      <c r="M4016">
        <v>9.6300000000000008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97.88</v>
      </c>
      <c r="K4017">
        <v>2</v>
      </c>
      <c r="L4017">
        <v>0</v>
      </c>
      <c r="M4017">
        <v>48.94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35</v>
      </c>
      <c r="I4018" t="s">
        <v>59</v>
      </c>
      <c r="J4018">
        <v>251.91</v>
      </c>
      <c r="K4018">
        <v>9</v>
      </c>
      <c r="L4018">
        <v>0</v>
      </c>
      <c r="M4018">
        <v>47.862900000000003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38</v>
      </c>
      <c r="J4019">
        <v>25.86</v>
      </c>
      <c r="K4019">
        <v>3</v>
      </c>
      <c r="L4019">
        <v>0</v>
      </c>
      <c r="M4019">
        <v>6.7236000000000002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19</v>
      </c>
      <c r="I4020" t="s">
        <v>21</v>
      </c>
      <c r="J4020">
        <v>170.05799999999999</v>
      </c>
      <c r="K4020">
        <v>3</v>
      </c>
      <c r="L4020">
        <v>0.3</v>
      </c>
      <c r="M4020">
        <v>-4.8587999999999996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35</v>
      </c>
      <c r="I4021" t="s">
        <v>36</v>
      </c>
      <c r="J4021">
        <v>82.781999999999996</v>
      </c>
      <c r="K4021">
        <v>3</v>
      </c>
      <c r="L4021">
        <v>0.4</v>
      </c>
      <c r="M4021">
        <v>-15.1767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853.93</v>
      </c>
      <c r="K4022">
        <v>5</v>
      </c>
      <c r="L4022">
        <v>0.3</v>
      </c>
      <c r="M4022">
        <v>0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19</v>
      </c>
      <c r="I4023" t="s">
        <v>20</v>
      </c>
      <c r="J4023">
        <v>556.66499999999996</v>
      </c>
      <c r="K4023">
        <v>5</v>
      </c>
      <c r="L4023">
        <v>0.15</v>
      </c>
      <c r="M4023">
        <v>6.5490000000000004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52</v>
      </c>
      <c r="E4024" t="s">
        <v>24</v>
      </c>
      <c r="F4024">
        <v>94110</v>
      </c>
      <c r="G4024" t="s">
        <v>25</v>
      </c>
      <c r="H4024" t="s">
        <v>35</v>
      </c>
      <c r="I4024" t="s">
        <v>36</v>
      </c>
      <c r="J4024">
        <v>95.84</v>
      </c>
      <c r="K4024">
        <v>4</v>
      </c>
      <c r="L4024">
        <v>0.2</v>
      </c>
      <c r="M4024">
        <v>34.741999999999997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41</v>
      </c>
      <c r="J4025">
        <v>29.664000000000001</v>
      </c>
      <c r="K4025">
        <v>4</v>
      </c>
      <c r="L4025">
        <v>0.2</v>
      </c>
      <c r="M4025">
        <v>10.0116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26</v>
      </c>
      <c r="I4026" t="s">
        <v>34</v>
      </c>
      <c r="J4026">
        <v>9.1839999999999993</v>
      </c>
      <c r="K4026">
        <v>7</v>
      </c>
      <c r="L4026">
        <v>0.2</v>
      </c>
      <c r="M4026">
        <v>2.87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35</v>
      </c>
      <c r="I4027" t="s">
        <v>36</v>
      </c>
      <c r="J4027">
        <v>153.584</v>
      </c>
      <c r="K4027">
        <v>2</v>
      </c>
      <c r="L4027">
        <v>0.2</v>
      </c>
      <c r="M4027">
        <v>13.438599999999999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37</v>
      </c>
      <c r="J4028">
        <v>12.864000000000001</v>
      </c>
      <c r="K4028">
        <v>8</v>
      </c>
      <c r="L4028">
        <v>0.8</v>
      </c>
      <c r="M4028">
        <v>-22.512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35</v>
      </c>
      <c r="I4029" t="s">
        <v>123</v>
      </c>
      <c r="J4029">
        <v>479.97</v>
      </c>
      <c r="K4029">
        <v>3</v>
      </c>
      <c r="L4029">
        <v>0</v>
      </c>
      <c r="M4029">
        <v>239.98500000000001</v>
      </c>
    </row>
    <row r="4030" spans="1:13" x14ac:dyDescent="0.3">
      <c r="A4030" t="s">
        <v>28</v>
      </c>
      <c r="B4030" t="s">
        <v>14</v>
      </c>
      <c r="C4030" t="s">
        <v>15</v>
      </c>
      <c r="D4030" t="s">
        <v>325</v>
      </c>
      <c r="E4030" t="s">
        <v>125</v>
      </c>
      <c r="F4030">
        <v>70506</v>
      </c>
      <c r="G4030" t="s">
        <v>18</v>
      </c>
      <c r="H4030" t="s">
        <v>19</v>
      </c>
      <c r="I4030" t="s">
        <v>21</v>
      </c>
      <c r="J4030">
        <v>232.88</v>
      </c>
      <c r="K4030">
        <v>4</v>
      </c>
      <c r="L4030">
        <v>0</v>
      </c>
      <c r="M4030">
        <v>60.5488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38</v>
      </c>
      <c r="J4031">
        <v>236.88</v>
      </c>
      <c r="K4031">
        <v>6</v>
      </c>
      <c r="L4031">
        <v>0</v>
      </c>
      <c r="M4031">
        <v>66.326400000000007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26</v>
      </c>
      <c r="I4032" t="s">
        <v>41</v>
      </c>
      <c r="J4032">
        <v>29.9</v>
      </c>
      <c r="K4032">
        <v>5</v>
      </c>
      <c r="L4032">
        <v>0</v>
      </c>
      <c r="M4032">
        <v>14.651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35</v>
      </c>
      <c r="I4033" t="s">
        <v>59</v>
      </c>
      <c r="J4033">
        <v>100</v>
      </c>
      <c r="K4033">
        <v>4</v>
      </c>
      <c r="L4033">
        <v>0</v>
      </c>
      <c r="M4033">
        <v>21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26</v>
      </c>
      <c r="I4034" t="s">
        <v>37</v>
      </c>
      <c r="J4034">
        <v>18.693000000000001</v>
      </c>
      <c r="K4034">
        <v>3</v>
      </c>
      <c r="L4034">
        <v>0.7</v>
      </c>
      <c r="M4034">
        <v>-14.331300000000001</v>
      </c>
    </row>
    <row r="4035" spans="1:13" x14ac:dyDescent="0.3">
      <c r="A4035" t="s">
        <v>168</v>
      </c>
      <c r="B4035" t="s">
        <v>22</v>
      </c>
      <c r="C4035" t="s">
        <v>15</v>
      </c>
      <c r="D4035" t="s">
        <v>243</v>
      </c>
      <c r="E4035" t="s">
        <v>104</v>
      </c>
      <c r="F4035">
        <v>44052</v>
      </c>
      <c r="G4035" t="s">
        <v>57</v>
      </c>
      <c r="H4035" t="s">
        <v>35</v>
      </c>
      <c r="I4035" t="s">
        <v>59</v>
      </c>
      <c r="J4035">
        <v>383.952</v>
      </c>
      <c r="K4035">
        <v>6</v>
      </c>
      <c r="L4035">
        <v>0.2</v>
      </c>
      <c r="M4035">
        <v>76.790400000000005</v>
      </c>
    </row>
    <row r="4036" spans="1:13" x14ac:dyDescent="0.3">
      <c r="A4036" t="s">
        <v>28</v>
      </c>
      <c r="B4036" t="s">
        <v>14</v>
      </c>
      <c r="C4036" t="s">
        <v>15</v>
      </c>
      <c r="D4036" t="s">
        <v>79</v>
      </c>
      <c r="E4036" t="s">
        <v>65</v>
      </c>
      <c r="F4036">
        <v>60623</v>
      </c>
      <c r="G4036" t="s">
        <v>47</v>
      </c>
      <c r="H4036" t="s">
        <v>26</v>
      </c>
      <c r="I4036" t="s">
        <v>32</v>
      </c>
      <c r="J4036">
        <v>24.815999999999999</v>
      </c>
      <c r="K4036">
        <v>2</v>
      </c>
      <c r="L4036">
        <v>0.2</v>
      </c>
      <c r="M4036">
        <v>1.5509999999999999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19</v>
      </c>
      <c r="I4037" t="s">
        <v>33</v>
      </c>
      <c r="J4037">
        <v>24.9</v>
      </c>
      <c r="K4037">
        <v>5</v>
      </c>
      <c r="L4037">
        <v>0</v>
      </c>
      <c r="M4037">
        <v>8.2170000000000005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26</v>
      </c>
      <c r="I4038" t="s">
        <v>41</v>
      </c>
      <c r="J4038">
        <v>21.12</v>
      </c>
      <c r="K4038">
        <v>4</v>
      </c>
      <c r="L4038">
        <v>0</v>
      </c>
      <c r="M4038">
        <v>9.5039999999999996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35</v>
      </c>
      <c r="I4039" t="s">
        <v>123</v>
      </c>
      <c r="J4039">
        <v>767.952</v>
      </c>
      <c r="K4039">
        <v>6</v>
      </c>
      <c r="L4039">
        <v>0.2</v>
      </c>
      <c r="M4039">
        <v>287.98200000000003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37</v>
      </c>
      <c r="J4040">
        <v>14.352</v>
      </c>
      <c r="K4040">
        <v>3</v>
      </c>
      <c r="L4040">
        <v>0.2</v>
      </c>
      <c r="M4040">
        <v>4.6643999999999997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36</v>
      </c>
      <c r="J4041">
        <v>191.976</v>
      </c>
      <c r="K4041">
        <v>3</v>
      </c>
      <c r="L4041">
        <v>0.2</v>
      </c>
      <c r="M4041">
        <v>19.197600000000001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27</v>
      </c>
      <c r="J4042">
        <v>274.77</v>
      </c>
      <c r="K4042">
        <v>9</v>
      </c>
      <c r="L4042">
        <v>0</v>
      </c>
      <c r="M4042">
        <v>126.3942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70.56</v>
      </c>
      <c r="K4043">
        <v>6</v>
      </c>
      <c r="L4043">
        <v>0</v>
      </c>
      <c r="M4043">
        <v>23.990400000000001</v>
      </c>
    </row>
    <row r="4044" spans="1:13" x14ac:dyDescent="0.3">
      <c r="A4044" t="s">
        <v>28</v>
      </c>
      <c r="B4044" t="s">
        <v>14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19</v>
      </c>
      <c r="I4044" t="s">
        <v>33</v>
      </c>
      <c r="J4044">
        <v>204.85</v>
      </c>
      <c r="K4044">
        <v>5</v>
      </c>
      <c r="L4044">
        <v>0</v>
      </c>
      <c r="M4044">
        <v>57.357999999999997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61</v>
      </c>
      <c r="E4045" t="s">
        <v>46</v>
      </c>
      <c r="F4045">
        <v>77070</v>
      </c>
      <c r="G4045" t="s">
        <v>47</v>
      </c>
      <c r="H4045" t="s">
        <v>26</v>
      </c>
      <c r="I4045" t="s">
        <v>37</v>
      </c>
      <c r="J4045">
        <v>9.1560000000000006</v>
      </c>
      <c r="K4045">
        <v>3</v>
      </c>
      <c r="L4045">
        <v>0.8</v>
      </c>
      <c r="M4045">
        <v>-13.734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79</v>
      </c>
      <c r="E4046" t="s">
        <v>65</v>
      </c>
      <c r="F4046">
        <v>60653</v>
      </c>
      <c r="G4046" t="s">
        <v>47</v>
      </c>
      <c r="H4046" t="s">
        <v>26</v>
      </c>
      <c r="I4046" t="s">
        <v>38</v>
      </c>
      <c r="J4046">
        <v>23.992000000000001</v>
      </c>
      <c r="K4046">
        <v>2</v>
      </c>
      <c r="L4046">
        <v>0.8</v>
      </c>
      <c r="M4046">
        <v>-62.379199999999997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26</v>
      </c>
      <c r="I4047" t="s">
        <v>41</v>
      </c>
      <c r="J4047">
        <v>80.88</v>
      </c>
      <c r="K4047">
        <v>3</v>
      </c>
      <c r="L4047">
        <v>0</v>
      </c>
      <c r="M4047">
        <v>39.6312</v>
      </c>
    </row>
    <row r="4048" spans="1:13" x14ac:dyDescent="0.3">
      <c r="A4048" t="s">
        <v>62</v>
      </c>
      <c r="B4048" t="s">
        <v>22</v>
      </c>
      <c r="C4048" t="s">
        <v>15</v>
      </c>
      <c r="D4048" t="s">
        <v>75</v>
      </c>
      <c r="E4048" t="s">
        <v>76</v>
      </c>
      <c r="F4048">
        <v>10035</v>
      </c>
      <c r="G4048" t="s">
        <v>57</v>
      </c>
      <c r="H4048" t="s">
        <v>35</v>
      </c>
      <c r="I4048" t="s">
        <v>59</v>
      </c>
      <c r="J4048">
        <v>599.9</v>
      </c>
      <c r="K4048">
        <v>10</v>
      </c>
      <c r="L4048">
        <v>0</v>
      </c>
      <c r="M4048">
        <v>191.96799999999999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33</v>
      </c>
      <c r="J4049">
        <v>276.69</v>
      </c>
      <c r="K4049">
        <v>3</v>
      </c>
      <c r="L4049">
        <v>0</v>
      </c>
      <c r="M4049">
        <v>49.804200000000002</v>
      </c>
    </row>
    <row r="4050" spans="1:13" x14ac:dyDescent="0.3">
      <c r="A4050" t="s">
        <v>13</v>
      </c>
      <c r="B4050" t="s">
        <v>14</v>
      </c>
      <c r="C4050" t="s">
        <v>15</v>
      </c>
      <c r="D4050" t="s">
        <v>75</v>
      </c>
      <c r="E4050" t="s">
        <v>76</v>
      </c>
      <c r="F4050">
        <v>10011</v>
      </c>
      <c r="G4050" t="s">
        <v>57</v>
      </c>
      <c r="H4050" t="s">
        <v>19</v>
      </c>
      <c r="I4050" t="s">
        <v>21</v>
      </c>
      <c r="J4050">
        <v>172.76400000000001</v>
      </c>
      <c r="K4050">
        <v>2</v>
      </c>
      <c r="L4050">
        <v>0.1</v>
      </c>
      <c r="M4050">
        <v>32.633200000000002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26</v>
      </c>
      <c r="I4051" t="s">
        <v>34</v>
      </c>
      <c r="J4051">
        <v>4.2240000000000002</v>
      </c>
      <c r="K4051">
        <v>3</v>
      </c>
      <c r="L4051">
        <v>0.2</v>
      </c>
      <c r="M4051">
        <v>1.4783999999999999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19</v>
      </c>
      <c r="I4052" t="s">
        <v>31</v>
      </c>
      <c r="J4052">
        <v>409.27199999999999</v>
      </c>
      <c r="K4052">
        <v>2</v>
      </c>
      <c r="L4052">
        <v>0.4</v>
      </c>
      <c r="M4052">
        <v>-81.854399999999998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27</v>
      </c>
      <c r="J4053">
        <v>55.44</v>
      </c>
      <c r="K4053">
        <v>11</v>
      </c>
      <c r="L4053">
        <v>0.2</v>
      </c>
      <c r="M4053">
        <v>18.018000000000001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41</v>
      </c>
      <c r="J4054">
        <v>20.928000000000001</v>
      </c>
      <c r="K4054">
        <v>4</v>
      </c>
      <c r="L4054">
        <v>0.2</v>
      </c>
      <c r="M4054">
        <v>6.8015999999999996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32</v>
      </c>
      <c r="J4055">
        <v>1801.6320000000001</v>
      </c>
      <c r="K4055">
        <v>6</v>
      </c>
      <c r="L4055">
        <v>0.2</v>
      </c>
      <c r="M4055">
        <v>-337.80599999999998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19</v>
      </c>
      <c r="I4056" t="s">
        <v>31</v>
      </c>
      <c r="J4056">
        <v>67.176000000000002</v>
      </c>
      <c r="K4056">
        <v>1</v>
      </c>
      <c r="L4056">
        <v>0.4</v>
      </c>
      <c r="M4056">
        <v>-20.152799999999999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79</v>
      </c>
      <c r="E4057" t="s">
        <v>65</v>
      </c>
      <c r="F4057">
        <v>60610</v>
      </c>
      <c r="G4057" t="s">
        <v>47</v>
      </c>
      <c r="H4057" t="s">
        <v>26</v>
      </c>
      <c r="I4057" t="s">
        <v>32</v>
      </c>
      <c r="J4057">
        <v>646.20000000000005</v>
      </c>
      <c r="K4057">
        <v>5</v>
      </c>
      <c r="L4057">
        <v>0.2</v>
      </c>
      <c r="M4057">
        <v>-8.0775000000000006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35</v>
      </c>
      <c r="I4058" t="s">
        <v>36</v>
      </c>
      <c r="J4058">
        <v>72.744</v>
      </c>
      <c r="K4058">
        <v>7</v>
      </c>
      <c r="L4058">
        <v>0.2</v>
      </c>
      <c r="M4058">
        <v>-15.4581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267</v>
      </c>
      <c r="E4059" t="s">
        <v>24</v>
      </c>
      <c r="F4059">
        <v>94601</v>
      </c>
      <c r="G4059" t="s">
        <v>25</v>
      </c>
      <c r="H4059" t="s">
        <v>19</v>
      </c>
      <c r="I4059" t="s">
        <v>21</v>
      </c>
      <c r="J4059">
        <v>572.16</v>
      </c>
      <c r="K4059">
        <v>3</v>
      </c>
      <c r="L4059">
        <v>0.2</v>
      </c>
      <c r="M4059">
        <v>35.76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79</v>
      </c>
      <c r="E4060" t="s">
        <v>65</v>
      </c>
      <c r="F4060">
        <v>60610</v>
      </c>
      <c r="G4060" t="s">
        <v>47</v>
      </c>
      <c r="H4060" t="s">
        <v>35</v>
      </c>
      <c r="I4060" t="s">
        <v>59</v>
      </c>
      <c r="J4060">
        <v>68.111999999999995</v>
      </c>
      <c r="K4060">
        <v>3</v>
      </c>
      <c r="L4060">
        <v>0.2</v>
      </c>
      <c r="M4060">
        <v>17.8794</v>
      </c>
    </row>
    <row r="4061" spans="1:13" x14ac:dyDescent="0.3">
      <c r="A4061" t="s">
        <v>62</v>
      </c>
      <c r="B4061" t="s">
        <v>22</v>
      </c>
      <c r="C4061" t="s">
        <v>15</v>
      </c>
      <c r="D4061" t="s">
        <v>42</v>
      </c>
      <c r="E4061" t="s">
        <v>43</v>
      </c>
      <c r="F4061">
        <v>98105</v>
      </c>
      <c r="G4061" t="s">
        <v>25</v>
      </c>
      <c r="H4061" t="s">
        <v>26</v>
      </c>
      <c r="I4061" t="s">
        <v>37</v>
      </c>
      <c r="J4061">
        <v>25.032</v>
      </c>
      <c r="K4061">
        <v>3</v>
      </c>
      <c r="L4061">
        <v>0.2</v>
      </c>
      <c r="M4061">
        <v>7.8224999999999998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55</v>
      </c>
      <c r="E4062" t="s">
        <v>56</v>
      </c>
      <c r="F4062">
        <v>19143</v>
      </c>
      <c r="G4062" t="s">
        <v>57</v>
      </c>
      <c r="H4062" t="s">
        <v>35</v>
      </c>
      <c r="I4062" t="s">
        <v>59</v>
      </c>
      <c r="J4062">
        <v>39.991999999999997</v>
      </c>
      <c r="K4062">
        <v>1</v>
      </c>
      <c r="L4062">
        <v>0.2</v>
      </c>
      <c r="M4062">
        <v>7.4984999999999999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34</v>
      </c>
      <c r="J4063">
        <v>20.015999999999998</v>
      </c>
      <c r="K4063">
        <v>9</v>
      </c>
      <c r="L4063">
        <v>0.2</v>
      </c>
      <c r="M4063">
        <v>1.7514000000000001</v>
      </c>
    </row>
    <row r="4064" spans="1:13" x14ac:dyDescent="0.3">
      <c r="A4064" t="s">
        <v>62</v>
      </c>
      <c r="B4064" t="s">
        <v>14</v>
      </c>
      <c r="C4064" t="s">
        <v>15</v>
      </c>
      <c r="D4064" t="s">
        <v>39</v>
      </c>
      <c r="E4064" t="s">
        <v>40</v>
      </c>
      <c r="F4064">
        <v>28027</v>
      </c>
      <c r="G4064" t="s">
        <v>18</v>
      </c>
      <c r="H4064" t="s">
        <v>26</v>
      </c>
      <c r="I4064" t="s">
        <v>110</v>
      </c>
      <c r="J4064">
        <v>3.1040000000000001</v>
      </c>
      <c r="K4064">
        <v>1</v>
      </c>
      <c r="L4064">
        <v>0.2</v>
      </c>
      <c r="M4064">
        <v>0.34920000000000001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77</v>
      </c>
      <c r="J4065">
        <v>7.52</v>
      </c>
      <c r="K4065">
        <v>5</v>
      </c>
      <c r="L4065">
        <v>0.2</v>
      </c>
      <c r="M4065">
        <v>1.41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34</v>
      </c>
      <c r="J4066">
        <v>10.272</v>
      </c>
      <c r="K4066">
        <v>3</v>
      </c>
      <c r="L4066">
        <v>0.2</v>
      </c>
      <c r="M4066">
        <v>0.89880000000000004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27</v>
      </c>
      <c r="J4067">
        <v>47.808</v>
      </c>
      <c r="K4067">
        <v>12</v>
      </c>
      <c r="L4067">
        <v>0.2</v>
      </c>
      <c r="M4067">
        <v>15.537599999999999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35</v>
      </c>
      <c r="I4068" t="s">
        <v>36</v>
      </c>
      <c r="J4068">
        <v>978.84</v>
      </c>
      <c r="K4068">
        <v>9</v>
      </c>
      <c r="L4068">
        <v>0.2</v>
      </c>
      <c r="M4068">
        <v>110.1195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13.14</v>
      </c>
      <c r="K4069">
        <v>9</v>
      </c>
      <c r="L4069">
        <v>0.8</v>
      </c>
      <c r="M4069">
        <v>-21.681000000000001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26</v>
      </c>
      <c r="I4070" t="s">
        <v>37</v>
      </c>
      <c r="J4070">
        <v>10.023999999999999</v>
      </c>
      <c r="K4070">
        <v>4</v>
      </c>
      <c r="L4070">
        <v>0.8</v>
      </c>
      <c r="M4070">
        <v>-16.5396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19</v>
      </c>
      <c r="I4071" t="s">
        <v>20</v>
      </c>
      <c r="J4071">
        <v>156.37280000000001</v>
      </c>
      <c r="K4071">
        <v>2</v>
      </c>
      <c r="L4071">
        <v>0.32</v>
      </c>
      <c r="M4071">
        <v>-52.890799999999999</v>
      </c>
    </row>
    <row r="4072" spans="1:13" x14ac:dyDescent="0.3">
      <c r="A4072" t="s">
        <v>13</v>
      </c>
      <c r="B4072" t="s">
        <v>44</v>
      </c>
      <c r="C4072" t="s">
        <v>15</v>
      </c>
      <c r="D4072" t="s">
        <v>330</v>
      </c>
      <c r="E4072" t="s">
        <v>74</v>
      </c>
      <c r="F4072">
        <v>46203</v>
      </c>
      <c r="G4072" t="s">
        <v>47</v>
      </c>
      <c r="H4072" t="s">
        <v>35</v>
      </c>
      <c r="I4072" t="s">
        <v>162</v>
      </c>
      <c r="J4072">
        <v>999.98</v>
      </c>
      <c r="K4072">
        <v>2</v>
      </c>
      <c r="L4072">
        <v>0</v>
      </c>
      <c r="M4072">
        <v>449.99099999999999</v>
      </c>
    </row>
    <row r="4073" spans="1:13" x14ac:dyDescent="0.3">
      <c r="A4073" t="s">
        <v>62</v>
      </c>
      <c r="B4073" t="s">
        <v>44</v>
      </c>
      <c r="C4073" t="s">
        <v>15</v>
      </c>
      <c r="D4073" t="s">
        <v>477</v>
      </c>
      <c r="E4073" t="s">
        <v>119</v>
      </c>
      <c r="F4073">
        <v>74012</v>
      </c>
      <c r="G4073" t="s">
        <v>47</v>
      </c>
      <c r="H4073" t="s">
        <v>35</v>
      </c>
      <c r="I4073" t="s">
        <v>36</v>
      </c>
      <c r="J4073">
        <v>821.94</v>
      </c>
      <c r="K4073">
        <v>6</v>
      </c>
      <c r="L4073">
        <v>0</v>
      </c>
      <c r="M4073">
        <v>213.70439999999999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220.06399999999999</v>
      </c>
      <c r="K4074">
        <v>4</v>
      </c>
      <c r="L4074">
        <v>0.2</v>
      </c>
      <c r="M4074">
        <v>55.015999999999998</v>
      </c>
    </row>
    <row r="4075" spans="1:13" x14ac:dyDescent="0.3">
      <c r="A4075" t="s">
        <v>28</v>
      </c>
      <c r="B4075" t="s">
        <v>14</v>
      </c>
      <c r="C4075" t="s">
        <v>15</v>
      </c>
      <c r="D4075" t="s">
        <v>478</v>
      </c>
      <c r="E4075" t="s">
        <v>30</v>
      </c>
      <c r="F4075">
        <v>33023</v>
      </c>
      <c r="G4075" t="s">
        <v>18</v>
      </c>
      <c r="H4075" t="s">
        <v>19</v>
      </c>
      <c r="I4075" t="s">
        <v>33</v>
      </c>
      <c r="J4075">
        <v>339.13600000000002</v>
      </c>
      <c r="K4075">
        <v>4</v>
      </c>
      <c r="L4075">
        <v>0.2</v>
      </c>
      <c r="M4075">
        <v>0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37</v>
      </c>
      <c r="J4076">
        <v>7.04</v>
      </c>
      <c r="K4076">
        <v>2</v>
      </c>
      <c r="L4076">
        <v>0</v>
      </c>
      <c r="M4076">
        <v>3.3088000000000002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77</v>
      </c>
      <c r="J4077">
        <v>5.04</v>
      </c>
      <c r="K4077">
        <v>4</v>
      </c>
      <c r="L4077">
        <v>0</v>
      </c>
      <c r="M4077">
        <v>0.2016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41</v>
      </c>
      <c r="J4078">
        <v>116.28</v>
      </c>
      <c r="K4078">
        <v>3</v>
      </c>
      <c r="L4078">
        <v>0</v>
      </c>
      <c r="M4078">
        <v>56.977200000000003</v>
      </c>
    </row>
    <row r="4079" spans="1:13" x14ac:dyDescent="0.3">
      <c r="A4079" t="s">
        <v>62</v>
      </c>
      <c r="B4079" t="s">
        <v>14</v>
      </c>
      <c r="C4079" t="s">
        <v>15</v>
      </c>
      <c r="D4079" t="s">
        <v>189</v>
      </c>
      <c r="E4079" t="s">
        <v>40</v>
      </c>
      <c r="F4079">
        <v>28540</v>
      </c>
      <c r="G4079" t="s">
        <v>18</v>
      </c>
      <c r="H4079" t="s">
        <v>35</v>
      </c>
      <c r="I4079" t="s">
        <v>36</v>
      </c>
      <c r="J4079">
        <v>47.975999999999999</v>
      </c>
      <c r="K4079">
        <v>3</v>
      </c>
      <c r="L4079">
        <v>0.2</v>
      </c>
      <c r="M4079">
        <v>4.7976000000000001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41</v>
      </c>
      <c r="J4080">
        <v>60.048000000000002</v>
      </c>
      <c r="K4080">
        <v>9</v>
      </c>
      <c r="L4080">
        <v>0.2</v>
      </c>
      <c r="M4080">
        <v>22.518000000000001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326</v>
      </c>
      <c r="E4081" t="s">
        <v>95</v>
      </c>
      <c r="F4081">
        <v>97224</v>
      </c>
      <c r="G4081" t="s">
        <v>25</v>
      </c>
      <c r="H4081" t="s">
        <v>26</v>
      </c>
      <c r="I4081" t="s">
        <v>37</v>
      </c>
      <c r="J4081">
        <v>5.0220000000000002</v>
      </c>
      <c r="K4081">
        <v>1</v>
      </c>
      <c r="L4081">
        <v>0.7</v>
      </c>
      <c r="M4081">
        <v>-3.5154000000000001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37</v>
      </c>
      <c r="J4082">
        <v>182.994</v>
      </c>
      <c r="K4082">
        <v>3</v>
      </c>
      <c r="L4082">
        <v>0.8</v>
      </c>
      <c r="M4082">
        <v>-320.23950000000002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87</v>
      </c>
      <c r="E4083" t="s">
        <v>65</v>
      </c>
      <c r="F4083">
        <v>62521</v>
      </c>
      <c r="G4083" t="s">
        <v>47</v>
      </c>
      <c r="H4083" t="s">
        <v>26</v>
      </c>
      <c r="I4083" t="s">
        <v>41</v>
      </c>
      <c r="J4083">
        <v>10.272</v>
      </c>
      <c r="K4083">
        <v>3</v>
      </c>
      <c r="L4083">
        <v>0.2</v>
      </c>
      <c r="M4083">
        <v>3.21</v>
      </c>
    </row>
    <row r="4084" spans="1:13" x14ac:dyDescent="0.3">
      <c r="A4084" t="s">
        <v>62</v>
      </c>
      <c r="B4084" t="s">
        <v>44</v>
      </c>
      <c r="C4084" t="s">
        <v>15</v>
      </c>
      <c r="D4084" t="s">
        <v>108</v>
      </c>
      <c r="E4084" t="s">
        <v>81</v>
      </c>
      <c r="F4084">
        <v>85023</v>
      </c>
      <c r="G4084" t="s">
        <v>25</v>
      </c>
      <c r="H4084" t="s">
        <v>26</v>
      </c>
      <c r="I4084" t="s">
        <v>37</v>
      </c>
      <c r="J4084">
        <v>7.8570000000000002</v>
      </c>
      <c r="K4084">
        <v>3</v>
      </c>
      <c r="L4084">
        <v>0.7</v>
      </c>
      <c r="M4084">
        <v>-6.0236999999999998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35</v>
      </c>
      <c r="I4085" t="s">
        <v>36</v>
      </c>
      <c r="J4085">
        <v>302.38400000000001</v>
      </c>
      <c r="K4085">
        <v>2</v>
      </c>
      <c r="L4085">
        <v>0.2</v>
      </c>
      <c r="M4085">
        <v>30.238399999999999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20.952000000000002</v>
      </c>
      <c r="K4086">
        <v>3</v>
      </c>
      <c r="L4086">
        <v>0.2</v>
      </c>
      <c r="M4086">
        <v>7.0712999999999999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26</v>
      </c>
      <c r="I4087" t="s">
        <v>37</v>
      </c>
      <c r="J4087">
        <v>11.784000000000001</v>
      </c>
      <c r="K4087">
        <v>3</v>
      </c>
      <c r="L4087">
        <v>0.2</v>
      </c>
      <c r="M4087">
        <v>3.9771000000000001</v>
      </c>
    </row>
    <row r="4088" spans="1:13" x14ac:dyDescent="0.3">
      <c r="A4088" t="s">
        <v>28</v>
      </c>
      <c r="B4088" t="s">
        <v>14</v>
      </c>
      <c r="C4088" t="s">
        <v>15</v>
      </c>
      <c r="D4088" t="s">
        <v>271</v>
      </c>
      <c r="E4088" t="s">
        <v>197</v>
      </c>
      <c r="F4088">
        <v>72401</v>
      </c>
      <c r="G4088" t="s">
        <v>18</v>
      </c>
      <c r="H4088" t="s">
        <v>19</v>
      </c>
      <c r="I4088" t="s">
        <v>20</v>
      </c>
      <c r="J4088">
        <v>638.82000000000005</v>
      </c>
      <c r="K4088">
        <v>9</v>
      </c>
      <c r="L4088">
        <v>0</v>
      </c>
      <c r="M4088">
        <v>172.48140000000001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27</v>
      </c>
      <c r="J4089">
        <v>20.7</v>
      </c>
      <c r="K4089">
        <v>2</v>
      </c>
      <c r="L4089">
        <v>0</v>
      </c>
      <c r="M4089">
        <v>9.9359999999999999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110</v>
      </c>
      <c r="J4090">
        <v>10.95</v>
      </c>
      <c r="K4090">
        <v>3</v>
      </c>
      <c r="L4090">
        <v>0</v>
      </c>
      <c r="M4090">
        <v>3.2850000000000001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37</v>
      </c>
      <c r="J4091">
        <v>14.352</v>
      </c>
      <c r="K4091">
        <v>3</v>
      </c>
      <c r="L4091">
        <v>0.2</v>
      </c>
      <c r="M4091">
        <v>4.6643999999999997</v>
      </c>
    </row>
    <row r="4092" spans="1:13" x14ac:dyDescent="0.3">
      <c r="A4092" t="s">
        <v>62</v>
      </c>
      <c r="B4092" t="s">
        <v>14</v>
      </c>
      <c r="C4092" t="s">
        <v>15</v>
      </c>
      <c r="D4092" t="s">
        <v>133</v>
      </c>
      <c r="E4092" t="s">
        <v>104</v>
      </c>
      <c r="F4092">
        <v>44312</v>
      </c>
      <c r="G4092" t="s">
        <v>57</v>
      </c>
      <c r="H4092" t="s">
        <v>26</v>
      </c>
      <c r="I4092" t="s">
        <v>32</v>
      </c>
      <c r="J4092">
        <v>221.024</v>
      </c>
      <c r="K4092">
        <v>2</v>
      </c>
      <c r="L4092">
        <v>0.2</v>
      </c>
      <c r="M4092">
        <v>-55.256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123</v>
      </c>
      <c r="J4093">
        <v>3080</v>
      </c>
      <c r="K4093">
        <v>7</v>
      </c>
      <c r="L4093">
        <v>0</v>
      </c>
      <c r="M4093">
        <v>1416.8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59</v>
      </c>
      <c r="J4094">
        <v>79.959999999999994</v>
      </c>
      <c r="K4094">
        <v>4</v>
      </c>
      <c r="L4094">
        <v>0</v>
      </c>
      <c r="M4094">
        <v>18.390799999999999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36</v>
      </c>
      <c r="J4095">
        <v>587.97</v>
      </c>
      <c r="K4095">
        <v>3</v>
      </c>
      <c r="L4095">
        <v>0</v>
      </c>
      <c r="M4095">
        <v>170.51130000000001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41</v>
      </c>
      <c r="J4096">
        <v>32.4</v>
      </c>
      <c r="K4096">
        <v>5</v>
      </c>
      <c r="L4096">
        <v>0</v>
      </c>
      <c r="M4096">
        <v>15.552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32</v>
      </c>
      <c r="J4097">
        <v>404.9</v>
      </c>
      <c r="K4097">
        <v>5</v>
      </c>
      <c r="L4097">
        <v>0</v>
      </c>
      <c r="M4097">
        <v>16.196000000000002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9449.9500000000007</v>
      </c>
      <c r="K4098">
        <v>5</v>
      </c>
      <c r="L4098">
        <v>0</v>
      </c>
      <c r="M4098">
        <v>4630.4754999999996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37</v>
      </c>
      <c r="J4099">
        <v>12.94</v>
      </c>
      <c r="K4099">
        <v>2</v>
      </c>
      <c r="L4099">
        <v>0</v>
      </c>
      <c r="M4099">
        <v>6.47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2.2639999999999998</v>
      </c>
      <c r="K4100">
        <v>1</v>
      </c>
      <c r="L4100">
        <v>0.8</v>
      </c>
      <c r="M4100">
        <v>-5.2072000000000003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38</v>
      </c>
      <c r="J4101">
        <v>0.44400000000000001</v>
      </c>
      <c r="K4101">
        <v>1</v>
      </c>
      <c r="L4101">
        <v>0.8</v>
      </c>
      <c r="M4101">
        <v>-1.1100000000000001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41</v>
      </c>
      <c r="J4102">
        <v>146.17599999999999</v>
      </c>
      <c r="K4102">
        <v>8</v>
      </c>
      <c r="L4102">
        <v>0.2</v>
      </c>
      <c r="M4102">
        <v>47.507199999999997</v>
      </c>
    </row>
    <row r="4103" spans="1:13" x14ac:dyDescent="0.3">
      <c r="A4103" t="s">
        <v>168</v>
      </c>
      <c r="B4103" t="s">
        <v>44</v>
      </c>
      <c r="C4103" t="s">
        <v>15</v>
      </c>
      <c r="D4103" t="s">
        <v>53</v>
      </c>
      <c r="E4103" t="s">
        <v>54</v>
      </c>
      <c r="F4103">
        <v>68025</v>
      </c>
      <c r="G4103" t="s">
        <v>47</v>
      </c>
      <c r="H4103" t="s">
        <v>19</v>
      </c>
      <c r="I4103" t="s">
        <v>33</v>
      </c>
      <c r="J4103">
        <v>15.92</v>
      </c>
      <c r="K4103">
        <v>2</v>
      </c>
      <c r="L4103">
        <v>0</v>
      </c>
      <c r="M4103">
        <v>7.0048000000000004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35</v>
      </c>
      <c r="I4104" t="s">
        <v>36</v>
      </c>
      <c r="J4104">
        <v>159.96</v>
      </c>
      <c r="K4104">
        <v>5</v>
      </c>
      <c r="L4104">
        <v>0.2</v>
      </c>
      <c r="M4104">
        <v>17.9955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144</v>
      </c>
      <c r="E4105" t="s">
        <v>24</v>
      </c>
      <c r="F4105">
        <v>92105</v>
      </c>
      <c r="G4105" t="s">
        <v>25</v>
      </c>
      <c r="H4105" t="s">
        <v>26</v>
      </c>
      <c r="I4105" t="s">
        <v>37</v>
      </c>
      <c r="J4105">
        <v>13.76</v>
      </c>
      <c r="K4105">
        <v>2</v>
      </c>
      <c r="L4105">
        <v>0.2</v>
      </c>
      <c r="M4105">
        <v>4.6440000000000001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61</v>
      </c>
      <c r="E4106" t="s">
        <v>46</v>
      </c>
      <c r="F4106">
        <v>77041</v>
      </c>
      <c r="G4106" t="s">
        <v>47</v>
      </c>
      <c r="H4106" t="s">
        <v>26</v>
      </c>
      <c r="I4106" t="s">
        <v>37</v>
      </c>
      <c r="J4106">
        <v>4.3120000000000003</v>
      </c>
      <c r="K4106">
        <v>2</v>
      </c>
      <c r="L4106">
        <v>0.8</v>
      </c>
      <c r="M4106">
        <v>-6.8992000000000004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26</v>
      </c>
      <c r="I4107" t="s">
        <v>32</v>
      </c>
      <c r="J4107">
        <v>13.96</v>
      </c>
      <c r="K4107">
        <v>2</v>
      </c>
      <c r="L4107">
        <v>0</v>
      </c>
      <c r="M4107">
        <v>0.2792</v>
      </c>
    </row>
    <row r="4108" spans="1:13" x14ac:dyDescent="0.3">
      <c r="A4108" t="s">
        <v>168</v>
      </c>
      <c r="B4108" t="s">
        <v>14</v>
      </c>
      <c r="C4108" t="s">
        <v>15</v>
      </c>
      <c r="D4108" t="s">
        <v>75</v>
      </c>
      <c r="E4108" t="s">
        <v>76</v>
      </c>
      <c r="F4108">
        <v>10011</v>
      </c>
      <c r="G4108" t="s">
        <v>57</v>
      </c>
      <c r="H4108" t="s">
        <v>19</v>
      </c>
      <c r="I4108" t="s">
        <v>31</v>
      </c>
      <c r="J4108">
        <v>27.414000000000001</v>
      </c>
      <c r="K4108">
        <v>3</v>
      </c>
      <c r="L4108">
        <v>0.4</v>
      </c>
      <c r="M4108">
        <v>-14.1639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35</v>
      </c>
      <c r="I4109" t="s">
        <v>36</v>
      </c>
      <c r="J4109">
        <v>73.98</v>
      </c>
      <c r="K4109">
        <v>2</v>
      </c>
      <c r="L4109">
        <v>0</v>
      </c>
      <c r="M4109">
        <v>19.974599999999999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19</v>
      </c>
      <c r="I4110" t="s">
        <v>20</v>
      </c>
      <c r="J4110">
        <v>160.97999999999999</v>
      </c>
      <c r="K4110">
        <v>1</v>
      </c>
      <c r="L4110">
        <v>0</v>
      </c>
      <c r="M4110">
        <v>20.927399999999999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41</v>
      </c>
      <c r="J4111">
        <v>17.34</v>
      </c>
      <c r="K4111">
        <v>3</v>
      </c>
      <c r="L4111">
        <v>0</v>
      </c>
      <c r="M4111">
        <v>8.4966000000000008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26</v>
      </c>
      <c r="I4112" t="s">
        <v>34</v>
      </c>
      <c r="J4112">
        <v>3.28</v>
      </c>
      <c r="K4112">
        <v>1</v>
      </c>
      <c r="L4112">
        <v>0</v>
      </c>
      <c r="M4112">
        <v>0.95120000000000005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26</v>
      </c>
      <c r="I4113" t="s">
        <v>27</v>
      </c>
      <c r="J4113">
        <v>8.8559999999999999</v>
      </c>
      <c r="K4113">
        <v>3</v>
      </c>
      <c r="L4113">
        <v>0.2</v>
      </c>
      <c r="M4113">
        <v>2.9889000000000001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61</v>
      </c>
      <c r="E4114" t="s">
        <v>46</v>
      </c>
      <c r="F4114">
        <v>77095</v>
      </c>
      <c r="G4114" t="s">
        <v>47</v>
      </c>
      <c r="H4114" t="s">
        <v>35</v>
      </c>
      <c r="I4114" t="s">
        <v>36</v>
      </c>
      <c r="J4114">
        <v>158.376</v>
      </c>
      <c r="K4114">
        <v>3</v>
      </c>
      <c r="L4114">
        <v>0.2</v>
      </c>
      <c r="M4114">
        <v>13.857900000000001</v>
      </c>
    </row>
    <row r="4115" spans="1:13" x14ac:dyDescent="0.3">
      <c r="A4115" t="s">
        <v>62</v>
      </c>
      <c r="B4115" t="s">
        <v>14</v>
      </c>
      <c r="C4115" t="s">
        <v>15</v>
      </c>
      <c r="D4115" t="s">
        <v>42</v>
      </c>
      <c r="E4115" t="s">
        <v>43</v>
      </c>
      <c r="F4115">
        <v>98105</v>
      </c>
      <c r="G4115" t="s">
        <v>25</v>
      </c>
      <c r="H4115" t="s">
        <v>26</v>
      </c>
      <c r="I4115" t="s">
        <v>37</v>
      </c>
      <c r="J4115">
        <v>1219.96</v>
      </c>
      <c r="K4115">
        <v>5</v>
      </c>
      <c r="L4115">
        <v>0.2</v>
      </c>
      <c r="M4115">
        <v>381.23750000000001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37</v>
      </c>
      <c r="J4116">
        <v>3.1680000000000001</v>
      </c>
      <c r="K4116">
        <v>2</v>
      </c>
      <c r="L4116">
        <v>0.2</v>
      </c>
      <c r="M4116">
        <v>0.99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32</v>
      </c>
      <c r="J4117">
        <v>454.86</v>
      </c>
      <c r="K4117">
        <v>7</v>
      </c>
      <c r="L4117">
        <v>0</v>
      </c>
      <c r="M4117">
        <v>54.583199999999998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91.391999999999996</v>
      </c>
      <c r="K4118">
        <v>8</v>
      </c>
      <c r="L4118">
        <v>0.2</v>
      </c>
      <c r="M4118">
        <v>29.702400000000001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55</v>
      </c>
      <c r="E4119" t="s">
        <v>56</v>
      </c>
      <c r="F4119">
        <v>19120</v>
      </c>
      <c r="G4119" t="s">
        <v>57</v>
      </c>
      <c r="H4119" t="s">
        <v>35</v>
      </c>
      <c r="I4119" t="s">
        <v>59</v>
      </c>
      <c r="J4119">
        <v>19.04</v>
      </c>
      <c r="K4119">
        <v>4</v>
      </c>
      <c r="L4119">
        <v>0.2</v>
      </c>
      <c r="M4119">
        <v>-1.4279999999999999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41</v>
      </c>
      <c r="J4120">
        <v>37.44</v>
      </c>
      <c r="K4120">
        <v>6</v>
      </c>
      <c r="L4120">
        <v>0</v>
      </c>
      <c r="M4120">
        <v>16.847999999999999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27</v>
      </c>
      <c r="J4121">
        <v>37.590000000000003</v>
      </c>
      <c r="K4121">
        <v>3</v>
      </c>
      <c r="L4121">
        <v>0</v>
      </c>
      <c r="M4121">
        <v>17.667300000000001</v>
      </c>
    </row>
    <row r="4122" spans="1:13" x14ac:dyDescent="0.3">
      <c r="A4122" t="s">
        <v>168</v>
      </c>
      <c r="B4122" t="s">
        <v>14</v>
      </c>
      <c r="C4122" t="s">
        <v>15</v>
      </c>
      <c r="D4122" t="s">
        <v>42</v>
      </c>
      <c r="E4122" t="s">
        <v>43</v>
      </c>
      <c r="F4122">
        <v>98103</v>
      </c>
      <c r="G4122" t="s">
        <v>25</v>
      </c>
      <c r="H4122" t="s">
        <v>26</v>
      </c>
      <c r="I4122" t="s">
        <v>37</v>
      </c>
      <c r="J4122">
        <v>26.032</v>
      </c>
      <c r="K4122">
        <v>2</v>
      </c>
      <c r="L4122">
        <v>0.2</v>
      </c>
      <c r="M4122">
        <v>9.4366000000000003</v>
      </c>
    </row>
    <row r="4123" spans="1:13" x14ac:dyDescent="0.3">
      <c r="A4123" t="s">
        <v>28</v>
      </c>
      <c r="B4123" t="s">
        <v>22</v>
      </c>
      <c r="C4123" t="s">
        <v>15</v>
      </c>
      <c r="D4123" t="s">
        <v>317</v>
      </c>
      <c r="E4123" t="s">
        <v>76</v>
      </c>
      <c r="F4123">
        <v>13601</v>
      </c>
      <c r="G4123" t="s">
        <v>57</v>
      </c>
      <c r="H4123" t="s">
        <v>26</v>
      </c>
      <c r="I4123" t="s">
        <v>38</v>
      </c>
      <c r="J4123">
        <v>35.909999999999997</v>
      </c>
      <c r="K4123">
        <v>3</v>
      </c>
      <c r="L4123">
        <v>0</v>
      </c>
      <c r="M4123">
        <v>9.6957000000000004</v>
      </c>
    </row>
    <row r="4124" spans="1:13" x14ac:dyDescent="0.3">
      <c r="A4124" t="s">
        <v>13</v>
      </c>
      <c r="B4124" t="s">
        <v>14</v>
      </c>
      <c r="C4124" t="s">
        <v>15</v>
      </c>
      <c r="D4124" t="s">
        <v>189</v>
      </c>
      <c r="E4124" t="s">
        <v>30</v>
      </c>
      <c r="F4124">
        <v>32216</v>
      </c>
      <c r="G4124" t="s">
        <v>18</v>
      </c>
      <c r="H4124" t="s">
        <v>19</v>
      </c>
      <c r="I4124" t="s">
        <v>33</v>
      </c>
      <c r="J4124">
        <v>91.031999999999996</v>
      </c>
      <c r="K4124">
        <v>3</v>
      </c>
      <c r="L4124">
        <v>0.2</v>
      </c>
      <c r="M4124">
        <v>-2.2757999999999998</v>
      </c>
    </row>
    <row r="4125" spans="1:13" x14ac:dyDescent="0.3">
      <c r="A4125" t="s">
        <v>62</v>
      </c>
      <c r="B4125" t="s">
        <v>14</v>
      </c>
      <c r="C4125" t="s">
        <v>15</v>
      </c>
      <c r="D4125" t="s">
        <v>155</v>
      </c>
      <c r="E4125" t="s">
        <v>83</v>
      </c>
      <c r="F4125">
        <v>22204</v>
      </c>
      <c r="G4125" t="s">
        <v>18</v>
      </c>
      <c r="H4125" t="s">
        <v>26</v>
      </c>
      <c r="I4125" t="s">
        <v>34</v>
      </c>
      <c r="J4125">
        <v>54.66</v>
      </c>
      <c r="K4125">
        <v>6</v>
      </c>
      <c r="L4125">
        <v>0</v>
      </c>
      <c r="M4125">
        <v>18.037800000000001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26</v>
      </c>
      <c r="I4126" t="s">
        <v>32</v>
      </c>
      <c r="J4126">
        <v>67.343999999999994</v>
      </c>
      <c r="K4126">
        <v>6</v>
      </c>
      <c r="L4126">
        <v>0.2</v>
      </c>
      <c r="M4126">
        <v>7.5762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99</v>
      </c>
      <c r="E4127" t="s">
        <v>40</v>
      </c>
      <c r="F4127">
        <v>28205</v>
      </c>
      <c r="G4127" t="s">
        <v>18</v>
      </c>
      <c r="H4127" t="s">
        <v>35</v>
      </c>
      <c r="I4127" t="s">
        <v>123</v>
      </c>
      <c r="J4127">
        <v>2624.9850000000001</v>
      </c>
      <c r="K4127">
        <v>3</v>
      </c>
      <c r="L4127">
        <v>0.5</v>
      </c>
      <c r="M4127">
        <v>-944.99459999999999</v>
      </c>
    </row>
    <row r="4128" spans="1:13" x14ac:dyDescent="0.3">
      <c r="A4128" t="s">
        <v>28</v>
      </c>
      <c r="B4128" t="s">
        <v>14</v>
      </c>
      <c r="C4128" t="s">
        <v>15</v>
      </c>
      <c r="D4128" t="s">
        <v>42</v>
      </c>
      <c r="E4128" t="s">
        <v>43</v>
      </c>
      <c r="F4128">
        <v>98103</v>
      </c>
      <c r="G4128" t="s">
        <v>25</v>
      </c>
      <c r="H4128" t="s">
        <v>26</v>
      </c>
      <c r="I4128" t="s">
        <v>38</v>
      </c>
      <c r="J4128">
        <v>73.28</v>
      </c>
      <c r="K4128">
        <v>4</v>
      </c>
      <c r="L4128">
        <v>0</v>
      </c>
      <c r="M4128">
        <v>21.251200000000001</v>
      </c>
    </row>
    <row r="4129" spans="1:13" x14ac:dyDescent="0.3">
      <c r="A4129" t="s">
        <v>28</v>
      </c>
      <c r="B4129" t="s">
        <v>22</v>
      </c>
      <c r="C4129" t="s">
        <v>15</v>
      </c>
      <c r="D4129" t="s">
        <v>79</v>
      </c>
      <c r="E4129" t="s">
        <v>65</v>
      </c>
      <c r="F4129">
        <v>60623</v>
      </c>
      <c r="G4129" t="s">
        <v>47</v>
      </c>
      <c r="H4129" t="s">
        <v>26</v>
      </c>
      <c r="I4129" t="s">
        <v>37</v>
      </c>
      <c r="J4129">
        <v>14.48</v>
      </c>
      <c r="K4129">
        <v>5</v>
      </c>
      <c r="L4129">
        <v>0.8</v>
      </c>
      <c r="M4129">
        <v>-23.891999999999999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11.952</v>
      </c>
      <c r="K4130">
        <v>3</v>
      </c>
      <c r="L4130">
        <v>0.2</v>
      </c>
      <c r="M4130">
        <v>4.0338000000000003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479</v>
      </c>
      <c r="E4131" t="s">
        <v>30</v>
      </c>
      <c r="F4131">
        <v>33021</v>
      </c>
      <c r="G4131" t="s">
        <v>18</v>
      </c>
      <c r="H4131" t="s">
        <v>26</v>
      </c>
      <c r="I4131" t="s">
        <v>41</v>
      </c>
      <c r="J4131">
        <v>15.552</v>
      </c>
      <c r="K4131">
        <v>3</v>
      </c>
      <c r="L4131">
        <v>0.2</v>
      </c>
      <c r="M4131">
        <v>5.6375999999999999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26</v>
      </c>
      <c r="I4132" t="s">
        <v>77</v>
      </c>
      <c r="J4132">
        <v>45</v>
      </c>
      <c r="K4132">
        <v>9</v>
      </c>
      <c r="L4132">
        <v>0</v>
      </c>
      <c r="M4132">
        <v>21.6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355</v>
      </c>
      <c r="E4133" t="s">
        <v>83</v>
      </c>
      <c r="F4133">
        <v>23320</v>
      </c>
      <c r="G4133" t="s">
        <v>18</v>
      </c>
      <c r="H4133" t="s">
        <v>35</v>
      </c>
      <c r="I4133" t="s">
        <v>123</v>
      </c>
      <c r="J4133">
        <v>209.97</v>
      </c>
      <c r="K4133">
        <v>3</v>
      </c>
      <c r="L4133">
        <v>0</v>
      </c>
      <c r="M4133">
        <v>90.287099999999995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37</v>
      </c>
      <c r="J4134">
        <v>112.12</v>
      </c>
      <c r="K4134">
        <v>5</v>
      </c>
      <c r="L4134">
        <v>0.2</v>
      </c>
      <c r="M4134">
        <v>42.045000000000002</v>
      </c>
    </row>
    <row r="4135" spans="1:13" x14ac:dyDescent="0.3">
      <c r="A4135" t="s">
        <v>28</v>
      </c>
      <c r="B4135" t="s">
        <v>44</v>
      </c>
      <c r="C4135" t="s">
        <v>15</v>
      </c>
      <c r="D4135" t="s">
        <v>23</v>
      </c>
      <c r="E4135" t="s">
        <v>24</v>
      </c>
      <c r="F4135">
        <v>90036</v>
      </c>
      <c r="G4135" t="s">
        <v>25</v>
      </c>
      <c r="H4135" t="s">
        <v>26</v>
      </c>
      <c r="I4135" t="s">
        <v>32</v>
      </c>
      <c r="J4135">
        <v>1575.14</v>
      </c>
      <c r="K4135">
        <v>7</v>
      </c>
      <c r="L4135">
        <v>0</v>
      </c>
      <c r="M4135">
        <v>204.76820000000001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251</v>
      </c>
      <c r="E4136" t="s">
        <v>83</v>
      </c>
      <c r="F4136">
        <v>22304</v>
      </c>
      <c r="G4136" t="s">
        <v>18</v>
      </c>
      <c r="H4136" t="s">
        <v>26</v>
      </c>
      <c r="I4136" t="s">
        <v>77</v>
      </c>
      <c r="J4136">
        <v>25.06</v>
      </c>
      <c r="K4136">
        <v>7</v>
      </c>
      <c r="L4136">
        <v>0</v>
      </c>
      <c r="M4136">
        <v>12.53</v>
      </c>
    </row>
    <row r="4137" spans="1:13" x14ac:dyDescent="0.3">
      <c r="A4137" t="s">
        <v>62</v>
      </c>
      <c r="B4137" t="s">
        <v>22</v>
      </c>
      <c r="C4137" t="s">
        <v>15</v>
      </c>
      <c r="D4137" t="s">
        <v>480</v>
      </c>
      <c r="E4137" t="s">
        <v>46</v>
      </c>
      <c r="F4137">
        <v>77536</v>
      </c>
      <c r="G4137" t="s">
        <v>47</v>
      </c>
      <c r="H4137" t="s">
        <v>26</v>
      </c>
      <c r="I4137" t="s">
        <v>37</v>
      </c>
      <c r="J4137">
        <v>6.9240000000000004</v>
      </c>
      <c r="K4137">
        <v>6</v>
      </c>
      <c r="L4137">
        <v>0.8</v>
      </c>
      <c r="M4137">
        <v>-10.385999999999999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26</v>
      </c>
      <c r="I4138" t="s">
        <v>32</v>
      </c>
      <c r="J4138">
        <v>37.392000000000003</v>
      </c>
      <c r="K4138">
        <v>3</v>
      </c>
      <c r="L4138">
        <v>0.2</v>
      </c>
      <c r="M4138">
        <v>2.3370000000000002</v>
      </c>
    </row>
    <row r="4139" spans="1:13" x14ac:dyDescent="0.3">
      <c r="A4139" t="s">
        <v>62</v>
      </c>
      <c r="B4139" t="s">
        <v>14</v>
      </c>
      <c r="C4139" t="s">
        <v>15</v>
      </c>
      <c r="D4139" t="s">
        <v>55</v>
      </c>
      <c r="E4139" t="s">
        <v>56</v>
      </c>
      <c r="F4139">
        <v>19120</v>
      </c>
      <c r="G4139" t="s">
        <v>57</v>
      </c>
      <c r="H4139" t="s">
        <v>19</v>
      </c>
      <c r="I4139" t="s">
        <v>33</v>
      </c>
      <c r="J4139">
        <v>79.12</v>
      </c>
      <c r="K4139">
        <v>5</v>
      </c>
      <c r="L4139">
        <v>0.2</v>
      </c>
      <c r="M4139">
        <v>13.846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481</v>
      </c>
      <c r="E4140" t="s">
        <v>336</v>
      </c>
      <c r="F4140">
        <v>67212</v>
      </c>
      <c r="G4140" t="s">
        <v>47</v>
      </c>
      <c r="H4140" t="s">
        <v>26</v>
      </c>
      <c r="I4140" t="s">
        <v>27</v>
      </c>
      <c r="J4140">
        <v>18.899999999999999</v>
      </c>
      <c r="K4140">
        <v>3</v>
      </c>
      <c r="L4140">
        <v>0</v>
      </c>
      <c r="M4140">
        <v>8.6940000000000008</v>
      </c>
    </row>
    <row r="4141" spans="1:13" x14ac:dyDescent="0.3">
      <c r="A4141" t="s">
        <v>28</v>
      </c>
      <c r="B4141" t="s">
        <v>14</v>
      </c>
      <c r="C4141" t="s">
        <v>15</v>
      </c>
      <c r="D4141" t="s">
        <v>385</v>
      </c>
      <c r="E4141" t="s">
        <v>70</v>
      </c>
      <c r="F4141">
        <v>48640</v>
      </c>
      <c r="G4141" t="s">
        <v>47</v>
      </c>
      <c r="H4141" t="s">
        <v>26</v>
      </c>
      <c r="I4141" t="s">
        <v>37</v>
      </c>
      <c r="J4141">
        <v>57.42</v>
      </c>
      <c r="K4141">
        <v>9</v>
      </c>
      <c r="L4141">
        <v>0</v>
      </c>
      <c r="M4141">
        <v>26.4132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12.74</v>
      </c>
      <c r="K4142">
        <v>7</v>
      </c>
      <c r="L4142">
        <v>0</v>
      </c>
      <c r="M4142">
        <v>5.7329999999999997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26</v>
      </c>
      <c r="I4143" t="s">
        <v>34</v>
      </c>
      <c r="J4143">
        <v>8.82</v>
      </c>
      <c r="K4143">
        <v>3</v>
      </c>
      <c r="L4143">
        <v>0</v>
      </c>
      <c r="M4143">
        <v>2.3814000000000002</v>
      </c>
    </row>
    <row r="4144" spans="1:13" x14ac:dyDescent="0.3">
      <c r="A4144" t="s">
        <v>28</v>
      </c>
      <c r="B4144" t="s">
        <v>44</v>
      </c>
      <c r="C4144" t="s">
        <v>15</v>
      </c>
      <c r="D4144" t="s">
        <v>52</v>
      </c>
      <c r="E4144" t="s">
        <v>24</v>
      </c>
      <c r="F4144">
        <v>94110</v>
      </c>
      <c r="G4144" t="s">
        <v>25</v>
      </c>
      <c r="H4144" t="s">
        <v>19</v>
      </c>
      <c r="I4144" t="s">
        <v>21</v>
      </c>
      <c r="J4144">
        <v>120.78400000000001</v>
      </c>
      <c r="K4144">
        <v>1</v>
      </c>
      <c r="L4144">
        <v>0.2</v>
      </c>
      <c r="M4144">
        <v>-13.588200000000001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295</v>
      </c>
      <c r="E4145" t="s">
        <v>76</v>
      </c>
      <c r="F4145">
        <v>11520</v>
      </c>
      <c r="G4145" t="s">
        <v>57</v>
      </c>
      <c r="H4145" t="s">
        <v>19</v>
      </c>
      <c r="I4145" t="s">
        <v>33</v>
      </c>
      <c r="J4145">
        <v>322.58999999999997</v>
      </c>
      <c r="K4145">
        <v>3</v>
      </c>
      <c r="L4145">
        <v>0</v>
      </c>
      <c r="M4145">
        <v>64.518000000000001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37</v>
      </c>
      <c r="J4146">
        <v>9.7620000000000005</v>
      </c>
      <c r="K4146">
        <v>3</v>
      </c>
      <c r="L4146">
        <v>0.8</v>
      </c>
      <c r="M4146">
        <v>-15.1311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26</v>
      </c>
      <c r="I4147" t="s">
        <v>32</v>
      </c>
      <c r="J4147">
        <v>13.72</v>
      </c>
      <c r="K4147">
        <v>1</v>
      </c>
      <c r="L4147">
        <v>0.2</v>
      </c>
      <c r="M4147">
        <v>1.2004999999999999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35</v>
      </c>
      <c r="I4148" t="s">
        <v>59</v>
      </c>
      <c r="J4148">
        <v>55.2</v>
      </c>
      <c r="K4148">
        <v>1</v>
      </c>
      <c r="L4148">
        <v>0.2</v>
      </c>
      <c r="M4148">
        <v>-2.0699999999999998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32</v>
      </c>
      <c r="J4149">
        <v>259.13600000000002</v>
      </c>
      <c r="K4149">
        <v>4</v>
      </c>
      <c r="L4149">
        <v>0.2</v>
      </c>
      <c r="M4149">
        <v>-58.305599999999998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27</v>
      </c>
      <c r="J4150">
        <v>29.24</v>
      </c>
      <c r="K4150">
        <v>5</v>
      </c>
      <c r="L4150">
        <v>0.2</v>
      </c>
      <c r="M4150">
        <v>9.8684999999999992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41</v>
      </c>
      <c r="J4151">
        <v>15.552</v>
      </c>
      <c r="K4151">
        <v>3</v>
      </c>
      <c r="L4151">
        <v>0.2</v>
      </c>
      <c r="M4151">
        <v>5.4432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55</v>
      </c>
      <c r="E4152" t="s">
        <v>56</v>
      </c>
      <c r="F4152">
        <v>19134</v>
      </c>
      <c r="G4152" t="s">
        <v>57</v>
      </c>
      <c r="H4152" t="s">
        <v>26</v>
      </c>
      <c r="I4152" t="s">
        <v>60</v>
      </c>
      <c r="J4152">
        <v>4.8959999999999999</v>
      </c>
      <c r="K4152">
        <v>3</v>
      </c>
      <c r="L4152">
        <v>0.2</v>
      </c>
      <c r="M4152">
        <v>1.6524000000000001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38.088000000000001</v>
      </c>
      <c r="K4153">
        <v>4</v>
      </c>
      <c r="L4153">
        <v>0.7</v>
      </c>
      <c r="M4153">
        <v>-27.9312</v>
      </c>
    </row>
    <row r="4154" spans="1:13" x14ac:dyDescent="0.3">
      <c r="A4154" t="s">
        <v>28</v>
      </c>
      <c r="B4154" t="s">
        <v>22</v>
      </c>
      <c r="C4154" t="s">
        <v>15</v>
      </c>
      <c r="D4154" t="s">
        <v>105</v>
      </c>
      <c r="E4154" t="s">
        <v>86</v>
      </c>
      <c r="F4154">
        <v>37620</v>
      </c>
      <c r="G4154" t="s">
        <v>18</v>
      </c>
      <c r="H4154" t="s">
        <v>26</v>
      </c>
      <c r="I4154" t="s">
        <v>37</v>
      </c>
      <c r="J4154">
        <v>2.8079999999999998</v>
      </c>
      <c r="K4154">
        <v>3</v>
      </c>
      <c r="L4154">
        <v>0.7</v>
      </c>
      <c r="M4154">
        <v>-1.9656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35</v>
      </c>
      <c r="I4155" t="s">
        <v>59</v>
      </c>
      <c r="J4155">
        <v>47.984000000000002</v>
      </c>
      <c r="K4155">
        <v>2</v>
      </c>
      <c r="L4155">
        <v>0.2</v>
      </c>
      <c r="M4155">
        <v>0.5998</v>
      </c>
    </row>
    <row r="4156" spans="1:13" x14ac:dyDescent="0.3">
      <c r="A4156" t="s">
        <v>13</v>
      </c>
      <c r="B4156" t="s">
        <v>14</v>
      </c>
      <c r="C4156" t="s">
        <v>15</v>
      </c>
      <c r="D4156" t="s">
        <v>55</v>
      </c>
      <c r="E4156" t="s">
        <v>56</v>
      </c>
      <c r="F4156">
        <v>19140</v>
      </c>
      <c r="G4156" t="s">
        <v>57</v>
      </c>
      <c r="H4156" t="s">
        <v>26</v>
      </c>
      <c r="I4156" t="s">
        <v>37</v>
      </c>
      <c r="J4156">
        <v>26.064</v>
      </c>
      <c r="K4156">
        <v>6</v>
      </c>
      <c r="L4156">
        <v>0.7</v>
      </c>
      <c r="M4156">
        <v>-19.982399999999998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79</v>
      </c>
      <c r="E4157" t="s">
        <v>65</v>
      </c>
      <c r="F4157">
        <v>60610</v>
      </c>
      <c r="G4157" t="s">
        <v>47</v>
      </c>
      <c r="H4157" t="s">
        <v>26</v>
      </c>
      <c r="I4157" t="s">
        <v>41</v>
      </c>
      <c r="J4157">
        <v>15.696</v>
      </c>
      <c r="K4157">
        <v>3</v>
      </c>
      <c r="L4157">
        <v>0.2</v>
      </c>
      <c r="M4157">
        <v>5.1012000000000004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103</v>
      </c>
      <c r="E4158" t="s">
        <v>167</v>
      </c>
      <c r="F4158">
        <v>31907</v>
      </c>
      <c r="G4158" t="s">
        <v>18</v>
      </c>
      <c r="H4158" t="s">
        <v>26</v>
      </c>
      <c r="I4158" t="s">
        <v>34</v>
      </c>
      <c r="J4158">
        <v>12.84</v>
      </c>
      <c r="K4158">
        <v>3</v>
      </c>
      <c r="L4158">
        <v>0</v>
      </c>
      <c r="M4158">
        <v>3.7235999999999998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35</v>
      </c>
      <c r="I4159" t="s">
        <v>36</v>
      </c>
      <c r="J4159">
        <v>539.97</v>
      </c>
      <c r="K4159">
        <v>3</v>
      </c>
      <c r="L4159">
        <v>0</v>
      </c>
      <c r="M4159">
        <v>134.99250000000001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75</v>
      </c>
      <c r="E4160" t="s">
        <v>76</v>
      </c>
      <c r="F4160">
        <v>10035</v>
      </c>
      <c r="G4160" t="s">
        <v>57</v>
      </c>
      <c r="H4160" t="s">
        <v>26</v>
      </c>
      <c r="I4160" t="s">
        <v>32</v>
      </c>
      <c r="J4160">
        <v>22.58</v>
      </c>
      <c r="K4160">
        <v>2</v>
      </c>
      <c r="L4160">
        <v>0</v>
      </c>
      <c r="M4160">
        <v>5.8708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27</v>
      </c>
      <c r="J4161">
        <v>16.52</v>
      </c>
      <c r="K4161">
        <v>4</v>
      </c>
      <c r="L4161">
        <v>0</v>
      </c>
      <c r="M4161">
        <v>7.5991999999999997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71</v>
      </c>
      <c r="E4162" t="s">
        <v>247</v>
      </c>
      <c r="F4162">
        <v>3820</v>
      </c>
      <c r="G4162" t="s">
        <v>57</v>
      </c>
      <c r="H4162" t="s">
        <v>26</v>
      </c>
      <c r="I4162" t="s">
        <v>37</v>
      </c>
      <c r="J4162">
        <v>671.94</v>
      </c>
      <c r="K4162">
        <v>3</v>
      </c>
      <c r="L4162">
        <v>0</v>
      </c>
      <c r="M4162">
        <v>315.81180000000001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35</v>
      </c>
      <c r="I4163" t="s">
        <v>59</v>
      </c>
      <c r="J4163">
        <v>169.06399999999999</v>
      </c>
      <c r="K4163">
        <v>7</v>
      </c>
      <c r="L4163">
        <v>0.2</v>
      </c>
      <c r="M4163">
        <v>-14.793100000000001</v>
      </c>
    </row>
    <row r="4164" spans="1:13" x14ac:dyDescent="0.3">
      <c r="A4164" t="s">
        <v>62</v>
      </c>
      <c r="B4164" t="s">
        <v>22</v>
      </c>
      <c r="C4164" t="s">
        <v>15</v>
      </c>
      <c r="D4164" t="s">
        <v>97</v>
      </c>
      <c r="E4164" t="s">
        <v>98</v>
      </c>
      <c r="F4164">
        <v>80013</v>
      </c>
      <c r="G4164" t="s">
        <v>25</v>
      </c>
      <c r="H4164" t="s">
        <v>26</v>
      </c>
      <c r="I4164" t="s">
        <v>32</v>
      </c>
      <c r="J4164">
        <v>168.624</v>
      </c>
      <c r="K4164">
        <v>9</v>
      </c>
      <c r="L4164">
        <v>0.2</v>
      </c>
      <c r="M4164">
        <v>14.7546</v>
      </c>
    </row>
    <row r="4165" spans="1:13" x14ac:dyDescent="0.3">
      <c r="A4165" t="s">
        <v>28</v>
      </c>
      <c r="B4165" t="s">
        <v>22</v>
      </c>
      <c r="C4165" t="s">
        <v>15</v>
      </c>
      <c r="D4165" t="s">
        <v>159</v>
      </c>
      <c r="E4165" t="s">
        <v>76</v>
      </c>
      <c r="F4165">
        <v>11561</v>
      </c>
      <c r="G4165" t="s">
        <v>57</v>
      </c>
      <c r="H4165" t="s">
        <v>26</v>
      </c>
      <c r="I4165" t="s">
        <v>41</v>
      </c>
      <c r="J4165">
        <v>19.440000000000001</v>
      </c>
      <c r="K4165">
        <v>3</v>
      </c>
      <c r="L4165">
        <v>0</v>
      </c>
      <c r="M4165">
        <v>9.3312000000000008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26</v>
      </c>
      <c r="I4166" t="s">
        <v>32</v>
      </c>
      <c r="J4166">
        <v>31.92</v>
      </c>
      <c r="K4166">
        <v>4</v>
      </c>
      <c r="L4166">
        <v>0</v>
      </c>
      <c r="M4166">
        <v>8.2992000000000008</v>
      </c>
    </row>
    <row r="4167" spans="1:13" x14ac:dyDescent="0.3">
      <c r="A4167" t="s">
        <v>62</v>
      </c>
      <c r="B4167" t="s">
        <v>14</v>
      </c>
      <c r="C4167" t="s">
        <v>15</v>
      </c>
      <c r="D4167" t="s">
        <v>113</v>
      </c>
      <c r="E4167" t="s">
        <v>24</v>
      </c>
      <c r="F4167">
        <v>91104</v>
      </c>
      <c r="G4167" t="s">
        <v>25</v>
      </c>
      <c r="H4167" t="s">
        <v>19</v>
      </c>
      <c r="I4167" t="s">
        <v>21</v>
      </c>
      <c r="J4167">
        <v>433.56799999999998</v>
      </c>
      <c r="K4167">
        <v>2</v>
      </c>
      <c r="L4167">
        <v>0.2</v>
      </c>
      <c r="M4167">
        <v>-65.035200000000003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31.103999999999999</v>
      </c>
      <c r="K4168">
        <v>6</v>
      </c>
      <c r="L4168">
        <v>0.2</v>
      </c>
      <c r="M4168">
        <v>10.8864</v>
      </c>
    </row>
    <row r="4169" spans="1:13" x14ac:dyDescent="0.3">
      <c r="A4169" t="s">
        <v>62</v>
      </c>
      <c r="B4169" t="s">
        <v>44</v>
      </c>
      <c r="C4169" t="s">
        <v>15</v>
      </c>
      <c r="D4169" t="s">
        <v>206</v>
      </c>
      <c r="E4169" t="s">
        <v>81</v>
      </c>
      <c r="F4169">
        <v>85204</v>
      </c>
      <c r="G4169" t="s">
        <v>25</v>
      </c>
      <c r="H4169" t="s">
        <v>26</v>
      </c>
      <c r="I4169" t="s">
        <v>41</v>
      </c>
      <c r="J4169">
        <v>54.816000000000003</v>
      </c>
      <c r="K4169">
        <v>3</v>
      </c>
      <c r="L4169">
        <v>0.2</v>
      </c>
      <c r="M4169">
        <v>17.815200000000001</v>
      </c>
    </row>
    <row r="4170" spans="1:13" x14ac:dyDescent="0.3">
      <c r="A4170" t="s">
        <v>28</v>
      </c>
      <c r="B4170" t="s">
        <v>14</v>
      </c>
      <c r="C4170" t="s">
        <v>15</v>
      </c>
      <c r="D4170" t="s">
        <v>286</v>
      </c>
      <c r="E4170" t="s">
        <v>24</v>
      </c>
      <c r="F4170">
        <v>93727</v>
      </c>
      <c r="G4170" t="s">
        <v>25</v>
      </c>
      <c r="H4170" t="s">
        <v>26</v>
      </c>
      <c r="I4170" t="s">
        <v>32</v>
      </c>
      <c r="J4170">
        <v>48.86</v>
      </c>
      <c r="K4170">
        <v>7</v>
      </c>
      <c r="L4170">
        <v>0</v>
      </c>
      <c r="M4170">
        <v>0.97719999999999996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37</v>
      </c>
      <c r="J4171">
        <v>14.2</v>
      </c>
      <c r="K4171">
        <v>2</v>
      </c>
      <c r="L4171">
        <v>0</v>
      </c>
      <c r="M4171">
        <v>6.532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41</v>
      </c>
      <c r="J4172">
        <v>12.96</v>
      </c>
      <c r="K4172">
        <v>2</v>
      </c>
      <c r="L4172">
        <v>0</v>
      </c>
      <c r="M4172">
        <v>6.2207999999999997</v>
      </c>
    </row>
    <row r="4173" spans="1:13" x14ac:dyDescent="0.3">
      <c r="A4173" t="s">
        <v>168</v>
      </c>
      <c r="B4173" t="s">
        <v>14</v>
      </c>
      <c r="C4173" t="s">
        <v>15</v>
      </c>
      <c r="D4173" t="s">
        <v>90</v>
      </c>
      <c r="E4173" t="s">
        <v>91</v>
      </c>
      <c r="F4173">
        <v>29203</v>
      </c>
      <c r="G4173" t="s">
        <v>18</v>
      </c>
      <c r="H4173" t="s">
        <v>26</v>
      </c>
      <c r="I4173" t="s">
        <v>37</v>
      </c>
      <c r="J4173">
        <v>58.34</v>
      </c>
      <c r="K4173">
        <v>2</v>
      </c>
      <c r="L4173">
        <v>0</v>
      </c>
      <c r="M4173">
        <v>28.0032</v>
      </c>
    </row>
    <row r="4174" spans="1:13" x14ac:dyDescent="0.3">
      <c r="A4174" t="s">
        <v>62</v>
      </c>
      <c r="B4174" t="s">
        <v>44</v>
      </c>
      <c r="C4174" t="s">
        <v>15</v>
      </c>
      <c r="D4174" t="s">
        <v>240</v>
      </c>
      <c r="E4174" t="s">
        <v>24</v>
      </c>
      <c r="F4174">
        <v>92704</v>
      </c>
      <c r="G4174" t="s">
        <v>25</v>
      </c>
      <c r="H4174" t="s">
        <v>26</v>
      </c>
      <c r="I4174" t="s">
        <v>34</v>
      </c>
      <c r="J4174">
        <v>56.3</v>
      </c>
      <c r="K4174">
        <v>2</v>
      </c>
      <c r="L4174">
        <v>0</v>
      </c>
      <c r="M4174">
        <v>15.763999999999999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35</v>
      </c>
      <c r="I4175" t="s">
        <v>36</v>
      </c>
      <c r="J4175">
        <v>629.95000000000005</v>
      </c>
      <c r="K4175">
        <v>5</v>
      </c>
      <c r="L4175">
        <v>0</v>
      </c>
      <c r="M4175">
        <v>163.78700000000001</v>
      </c>
    </row>
    <row r="4176" spans="1:13" x14ac:dyDescent="0.3">
      <c r="A4176" t="s">
        <v>28</v>
      </c>
      <c r="B4176" t="s">
        <v>22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41</v>
      </c>
      <c r="J4176">
        <v>122.97</v>
      </c>
      <c r="K4176">
        <v>3</v>
      </c>
      <c r="L4176">
        <v>0</v>
      </c>
      <c r="M4176">
        <v>60.255299999999998</v>
      </c>
    </row>
    <row r="4177" spans="1:13" x14ac:dyDescent="0.3">
      <c r="A4177" t="s">
        <v>13</v>
      </c>
      <c r="B4177" t="s">
        <v>14</v>
      </c>
      <c r="C4177" t="s">
        <v>15</v>
      </c>
      <c r="D4177" t="s">
        <v>23</v>
      </c>
      <c r="E4177" t="s">
        <v>24</v>
      </c>
      <c r="F4177">
        <v>90045</v>
      </c>
      <c r="G4177" t="s">
        <v>25</v>
      </c>
      <c r="H4177" t="s">
        <v>26</v>
      </c>
      <c r="I4177" t="s">
        <v>41</v>
      </c>
      <c r="J4177">
        <v>46.35</v>
      </c>
      <c r="K4177">
        <v>5</v>
      </c>
      <c r="L4177">
        <v>0</v>
      </c>
      <c r="M4177">
        <v>21.784500000000001</v>
      </c>
    </row>
    <row r="4178" spans="1:13" x14ac:dyDescent="0.3">
      <c r="A4178" t="s">
        <v>28</v>
      </c>
      <c r="B4178" t="s">
        <v>44</v>
      </c>
      <c r="C4178" t="s">
        <v>15</v>
      </c>
      <c r="D4178" t="s">
        <v>52</v>
      </c>
      <c r="E4178" t="s">
        <v>24</v>
      </c>
      <c r="F4178">
        <v>94109</v>
      </c>
      <c r="G4178" t="s">
        <v>25</v>
      </c>
      <c r="H4178" t="s">
        <v>26</v>
      </c>
      <c r="I4178" t="s">
        <v>37</v>
      </c>
      <c r="J4178">
        <v>14.976000000000001</v>
      </c>
      <c r="K4178">
        <v>9</v>
      </c>
      <c r="L4178">
        <v>0.2</v>
      </c>
      <c r="M4178">
        <v>5.4287999999999998</v>
      </c>
    </row>
    <row r="4179" spans="1:13" x14ac:dyDescent="0.3">
      <c r="A4179" t="s">
        <v>28</v>
      </c>
      <c r="B4179" t="s">
        <v>14</v>
      </c>
      <c r="C4179" t="s">
        <v>15</v>
      </c>
      <c r="D4179" t="s">
        <v>61</v>
      </c>
      <c r="E4179" t="s">
        <v>46</v>
      </c>
      <c r="F4179">
        <v>77036</v>
      </c>
      <c r="G4179" t="s">
        <v>47</v>
      </c>
      <c r="H4179" t="s">
        <v>26</v>
      </c>
      <c r="I4179" t="s">
        <v>37</v>
      </c>
      <c r="J4179">
        <v>4.24</v>
      </c>
      <c r="K4179">
        <v>5</v>
      </c>
      <c r="L4179">
        <v>0.8</v>
      </c>
      <c r="M4179">
        <v>-6.36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35</v>
      </c>
      <c r="I4180" t="s">
        <v>59</v>
      </c>
      <c r="J4180">
        <v>319.95999999999998</v>
      </c>
      <c r="K4180">
        <v>4</v>
      </c>
      <c r="L4180">
        <v>0</v>
      </c>
      <c r="M4180">
        <v>115.18559999999999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41</v>
      </c>
      <c r="J4181">
        <v>17.04</v>
      </c>
      <c r="K4181">
        <v>3</v>
      </c>
      <c r="L4181">
        <v>0</v>
      </c>
      <c r="M4181">
        <v>7.6680000000000001</v>
      </c>
    </row>
    <row r="4182" spans="1:13" x14ac:dyDescent="0.3">
      <c r="A4182" t="s">
        <v>28</v>
      </c>
      <c r="B4182" t="s">
        <v>44</v>
      </c>
      <c r="C4182" t="s">
        <v>15</v>
      </c>
      <c r="D4182" t="s">
        <v>75</v>
      </c>
      <c r="E4182" t="s">
        <v>76</v>
      </c>
      <c r="F4182">
        <v>10035</v>
      </c>
      <c r="G4182" t="s">
        <v>57</v>
      </c>
      <c r="H4182" t="s">
        <v>26</v>
      </c>
      <c r="I4182" t="s">
        <v>32</v>
      </c>
      <c r="J4182">
        <v>344.91</v>
      </c>
      <c r="K4182">
        <v>3</v>
      </c>
      <c r="L4182">
        <v>0</v>
      </c>
      <c r="M4182">
        <v>10.347300000000001</v>
      </c>
    </row>
    <row r="4183" spans="1:13" x14ac:dyDescent="0.3">
      <c r="A4183" t="s">
        <v>62</v>
      </c>
      <c r="B4183" t="s">
        <v>22</v>
      </c>
      <c r="C4183" t="s">
        <v>15</v>
      </c>
      <c r="D4183" t="s">
        <v>115</v>
      </c>
      <c r="E4183" t="s">
        <v>166</v>
      </c>
      <c r="F4183">
        <v>2038</v>
      </c>
      <c r="G4183" t="s">
        <v>57</v>
      </c>
      <c r="H4183" t="s">
        <v>19</v>
      </c>
      <c r="I4183" t="s">
        <v>20</v>
      </c>
      <c r="J4183">
        <v>81.94</v>
      </c>
      <c r="K4183">
        <v>1</v>
      </c>
      <c r="L4183">
        <v>0</v>
      </c>
      <c r="M4183">
        <v>20.484999999999999</v>
      </c>
    </row>
    <row r="4184" spans="1:13" x14ac:dyDescent="0.3">
      <c r="A4184" t="s">
        <v>62</v>
      </c>
      <c r="B4184" t="s">
        <v>14</v>
      </c>
      <c r="C4184" t="s">
        <v>15</v>
      </c>
      <c r="D4184" t="s">
        <v>333</v>
      </c>
      <c r="E4184" t="s">
        <v>248</v>
      </c>
      <c r="F4184">
        <v>21215</v>
      </c>
      <c r="G4184" t="s">
        <v>57</v>
      </c>
      <c r="H4184" t="s">
        <v>35</v>
      </c>
      <c r="I4184" t="s">
        <v>59</v>
      </c>
      <c r="J4184">
        <v>98.16</v>
      </c>
      <c r="K4184">
        <v>6</v>
      </c>
      <c r="L4184">
        <v>0</v>
      </c>
      <c r="M4184">
        <v>9.8160000000000007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6.8739999999999997</v>
      </c>
      <c r="K4185">
        <v>7</v>
      </c>
      <c r="L4185">
        <v>0.8</v>
      </c>
      <c r="M4185">
        <v>-10.6547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37</v>
      </c>
      <c r="J4186">
        <v>1.996</v>
      </c>
      <c r="K4186">
        <v>1</v>
      </c>
      <c r="L4186">
        <v>0.8</v>
      </c>
      <c r="M4186">
        <v>-3.2934000000000001</v>
      </c>
    </row>
    <row r="4187" spans="1:13" x14ac:dyDescent="0.3">
      <c r="A4187" t="s">
        <v>28</v>
      </c>
      <c r="B4187" t="s">
        <v>22</v>
      </c>
      <c r="C4187" t="s">
        <v>15</v>
      </c>
      <c r="D4187" t="s">
        <v>482</v>
      </c>
      <c r="E4187" t="s">
        <v>46</v>
      </c>
      <c r="F4187">
        <v>78501</v>
      </c>
      <c r="G4187" t="s">
        <v>47</v>
      </c>
      <c r="H4187" t="s">
        <v>26</v>
      </c>
      <c r="I4187" t="s">
        <v>32</v>
      </c>
      <c r="J4187">
        <v>8.9280000000000008</v>
      </c>
      <c r="K4187">
        <v>2</v>
      </c>
      <c r="L4187">
        <v>0.2</v>
      </c>
      <c r="M4187">
        <v>0.66959999999999997</v>
      </c>
    </row>
    <row r="4188" spans="1:13" x14ac:dyDescent="0.3">
      <c r="A4188" t="s">
        <v>13</v>
      </c>
      <c r="B4188" t="s">
        <v>22</v>
      </c>
      <c r="C4188" t="s">
        <v>15</v>
      </c>
      <c r="D4188" t="s">
        <v>483</v>
      </c>
      <c r="E4188" t="s">
        <v>102</v>
      </c>
      <c r="F4188">
        <v>52240</v>
      </c>
      <c r="G4188" t="s">
        <v>47</v>
      </c>
      <c r="H4188" t="s">
        <v>26</v>
      </c>
      <c r="I4188" t="s">
        <v>41</v>
      </c>
      <c r="J4188">
        <v>9.99</v>
      </c>
      <c r="K4188">
        <v>1</v>
      </c>
      <c r="L4188">
        <v>0</v>
      </c>
      <c r="M4188">
        <v>4.4954999999999998</v>
      </c>
    </row>
    <row r="4189" spans="1:13" x14ac:dyDescent="0.3">
      <c r="A4189" t="s">
        <v>28</v>
      </c>
      <c r="B4189" t="s">
        <v>14</v>
      </c>
      <c r="C4189" t="s">
        <v>15</v>
      </c>
      <c r="D4189" t="s">
        <v>114</v>
      </c>
      <c r="E4189" t="s">
        <v>72</v>
      </c>
      <c r="F4189">
        <v>19711</v>
      </c>
      <c r="G4189" t="s">
        <v>57</v>
      </c>
      <c r="H4189" t="s">
        <v>35</v>
      </c>
      <c r="I4189" t="s">
        <v>162</v>
      </c>
      <c r="J4189">
        <v>10499.97</v>
      </c>
      <c r="K4189">
        <v>3</v>
      </c>
      <c r="L4189">
        <v>0</v>
      </c>
      <c r="M4189">
        <v>5039.9856</v>
      </c>
    </row>
    <row r="4190" spans="1:13" x14ac:dyDescent="0.3">
      <c r="A4190" t="s">
        <v>168</v>
      </c>
      <c r="B4190" t="s">
        <v>14</v>
      </c>
      <c r="C4190" t="s">
        <v>15</v>
      </c>
      <c r="D4190" t="s">
        <v>61</v>
      </c>
      <c r="E4190" t="s">
        <v>46</v>
      </c>
      <c r="F4190">
        <v>77070</v>
      </c>
      <c r="G4190" t="s">
        <v>47</v>
      </c>
      <c r="H4190" t="s">
        <v>26</v>
      </c>
      <c r="I4190" t="s">
        <v>41</v>
      </c>
      <c r="J4190">
        <v>21.12</v>
      </c>
      <c r="K4190">
        <v>5</v>
      </c>
      <c r="L4190">
        <v>0.2</v>
      </c>
      <c r="M4190">
        <v>6.6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19</v>
      </c>
      <c r="I4191" t="s">
        <v>31</v>
      </c>
      <c r="J4191">
        <v>696.42</v>
      </c>
      <c r="K4191">
        <v>2</v>
      </c>
      <c r="L4191">
        <v>0</v>
      </c>
      <c r="M4191">
        <v>160.17660000000001</v>
      </c>
    </row>
    <row r="4192" spans="1:13" x14ac:dyDescent="0.3">
      <c r="A4192" t="s">
        <v>28</v>
      </c>
      <c r="B4192" t="s">
        <v>22</v>
      </c>
      <c r="C4192" t="s">
        <v>15</v>
      </c>
      <c r="D4192" t="s">
        <v>484</v>
      </c>
      <c r="E4192" t="s">
        <v>437</v>
      </c>
      <c r="F4192">
        <v>83704</v>
      </c>
      <c r="G4192" t="s">
        <v>25</v>
      </c>
      <c r="H4192" t="s">
        <v>35</v>
      </c>
      <c r="I4192" t="s">
        <v>36</v>
      </c>
      <c r="J4192">
        <v>304.77600000000001</v>
      </c>
      <c r="K4192">
        <v>3</v>
      </c>
      <c r="L4192">
        <v>0.2</v>
      </c>
      <c r="M4192">
        <v>22.8582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144</v>
      </c>
      <c r="E4193" t="s">
        <v>24</v>
      </c>
      <c r="F4193">
        <v>92105</v>
      </c>
      <c r="G4193" t="s">
        <v>25</v>
      </c>
      <c r="H4193" t="s">
        <v>26</v>
      </c>
      <c r="I4193" t="s">
        <v>34</v>
      </c>
      <c r="J4193">
        <v>51.98</v>
      </c>
      <c r="K4193">
        <v>2</v>
      </c>
      <c r="L4193">
        <v>0</v>
      </c>
      <c r="M4193">
        <v>15.074199999999999</v>
      </c>
    </row>
    <row r="4194" spans="1:13" x14ac:dyDescent="0.3">
      <c r="A4194" t="s">
        <v>28</v>
      </c>
      <c r="B4194" t="s">
        <v>14</v>
      </c>
      <c r="C4194" t="s">
        <v>15</v>
      </c>
      <c r="D4194" t="s">
        <v>23</v>
      </c>
      <c r="E4194" t="s">
        <v>24</v>
      </c>
      <c r="F4194">
        <v>90032</v>
      </c>
      <c r="G4194" t="s">
        <v>25</v>
      </c>
      <c r="H4194" t="s">
        <v>19</v>
      </c>
      <c r="I4194" t="s">
        <v>33</v>
      </c>
      <c r="J4194">
        <v>24.7</v>
      </c>
      <c r="K4194">
        <v>5</v>
      </c>
      <c r="L4194">
        <v>0</v>
      </c>
      <c r="M4194">
        <v>10.374000000000001</v>
      </c>
    </row>
    <row r="4195" spans="1:13" x14ac:dyDescent="0.3">
      <c r="A4195" t="s">
        <v>13</v>
      </c>
      <c r="B4195" t="s">
        <v>14</v>
      </c>
      <c r="C4195" t="s">
        <v>15</v>
      </c>
      <c r="D4195" t="s">
        <v>75</v>
      </c>
      <c r="E4195" t="s">
        <v>76</v>
      </c>
      <c r="F4195">
        <v>10024</v>
      </c>
      <c r="G4195" t="s">
        <v>57</v>
      </c>
      <c r="H4195" t="s">
        <v>26</v>
      </c>
      <c r="I4195" t="s">
        <v>27</v>
      </c>
      <c r="J4195">
        <v>21.93</v>
      </c>
      <c r="K4195">
        <v>3</v>
      </c>
      <c r="L4195">
        <v>0</v>
      </c>
      <c r="M4195">
        <v>10.3071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38</v>
      </c>
      <c r="J4196">
        <v>394.81599999999997</v>
      </c>
      <c r="K4196">
        <v>4</v>
      </c>
      <c r="L4196">
        <v>0.2</v>
      </c>
      <c r="M4196">
        <v>93.768799999999999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55</v>
      </c>
      <c r="E4197" t="s">
        <v>56</v>
      </c>
      <c r="F4197">
        <v>19134</v>
      </c>
      <c r="G4197" t="s">
        <v>57</v>
      </c>
      <c r="H4197" t="s">
        <v>26</v>
      </c>
      <c r="I4197" t="s">
        <v>37</v>
      </c>
      <c r="J4197">
        <v>18.192</v>
      </c>
      <c r="K4197">
        <v>4</v>
      </c>
      <c r="L4197">
        <v>0.7</v>
      </c>
      <c r="M4197">
        <v>-14.553599999999999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7.31</v>
      </c>
      <c r="K4198">
        <v>1</v>
      </c>
      <c r="L4198">
        <v>0</v>
      </c>
      <c r="M4198">
        <v>3.4357000000000002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35</v>
      </c>
      <c r="I4199" t="s">
        <v>162</v>
      </c>
      <c r="J4199">
        <v>799.98400000000004</v>
      </c>
      <c r="K4199">
        <v>2</v>
      </c>
      <c r="L4199">
        <v>0.2</v>
      </c>
      <c r="M4199">
        <v>249.995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41.28</v>
      </c>
      <c r="K4200">
        <v>6</v>
      </c>
      <c r="L4200">
        <v>0</v>
      </c>
      <c r="M4200">
        <v>18.988800000000001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41</v>
      </c>
      <c r="J4201">
        <v>184.66</v>
      </c>
      <c r="K4201">
        <v>7</v>
      </c>
      <c r="L4201">
        <v>0</v>
      </c>
      <c r="M4201">
        <v>84.943600000000004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34</v>
      </c>
      <c r="J4202">
        <v>49.25</v>
      </c>
      <c r="K4202">
        <v>5</v>
      </c>
      <c r="L4202">
        <v>0</v>
      </c>
      <c r="M4202">
        <v>18.715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26</v>
      </c>
      <c r="I4203" t="s">
        <v>41</v>
      </c>
      <c r="J4203">
        <v>10.16</v>
      </c>
      <c r="K4203">
        <v>2</v>
      </c>
      <c r="L4203">
        <v>0</v>
      </c>
      <c r="M4203">
        <v>4.7751999999999999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19</v>
      </c>
      <c r="I4204" t="s">
        <v>33</v>
      </c>
      <c r="J4204">
        <v>14.76</v>
      </c>
      <c r="K4204">
        <v>2</v>
      </c>
      <c r="L4204">
        <v>0</v>
      </c>
      <c r="M4204">
        <v>4.2804000000000002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37</v>
      </c>
      <c r="J4205">
        <v>34.08</v>
      </c>
      <c r="K4205">
        <v>2</v>
      </c>
      <c r="L4205">
        <v>0</v>
      </c>
      <c r="M4205">
        <v>15.6768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33</v>
      </c>
      <c r="J4206">
        <v>17.670000000000002</v>
      </c>
      <c r="K4206">
        <v>3</v>
      </c>
      <c r="L4206">
        <v>0</v>
      </c>
      <c r="M4206">
        <v>7.7747999999999999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21</v>
      </c>
      <c r="J4207">
        <v>1604.9</v>
      </c>
      <c r="K4207">
        <v>5</v>
      </c>
      <c r="L4207">
        <v>0</v>
      </c>
      <c r="M4207">
        <v>481.47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19</v>
      </c>
      <c r="I4208" t="s">
        <v>31</v>
      </c>
      <c r="J4208">
        <v>385.68599999999998</v>
      </c>
      <c r="K4208">
        <v>1</v>
      </c>
      <c r="L4208">
        <v>0.3</v>
      </c>
      <c r="M4208">
        <v>-60.607799999999997</v>
      </c>
    </row>
    <row r="4209" spans="1:13" x14ac:dyDescent="0.3">
      <c r="A4209" t="s">
        <v>28</v>
      </c>
      <c r="B4209" t="s">
        <v>14</v>
      </c>
      <c r="C4209" t="s">
        <v>15</v>
      </c>
      <c r="D4209" t="s">
        <v>79</v>
      </c>
      <c r="E4209" t="s">
        <v>65</v>
      </c>
      <c r="F4209">
        <v>60623</v>
      </c>
      <c r="G4209" t="s">
        <v>47</v>
      </c>
      <c r="H4209" t="s">
        <v>26</v>
      </c>
      <c r="I4209" t="s">
        <v>41</v>
      </c>
      <c r="J4209">
        <v>15.984</v>
      </c>
      <c r="K4209">
        <v>2</v>
      </c>
      <c r="L4209">
        <v>0.2</v>
      </c>
      <c r="M4209">
        <v>4.9950000000000001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41</v>
      </c>
      <c r="J4210">
        <v>9.42</v>
      </c>
      <c r="K4210">
        <v>3</v>
      </c>
      <c r="L4210">
        <v>0</v>
      </c>
      <c r="M4210">
        <v>4.2389999999999999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34</v>
      </c>
      <c r="J4211">
        <v>6.56</v>
      </c>
      <c r="K4211">
        <v>2</v>
      </c>
      <c r="L4211">
        <v>0</v>
      </c>
      <c r="M4211">
        <v>1.9024000000000001</v>
      </c>
    </row>
    <row r="4212" spans="1:13" x14ac:dyDescent="0.3">
      <c r="A4212" t="s">
        <v>13</v>
      </c>
      <c r="B4212" t="s">
        <v>14</v>
      </c>
      <c r="C4212" t="s">
        <v>15</v>
      </c>
      <c r="D4212" t="s">
        <v>182</v>
      </c>
      <c r="E4212" t="s">
        <v>17</v>
      </c>
      <c r="F4212">
        <v>40475</v>
      </c>
      <c r="G4212" t="s">
        <v>18</v>
      </c>
      <c r="H4212" t="s">
        <v>26</v>
      </c>
      <c r="I4212" t="s">
        <v>41</v>
      </c>
      <c r="J4212">
        <v>24.56</v>
      </c>
      <c r="K4212">
        <v>2</v>
      </c>
      <c r="L4212">
        <v>0</v>
      </c>
      <c r="M4212">
        <v>11.543200000000001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402</v>
      </c>
      <c r="E4213" t="s">
        <v>74</v>
      </c>
      <c r="F4213">
        <v>46544</v>
      </c>
      <c r="G4213" t="s">
        <v>47</v>
      </c>
      <c r="H4213" t="s">
        <v>26</v>
      </c>
      <c r="I4213" t="s">
        <v>37</v>
      </c>
      <c r="J4213">
        <v>128.4</v>
      </c>
      <c r="K4213">
        <v>3</v>
      </c>
      <c r="L4213">
        <v>0</v>
      </c>
      <c r="M4213">
        <v>64.2</v>
      </c>
    </row>
    <row r="4214" spans="1:13" x14ac:dyDescent="0.3">
      <c r="A4214" t="s">
        <v>28</v>
      </c>
      <c r="B4214" t="s">
        <v>14</v>
      </c>
      <c r="C4214" t="s">
        <v>15</v>
      </c>
      <c r="D4214" t="s">
        <v>228</v>
      </c>
      <c r="E4214" t="s">
        <v>76</v>
      </c>
      <c r="F4214">
        <v>10550</v>
      </c>
      <c r="G4214" t="s">
        <v>57</v>
      </c>
      <c r="H4214" t="s">
        <v>26</v>
      </c>
      <c r="I4214" t="s">
        <v>60</v>
      </c>
      <c r="J4214">
        <v>62.28</v>
      </c>
      <c r="K4214">
        <v>4</v>
      </c>
      <c r="L4214">
        <v>0</v>
      </c>
      <c r="M4214">
        <v>29.271599999999999</v>
      </c>
    </row>
    <row r="4215" spans="1:13" x14ac:dyDescent="0.3">
      <c r="A4215" t="s">
        <v>28</v>
      </c>
      <c r="B4215" t="s">
        <v>22</v>
      </c>
      <c r="C4215" t="s">
        <v>15</v>
      </c>
      <c r="D4215" t="s">
        <v>23</v>
      </c>
      <c r="E4215" t="s">
        <v>24</v>
      </c>
      <c r="F4215">
        <v>90004</v>
      </c>
      <c r="G4215" t="s">
        <v>25</v>
      </c>
      <c r="H4215" t="s">
        <v>26</v>
      </c>
      <c r="I4215" t="s">
        <v>27</v>
      </c>
      <c r="J4215">
        <v>9.24</v>
      </c>
      <c r="K4215">
        <v>3</v>
      </c>
      <c r="L4215">
        <v>0</v>
      </c>
      <c r="M4215">
        <v>4.4352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19</v>
      </c>
      <c r="I4216" t="s">
        <v>20</v>
      </c>
      <c r="J4216">
        <v>482.66399999999999</v>
      </c>
      <c r="K4216">
        <v>8</v>
      </c>
      <c r="L4216">
        <v>0.15</v>
      </c>
      <c r="M4216">
        <v>85.176000000000002</v>
      </c>
    </row>
    <row r="4217" spans="1:13" x14ac:dyDescent="0.3">
      <c r="A4217" t="s">
        <v>62</v>
      </c>
      <c r="B4217" t="s">
        <v>22</v>
      </c>
      <c r="C4217" t="s">
        <v>15</v>
      </c>
      <c r="D4217" t="s">
        <v>52</v>
      </c>
      <c r="E4217" t="s">
        <v>24</v>
      </c>
      <c r="F4217">
        <v>94110</v>
      </c>
      <c r="G4217" t="s">
        <v>25</v>
      </c>
      <c r="H4217" t="s">
        <v>35</v>
      </c>
      <c r="I4217" t="s">
        <v>123</v>
      </c>
      <c r="J4217">
        <v>4799.9840000000004</v>
      </c>
      <c r="K4217">
        <v>2</v>
      </c>
      <c r="L4217">
        <v>0.2</v>
      </c>
      <c r="M4217">
        <v>359.99880000000002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41</v>
      </c>
      <c r="J4218">
        <v>37.94</v>
      </c>
      <c r="K4218">
        <v>2</v>
      </c>
      <c r="L4218">
        <v>0</v>
      </c>
      <c r="M4218">
        <v>18.211200000000002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26</v>
      </c>
      <c r="I4219" t="s">
        <v>37</v>
      </c>
      <c r="J4219">
        <v>18.288</v>
      </c>
      <c r="K4219">
        <v>6</v>
      </c>
      <c r="L4219">
        <v>0.2</v>
      </c>
      <c r="M4219">
        <v>6.6294000000000004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35</v>
      </c>
      <c r="I4220" t="s">
        <v>123</v>
      </c>
      <c r="J4220">
        <v>385.8</v>
      </c>
      <c r="K4220">
        <v>5</v>
      </c>
      <c r="L4220">
        <v>0.2</v>
      </c>
      <c r="M4220">
        <v>130.20750000000001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32</v>
      </c>
      <c r="J4221">
        <v>102.96</v>
      </c>
      <c r="K4221">
        <v>2</v>
      </c>
      <c r="L4221">
        <v>0</v>
      </c>
      <c r="M4221">
        <v>1.0296000000000001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19</v>
      </c>
      <c r="I4222" t="s">
        <v>20</v>
      </c>
      <c r="J4222">
        <v>174.42</v>
      </c>
      <c r="K4222">
        <v>3</v>
      </c>
      <c r="L4222">
        <v>0</v>
      </c>
      <c r="M4222">
        <v>41.860799999999998</v>
      </c>
    </row>
    <row r="4223" spans="1:13" x14ac:dyDescent="0.3">
      <c r="A4223" t="s">
        <v>62</v>
      </c>
      <c r="B4223" t="s">
        <v>14</v>
      </c>
      <c r="C4223" t="s">
        <v>15</v>
      </c>
      <c r="D4223" t="s">
        <v>172</v>
      </c>
      <c r="E4223" t="s">
        <v>65</v>
      </c>
      <c r="F4223">
        <v>62301</v>
      </c>
      <c r="G4223" t="s">
        <v>47</v>
      </c>
      <c r="H4223" t="s">
        <v>26</v>
      </c>
      <c r="I4223" t="s">
        <v>37</v>
      </c>
      <c r="J4223">
        <v>1.964</v>
      </c>
      <c r="K4223">
        <v>2</v>
      </c>
      <c r="L4223">
        <v>0.8</v>
      </c>
      <c r="M4223">
        <v>-3.2406000000000001</v>
      </c>
    </row>
    <row r="4224" spans="1:13" x14ac:dyDescent="0.3">
      <c r="A4224" t="s">
        <v>28</v>
      </c>
      <c r="B4224" t="s">
        <v>22</v>
      </c>
      <c r="C4224" t="s">
        <v>15</v>
      </c>
      <c r="D4224" t="s">
        <v>79</v>
      </c>
      <c r="E4224" t="s">
        <v>65</v>
      </c>
      <c r="F4224">
        <v>60623</v>
      </c>
      <c r="G4224" t="s">
        <v>47</v>
      </c>
      <c r="H4224" t="s">
        <v>19</v>
      </c>
      <c r="I4224" t="s">
        <v>33</v>
      </c>
      <c r="J4224">
        <v>94.427999999999997</v>
      </c>
      <c r="K4224">
        <v>3</v>
      </c>
      <c r="L4224">
        <v>0.6</v>
      </c>
      <c r="M4224">
        <v>-42.492600000000003</v>
      </c>
    </row>
    <row r="4225" spans="1:13" x14ac:dyDescent="0.3">
      <c r="A4225" t="s">
        <v>28</v>
      </c>
      <c r="B4225" t="s">
        <v>14</v>
      </c>
      <c r="C4225" t="s">
        <v>15</v>
      </c>
      <c r="D4225" t="s">
        <v>101</v>
      </c>
      <c r="E4225" t="s">
        <v>102</v>
      </c>
      <c r="F4225">
        <v>50322</v>
      </c>
      <c r="G4225" t="s">
        <v>47</v>
      </c>
      <c r="H4225" t="s">
        <v>26</v>
      </c>
      <c r="I4225" t="s">
        <v>77</v>
      </c>
      <c r="J4225">
        <v>45.92</v>
      </c>
      <c r="K4225">
        <v>4</v>
      </c>
      <c r="L4225">
        <v>0</v>
      </c>
      <c r="M4225">
        <v>21.5824</v>
      </c>
    </row>
    <row r="4226" spans="1:13" x14ac:dyDescent="0.3">
      <c r="A4226" t="s">
        <v>28</v>
      </c>
      <c r="B4226" t="s">
        <v>44</v>
      </c>
      <c r="C4226" t="s">
        <v>15</v>
      </c>
      <c r="D4226" t="s">
        <v>42</v>
      </c>
      <c r="E4226" t="s">
        <v>43</v>
      </c>
      <c r="F4226">
        <v>98103</v>
      </c>
      <c r="G4226" t="s">
        <v>25</v>
      </c>
      <c r="H4226" t="s">
        <v>19</v>
      </c>
      <c r="I4226" t="s">
        <v>21</v>
      </c>
      <c r="J4226">
        <v>61.584000000000003</v>
      </c>
      <c r="K4226">
        <v>1</v>
      </c>
      <c r="L4226">
        <v>0.2</v>
      </c>
      <c r="M4226">
        <v>-6.9282000000000004</v>
      </c>
    </row>
    <row r="4227" spans="1:13" x14ac:dyDescent="0.3">
      <c r="A4227" t="s">
        <v>62</v>
      </c>
      <c r="B4227" t="s">
        <v>22</v>
      </c>
      <c r="C4227" t="s">
        <v>15</v>
      </c>
      <c r="D4227" t="s">
        <v>182</v>
      </c>
      <c r="E4227" t="s">
        <v>74</v>
      </c>
      <c r="F4227">
        <v>47374</v>
      </c>
      <c r="G4227" t="s">
        <v>47</v>
      </c>
      <c r="H4227" t="s">
        <v>26</v>
      </c>
      <c r="I4227" t="s">
        <v>41</v>
      </c>
      <c r="J4227">
        <v>22.48</v>
      </c>
      <c r="K4227">
        <v>1</v>
      </c>
      <c r="L4227">
        <v>0</v>
      </c>
      <c r="M4227">
        <v>10.3408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19</v>
      </c>
      <c r="I4228" t="s">
        <v>33</v>
      </c>
      <c r="J4228">
        <v>332.02800000000002</v>
      </c>
      <c r="K4228">
        <v>9</v>
      </c>
      <c r="L4228">
        <v>0.6</v>
      </c>
      <c r="M4228">
        <v>-348.62939999999998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37</v>
      </c>
      <c r="J4229">
        <v>11.394</v>
      </c>
      <c r="K4229">
        <v>9</v>
      </c>
      <c r="L4229">
        <v>0.8</v>
      </c>
      <c r="M4229">
        <v>-17.660699999999999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15.552</v>
      </c>
      <c r="K4230">
        <v>3</v>
      </c>
      <c r="L4230">
        <v>0.2</v>
      </c>
      <c r="M4230">
        <v>5.6375999999999999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41</v>
      </c>
      <c r="J4231">
        <v>31.103999999999999</v>
      </c>
      <c r="K4231">
        <v>6</v>
      </c>
      <c r="L4231">
        <v>0.2</v>
      </c>
      <c r="M4231">
        <v>11.2752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6.3159999999999998</v>
      </c>
      <c r="K4232">
        <v>1</v>
      </c>
      <c r="L4232">
        <v>0.8</v>
      </c>
      <c r="M4232">
        <v>-10.4214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41</v>
      </c>
      <c r="J4233">
        <v>11.352</v>
      </c>
      <c r="K4233">
        <v>3</v>
      </c>
      <c r="L4233">
        <v>0.2</v>
      </c>
      <c r="M4233">
        <v>4.1151</v>
      </c>
    </row>
    <row r="4234" spans="1:13" x14ac:dyDescent="0.3">
      <c r="A4234" t="s">
        <v>62</v>
      </c>
      <c r="B4234" t="s">
        <v>44</v>
      </c>
      <c r="C4234" t="s">
        <v>15</v>
      </c>
      <c r="D4234" t="s">
        <v>55</v>
      </c>
      <c r="E4234" t="s">
        <v>56</v>
      </c>
      <c r="F4234">
        <v>19143</v>
      </c>
      <c r="G4234" t="s">
        <v>57</v>
      </c>
      <c r="H4234" t="s">
        <v>26</v>
      </c>
      <c r="I4234" t="s">
        <v>27</v>
      </c>
      <c r="J4234">
        <v>20.808</v>
      </c>
      <c r="K4234">
        <v>9</v>
      </c>
      <c r="L4234">
        <v>0.2</v>
      </c>
      <c r="M4234">
        <v>7.0227000000000004</v>
      </c>
    </row>
    <row r="4235" spans="1:13" x14ac:dyDescent="0.3">
      <c r="A4235" t="s">
        <v>28</v>
      </c>
      <c r="B4235" t="s">
        <v>44</v>
      </c>
      <c r="C4235" t="s">
        <v>15</v>
      </c>
      <c r="D4235" t="s">
        <v>264</v>
      </c>
      <c r="E4235" t="s">
        <v>65</v>
      </c>
      <c r="F4235">
        <v>61107</v>
      </c>
      <c r="G4235" t="s">
        <v>47</v>
      </c>
      <c r="H4235" t="s">
        <v>26</v>
      </c>
      <c r="I4235" t="s">
        <v>37</v>
      </c>
      <c r="J4235">
        <v>11.416</v>
      </c>
      <c r="K4235">
        <v>4</v>
      </c>
      <c r="L4235">
        <v>0.8</v>
      </c>
      <c r="M4235">
        <v>-18.836400000000001</v>
      </c>
    </row>
    <row r="4236" spans="1:13" x14ac:dyDescent="0.3">
      <c r="A4236" t="s">
        <v>13</v>
      </c>
      <c r="B4236" t="s">
        <v>22</v>
      </c>
      <c r="C4236" t="s">
        <v>15</v>
      </c>
      <c r="D4236" t="s">
        <v>55</v>
      </c>
      <c r="E4236" t="s">
        <v>56</v>
      </c>
      <c r="F4236">
        <v>19134</v>
      </c>
      <c r="G4236" t="s">
        <v>57</v>
      </c>
      <c r="H4236" t="s">
        <v>26</v>
      </c>
      <c r="I4236" t="s">
        <v>34</v>
      </c>
      <c r="J4236">
        <v>9.4079999999999995</v>
      </c>
      <c r="K4236">
        <v>7</v>
      </c>
      <c r="L4236">
        <v>0.2</v>
      </c>
      <c r="M4236">
        <v>0.7056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42</v>
      </c>
      <c r="E4237" t="s">
        <v>43</v>
      </c>
      <c r="F4237">
        <v>98105</v>
      </c>
      <c r="G4237" t="s">
        <v>25</v>
      </c>
      <c r="H4237" t="s">
        <v>26</v>
      </c>
      <c r="I4237" t="s">
        <v>34</v>
      </c>
      <c r="J4237">
        <v>19.829999999999998</v>
      </c>
      <c r="K4237">
        <v>1</v>
      </c>
      <c r="L4237">
        <v>0</v>
      </c>
      <c r="M4237">
        <v>5.9489999999999998</v>
      </c>
    </row>
    <row r="4238" spans="1:13" x14ac:dyDescent="0.3">
      <c r="A4238" t="s">
        <v>28</v>
      </c>
      <c r="B4238" t="s">
        <v>22</v>
      </c>
      <c r="C4238" t="s">
        <v>15</v>
      </c>
      <c r="D4238" t="s">
        <v>444</v>
      </c>
      <c r="E4238" t="s">
        <v>70</v>
      </c>
      <c r="F4238">
        <v>49505</v>
      </c>
      <c r="G4238" t="s">
        <v>47</v>
      </c>
      <c r="H4238" t="s">
        <v>26</v>
      </c>
      <c r="I4238" t="s">
        <v>41</v>
      </c>
      <c r="J4238">
        <v>209.7</v>
      </c>
      <c r="K4238">
        <v>2</v>
      </c>
      <c r="L4238">
        <v>0</v>
      </c>
      <c r="M4238">
        <v>100.65600000000001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38</v>
      </c>
      <c r="J4239">
        <v>43.92</v>
      </c>
      <c r="K4239">
        <v>4</v>
      </c>
      <c r="L4239">
        <v>0</v>
      </c>
      <c r="M4239">
        <v>11.8584</v>
      </c>
    </row>
    <row r="4240" spans="1:13" x14ac:dyDescent="0.3">
      <c r="A4240" t="s">
        <v>28</v>
      </c>
      <c r="B4240" t="s">
        <v>44</v>
      </c>
      <c r="C4240" t="s">
        <v>15</v>
      </c>
      <c r="D4240" t="s">
        <v>23</v>
      </c>
      <c r="E4240" t="s">
        <v>24</v>
      </c>
      <c r="F4240">
        <v>90004</v>
      </c>
      <c r="G4240" t="s">
        <v>25</v>
      </c>
      <c r="H4240" t="s">
        <v>26</v>
      </c>
      <c r="I4240" t="s">
        <v>37</v>
      </c>
      <c r="J4240">
        <v>20.231999999999999</v>
      </c>
      <c r="K4240">
        <v>3</v>
      </c>
      <c r="L4240">
        <v>0.2</v>
      </c>
      <c r="M4240">
        <v>6.5754000000000001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35</v>
      </c>
      <c r="I4241" t="s">
        <v>36</v>
      </c>
      <c r="J4241">
        <v>149.97</v>
      </c>
      <c r="K4241">
        <v>3</v>
      </c>
      <c r="L4241">
        <v>0</v>
      </c>
      <c r="M4241">
        <v>5.9988000000000001</v>
      </c>
    </row>
    <row r="4242" spans="1:13" x14ac:dyDescent="0.3">
      <c r="A4242" t="s">
        <v>62</v>
      </c>
      <c r="B4242" t="s">
        <v>44</v>
      </c>
      <c r="C4242" t="s">
        <v>15</v>
      </c>
      <c r="D4242" t="s">
        <v>82</v>
      </c>
      <c r="E4242" t="s">
        <v>83</v>
      </c>
      <c r="F4242">
        <v>22153</v>
      </c>
      <c r="G4242" t="s">
        <v>18</v>
      </c>
      <c r="H4242" t="s">
        <v>26</v>
      </c>
      <c r="I4242" t="s">
        <v>41</v>
      </c>
      <c r="J4242">
        <v>27.81</v>
      </c>
      <c r="K4242">
        <v>3</v>
      </c>
      <c r="L4242">
        <v>0</v>
      </c>
      <c r="M4242">
        <v>13.0707</v>
      </c>
    </row>
    <row r="4243" spans="1:13" x14ac:dyDescent="0.3">
      <c r="A4243" t="s">
        <v>28</v>
      </c>
      <c r="B4243" t="s">
        <v>22</v>
      </c>
      <c r="C4243" t="s">
        <v>15</v>
      </c>
      <c r="D4243" t="s">
        <v>23</v>
      </c>
      <c r="E4243" t="s">
        <v>24</v>
      </c>
      <c r="F4243">
        <v>90036</v>
      </c>
      <c r="G4243" t="s">
        <v>25</v>
      </c>
      <c r="H4243" t="s">
        <v>35</v>
      </c>
      <c r="I4243" t="s">
        <v>59</v>
      </c>
      <c r="J4243">
        <v>66.3</v>
      </c>
      <c r="K4243">
        <v>3</v>
      </c>
      <c r="L4243">
        <v>0</v>
      </c>
      <c r="M4243">
        <v>8.6189999999999998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26</v>
      </c>
      <c r="I4244" t="s">
        <v>34</v>
      </c>
      <c r="J4244">
        <v>1.64</v>
      </c>
      <c r="K4244">
        <v>1</v>
      </c>
      <c r="L4244">
        <v>0</v>
      </c>
      <c r="M4244">
        <v>0.73799999999999999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1049.2</v>
      </c>
      <c r="K4245">
        <v>5</v>
      </c>
      <c r="L4245">
        <v>0</v>
      </c>
      <c r="M4245">
        <v>272.79199999999997</v>
      </c>
    </row>
    <row r="4246" spans="1:13" x14ac:dyDescent="0.3">
      <c r="A4246" t="s">
        <v>28</v>
      </c>
      <c r="B4246" t="s">
        <v>44</v>
      </c>
      <c r="C4246" t="s">
        <v>15</v>
      </c>
      <c r="D4246" t="s">
        <v>333</v>
      </c>
      <c r="E4246" t="s">
        <v>248</v>
      </c>
      <c r="F4246">
        <v>21215</v>
      </c>
      <c r="G4246" t="s">
        <v>57</v>
      </c>
      <c r="H4246" t="s">
        <v>19</v>
      </c>
      <c r="I4246" t="s">
        <v>33</v>
      </c>
      <c r="J4246">
        <v>20.9</v>
      </c>
      <c r="K4246">
        <v>5</v>
      </c>
      <c r="L4246">
        <v>0</v>
      </c>
      <c r="M4246">
        <v>7.524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26</v>
      </c>
      <c r="I4247" t="s">
        <v>37</v>
      </c>
      <c r="J4247">
        <v>88.08</v>
      </c>
      <c r="K4247">
        <v>6</v>
      </c>
      <c r="L4247">
        <v>0</v>
      </c>
      <c r="M4247">
        <v>40.516800000000003</v>
      </c>
    </row>
    <row r="4248" spans="1:13" x14ac:dyDescent="0.3">
      <c r="A4248" t="s">
        <v>13</v>
      </c>
      <c r="B4248" t="s">
        <v>14</v>
      </c>
      <c r="C4248" t="s">
        <v>15</v>
      </c>
      <c r="D4248" t="s">
        <v>126</v>
      </c>
      <c r="E4248" t="s">
        <v>127</v>
      </c>
      <c r="F4248">
        <v>6824</v>
      </c>
      <c r="G4248" t="s">
        <v>57</v>
      </c>
      <c r="H4248" t="s">
        <v>19</v>
      </c>
      <c r="I4248" t="s">
        <v>21</v>
      </c>
      <c r="J4248">
        <v>751.92</v>
      </c>
      <c r="K4248">
        <v>4</v>
      </c>
      <c r="L4248">
        <v>0</v>
      </c>
      <c r="M4248">
        <v>150.38399999999999</v>
      </c>
    </row>
    <row r="4249" spans="1:13" x14ac:dyDescent="0.3">
      <c r="A4249" t="s">
        <v>168</v>
      </c>
      <c r="B4249" t="s">
        <v>22</v>
      </c>
      <c r="C4249" t="s">
        <v>15</v>
      </c>
      <c r="D4249" t="s">
        <v>75</v>
      </c>
      <c r="E4249" t="s">
        <v>76</v>
      </c>
      <c r="F4249">
        <v>10011</v>
      </c>
      <c r="G4249" t="s">
        <v>57</v>
      </c>
      <c r="H4249" t="s">
        <v>19</v>
      </c>
      <c r="I4249" t="s">
        <v>21</v>
      </c>
      <c r="J4249">
        <v>887.10299999999995</v>
      </c>
      <c r="K4249">
        <v>7</v>
      </c>
      <c r="L4249">
        <v>0.1</v>
      </c>
      <c r="M4249">
        <v>177.42060000000001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35</v>
      </c>
      <c r="I4250" t="s">
        <v>36</v>
      </c>
      <c r="J4250">
        <v>55.944000000000003</v>
      </c>
      <c r="K4250">
        <v>7</v>
      </c>
      <c r="L4250">
        <v>0.2</v>
      </c>
      <c r="M4250">
        <v>-13.2867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26</v>
      </c>
      <c r="I4251" t="s">
        <v>34</v>
      </c>
      <c r="J4251">
        <v>10.688000000000001</v>
      </c>
      <c r="K4251">
        <v>2</v>
      </c>
      <c r="L4251">
        <v>0.2</v>
      </c>
      <c r="M4251">
        <v>2.2711999999999999</v>
      </c>
    </row>
    <row r="4252" spans="1:13" x14ac:dyDescent="0.3">
      <c r="A4252" t="s">
        <v>168</v>
      </c>
      <c r="B4252" t="s">
        <v>14</v>
      </c>
      <c r="C4252" t="s">
        <v>15</v>
      </c>
      <c r="D4252" t="s">
        <v>204</v>
      </c>
      <c r="E4252" t="s">
        <v>30</v>
      </c>
      <c r="F4252">
        <v>33801</v>
      </c>
      <c r="G4252" t="s">
        <v>18</v>
      </c>
      <c r="H4252" t="s">
        <v>35</v>
      </c>
      <c r="I4252" t="s">
        <v>36</v>
      </c>
      <c r="J4252">
        <v>11.824</v>
      </c>
      <c r="K4252">
        <v>2</v>
      </c>
      <c r="L4252">
        <v>0.2</v>
      </c>
      <c r="M4252">
        <v>1.0346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41</v>
      </c>
      <c r="J4253">
        <v>63.311999999999998</v>
      </c>
      <c r="K4253">
        <v>3</v>
      </c>
      <c r="L4253">
        <v>0.2</v>
      </c>
      <c r="M4253">
        <v>20.5764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26</v>
      </c>
      <c r="I4254" t="s">
        <v>37</v>
      </c>
      <c r="J4254">
        <v>96.784000000000006</v>
      </c>
      <c r="K4254">
        <v>4</v>
      </c>
      <c r="L4254">
        <v>0.8</v>
      </c>
      <c r="M4254">
        <v>-145.17599999999999</v>
      </c>
    </row>
    <row r="4255" spans="1:13" x14ac:dyDescent="0.3">
      <c r="A4255" t="s">
        <v>62</v>
      </c>
      <c r="B4255" t="s">
        <v>14</v>
      </c>
      <c r="C4255" t="s">
        <v>15</v>
      </c>
      <c r="D4255" t="s">
        <v>295</v>
      </c>
      <c r="E4255" t="s">
        <v>65</v>
      </c>
      <c r="F4255">
        <v>61032</v>
      </c>
      <c r="G4255" t="s">
        <v>47</v>
      </c>
      <c r="H4255" t="s">
        <v>19</v>
      </c>
      <c r="I4255" t="s">
        <v>33</v>
      </c>
      <c r="J4255">
        <v>10.476000000000001</v>
      </c>
      <c r="K4255">
        <v>3</v>
      </c>
      <c r="L4255">
        <v>0.6</v>
      </c>
      <c r="M4255">
        <v>-6.8094000000000001</v>
      </c>
    </row>
    <row r="4256" spans="1:13" x14ac:dyDescent="0.3">
      <c r="A4256" t="s">
        <v>28</v>
      </c>
      <c r="B4256" t="s">
        <v>22</v>
      </c>
      <c r="C4256" t="s">
        <v>15</v>
      </c>
      <c r="D4256" t="s">
        <v>347</v>
      </c>
      <c r="E4256" t="s">
        <v>95</v>
      </c>
      <c r="F4256">
        <v>97504</v>
      </c>
      <c r="G4256" t="s">
        <v>25</v>
      </c>
      <c r="H4256" t="s">
        <v>26</v>
      </c>
      <c r="I4256" t="s">
        <v>37</v>
      </c>
      <c r="J4256">
        <v>9.7620000000000005</v>
      </c>
      <c r="K4256">
        <v>2</v>
      </c>
      <c r="L4256">
        <v>0.7</v>
      </c>
      <c r="M4256">
        <v>-6.8334000000000001</v>
      </c>
    </row>
    <row r="4257" spans="1:13" x14ac:dyDescent="0.3">
      <c r="A4257" t="s">
        <v>62</v>
      </c>
      <c r="B4257" t="s">
        <v>22</v>
      </c>
      <c r="C4257" t="s">
        <v>15</v>
      </c>
      <c r="D4257" t="s">
        <v>42</v>
      </c>
      <c r="E4257" t="s">
        <v>43</v>
      </c>
      <c r="F4257">
        <v>98103</v>
      </c>
      <c r="G4257" t="s">
        <v>25</v>
      </c>
      <c r="H4257" t="s">
        <v>19</v>
      </c>
      <c r="I4257" t="s">
        <v>21</v>
      </c>
      <c r="J4257">
        <v>196.78399999999999</v>
      </c>
      <c r="K4257">
        <v>2</v>
      </c>
      <c r="L4257">
        <v>0.2</v>
      </c>
      <c r="M4257">
        <v>-22.138200000000001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75</v>
      </c>
      <c r="E4258" t="s">
        <v>76</v>
      </c>
      <c r="F4258">
        <v>10035</v>
      </c>
      <c r="G4258" t="s">
        <v>57</v>
      </c>
      <c r="H4258" t="s">
        <v>26</v>
      </c>
      <c r="I4258" t="s">
        <v>60</v>
      </c>
      <c r="J4258">
        <v>47.98</v>
      </c>
      <c r="K4258">
        <v>2</v>
      </c>
      <c r="L4258">
        <v>0</v>
      </c>
      <c r="M4258">
        <v>23.99</v>
      </c>
    </row>
    <row r="4259" spans="1:13" x14ac:dyDescent="0.3">
      <c r="A4259" t="s">
        <v>13</v>
      </c>
      <c r="B4259" t="s">
        <v>22</v>
      </c>
      <c r="C4259" t="s">
        <v>15</v>
      </c>
      <c r="D4259" t="s">
        <v>126</v>
      </c>
      <c r="E4259" t="s">
        <v>127</v>
      </c>
      <c r="F4259">
        <v>6824</v>
      </c>
      <c r="G4259" t="s">
        <v>57</v>
      </c>
      <c r="H4259" t="s">
        <v>26</v>
      </c>
      <c r="I4259" t="s">
        <v>27</v>
      </c>
      <c r="J4259">
        <v>13.05</v>
      </c>
      <c r="K4259">
        <v>5</v>
      </c>
      <c r="L4259">
        <v>0</v>
      </c>
      <c r="M4259">
        <v>6.0030000000000001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364</v>
      </c>
      <c r="E4260" t="s">
        <v>68</v>
      </c>
      <c r="F4260">
        <v>56560</v>
      </c>
      <c r="G4260" t="s">
        <v>47</v>
      </c>
      <c r="H4260" t="s">
        <v>35</v>
      </c>
      <c r="I4260" t="s">
        <v>59</v>
      </c>
      <c r="J4260">
        <v>63.96</v>
      </c>
      <c r="K4260">
        <v>4</v>
      </c>
      <c r="L4260">
        <v>0</v>
      </c>
      <c r="M4260">
        <v>19.8276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103</v>
      </c>
      <c r="E4261" t="s">
        <v>167</v>
      </c>
      <c r="F4261">
        <v>31907</v>
      </c>
      <c r="G4261" t="s">
        <v>18</v>
      </c>
      <c r="H4261" t="s">
        <v>26</v>
      </c>
      <c r="I4261" t="s">
        <v>38</v>
      </c>
      <c r="J4261">
        <v>80.48</v>
      </c>
      <c r="K4261">
        <v>1</v>
      </c>
      <c r="L4261">
        <v>0</v>
      </c>
      <c r="M4261">
        <v>24.143999999999998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55</v>
      </c>
      <c r="E4262" t="s">
        <v>56</v>
      </c>
      <c r="F4262">
        <v>19143</v>
      </c>
      <c r="G4262" t="s">
        <v>57</v>
      </c>
      <c r="H4262" t="s">
        <v>26</v>
      </c>
      <c r="I4262" t="s">
        <v>37</v>
      </c>
      <c r="J4262">
        <v>11.673</v>
      </c>
      <c r="K4262">
        <v>3</v>
      </c>
      <c r="L4262">
        <v>0.7</v>
      </c>
      <c r="M4262">
        <v>-7.782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19</v>
      </c>
      <c r="I4263" t="s">
        <v>31</v>
      </c>
      <c r="J4263">
        <v>863.12800000000004</v>
      </c>
      <c r="K4263">
        <v>8</v>
      </c>
      <c r="L4263">
        <v>0.3</v>
      </c>
      <c r="M4263">
        <v>-160.29519999999999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26</v>
      </c>
      <c r="I4264" t="s">
        <v>37</v>
      </c>
      <c r="J4264">
        <v>3.5640000000000001</v>
      </c>
      <c r="K4264">
        <v>3</v>
      </c>
      <c r="L4264">
        <v>0.8</v>
      </c>
      <c r="M4264">
        <v>-6.2370000000000001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19</v>
      </c>
      <c r="I4265" t="s">
        <v>20</v>
      </c>
      <c r="J4265">
        <v>956.66480000000001</v>
      </c>
      <c r="K4265">
        <v>7</v>
      </c>
      <c r="L4265">
        <v>0.32</v>
      </c>
      <c r="M4265">
        <v>-225.0976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26</v>
      </c>
      <c r="I4266" t="s">
        <v>37</v>
      </c>
      <c r="J4266">
        <v>12.587999999999999</v>
      </c>
      <c r="K4266">
        <v>3</v>
      </c>
      <c r="L4266">
        <v>0.8</v>
      </c>
      <c r="M4266">
        <v>-20.140799999999999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35</v>
      </c>
      <c r="I4267" t="s">
        <v>59</v>
      </c>
      <c r="J4267">
        <v>171.96</v>
      </c>
      <c r="K4267">
        <v>5</v>
      </c>
      <c r="L4267">
        <v>0.2</v>
      </c>
      <c r="M4267">
        <v>45.139499999999998</v>
      </c>
    </row>
    <row r="4268" spans="1:13" x14ac:dyDescent="0.3">
      <c r="A4268" t="s">
        <v>13</v>
      </c>
      <c r="B4268" t="s">
        <v>14</v>
      </c>
      <c r="C4268" t="s">
        <v>15</v>
      </c>
      <c r="D4268" t="s">
        <v>42</v>
      </c>
      <c r="E4268" t="s">
        <v>43</v>
      </c>
      <c r="F4268">
        <v>98115</v>
      </c>
      <c r="G4268" t="s">
        <v>25</v>
      </c>
      <c r="H4268" t="s">
        <v>19</v>
      </c>
      <c r="I4268" t="s">
        <v>31</v>
      </c>
      <c r="J4268">
        <v>871.4</v>
      </c>
      <c r="K4268">
        <v>4</v>
      </c>
      <c r="L4268">
        <v>0</v>
      </c>
      <c r="M4268">
        <v>148.13800000000001</v>
      </c>
    </row>
    <row r="4269" spans="1:13" x14ac:dyDescent="0.3">
      <c r="A4269" t="s">
        <v>28</v>
      </c>
      <c r="B4269" t="s">
        <v>22</v>
      </c>
      <c r="C4269" t="s">
        <v>15</v>
      </c>
      <c r="D4269" t="s">
        <v>84</v>
      </c>
      <c r="E4269" t="s">
        <v>86</v>
      </c>
      <c r="F4269">
        <v>38301</v>
      </c>
      <c r="G4269" t="s">
        <v>18</v>
      </c>
      <c r="H4269" t="s">
        <v>19</v>
      </c>
      <c r="I4269" t="s">
        <v>33</v>
      </c>
      <c r="J4269">
        <v>692.47199999999998</v>
      </c>
      <c r="K4269">
        <v>11</v>
      </c>
      <c r="L4269">
        <v>0.2</v>
      </c>
      <c r="M4269">
        <v>190.4298</v>
      </c>
    </row>
    <row r="4270" spans="1:13" x14ac:dyDescent="0.3">
      <c r="A4270" t="s">
        <v>13</v>
      </c>
      <c r="B4270" t="s">
        <v>22</v>
      </c>
      <c r="C4270" t="s">
        <v>15</v>
      </c>
      <c r="D4270" t="s">
        <v>333</v>
      </c>
      <c r="E4270" t="s">
        <v>248</v>
      </c>
      <c r="F4270">
        <v>21215</v>
      </c>
      <c r="G4270" t="s">
        <v>57</v>
      </c>
      <c r="H4270" t="s">
        <v>19</v>
      </c>
      <c r="I4270" t="s">
        <v>33</v>
      </c>
      <c r="J4270">
        <v>207.76</v>
      </c>
      <c r="K4270">
        <v>4</v>
      </c>
      <c r="L4270">
        <v>0</v>
      </c>
      <c r="M4270">
        <v>85.181600000000003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35</v>
      </c>
      <c r="I4271" t="s">
        <v>36</v>
      </c>
      <c r="J4271">
        <v>71.927999999999997</v>
      </c>
      <c r="K4271">
        <v>9</v>
      </c>
      <c r="L4271">
        <v>0.2</v>
      </c>
      <c r="M4271">
        <v>6.2937000000000003</v>
      </c>
    </row>
    <row r="4272" spans="1:13" x14ac:dyDescent="0.3">
      <c r="A4272" t="s">
        <v>168</v>
      </c>
      <c r="B4272" t="s">
        <v>14</v>
      </c>
      <c r="C4272" t="s">
        <v>15</v>
      </c>
      <c r="D4272" t="s">
        <v>293</v>
      </c>
      <c r="E4272" t="s">
        <v>51</v>
      </c>
      <c r="F4272">
        <v>84107</v>
      </c>
      <c r="G4272" t="s">
        <v>25</v>
      </c>
      <c r="H4272" t="s">
        <v>26</v>
      </c>
      <c r="I4272" t="s">
        <v>34</v>
      </c>
      <c r="J4272">
        <v>25.99</v>
      </c>
      <c r="K4272">
        <v>1</v>
      </c>
      <c r="L4272">
        <v>0</v>
      </c>
      <c r="M4272">
        <v>7.5370999999999997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42</v>
      </c>
      <c r="E4273" t="s">
        <v>43</v>
      </c>
      <c r="F4273">
        <v>98105</v>
      </c>
      <c r="G4273" t="s">
        <v>25</v>
      </c>
      <c r="H4273" t="s">
        <v>26</v>
      </c>
      <c r="I4273" t="s">
        <v>37</v>
      </c>
      <c r="J4273">
        <v>3.5920000000000001</v>
      </c>
      <c r="K4273">
        <v>1</v>
      </c>
      <c r="L4273">
        <v>0.2</v>
      </c>
      <c r="M4273">
        <v>1.1225000000000001</v>
      </c>
    </row>
    <row r="4274" spans="1:13" x14ac:dyDescent="0.3">
      <c r="A4274" t="s">
        <v>28</v>
      </c>
      <c r="B4274" t="s">
        <v>22</v>
      </c>
      <c r="C4274" t="s">
        <v>15</v>
      </c>
      <c r="D4274" t="s">
        <v>135</v>
      </c>
      <c r="E4274" t="s">
        <v>46</v>
      </c>
      <c r="F4274">
        <v>75220</v>
      </c>
      <c r="G4274" t="s">
        <v>47</v>
      </c>
      <c r="H4274" t="s">
        <v>26</v>
      </c>
      <c r="I4274" t="s">
        <v>38</v>
      </c>
      <c r="J4274">
        <v>48.631999999999998</v>
      </c>
      <c r="K4274">
        <v>2</v>
      </c>
      <c r="L4274">
        <v>0.8</v>
      </c>
      <c r="M4274">
        <v>-121.58</v>
      </c>
    </row>
    <row r="4275" spans="1:13" x14ac:dyDescent="0.3">
      <c r="A4275" t="s">
        <v>28</v>
      </c>
      <c r="B4275" t="s">
        <v>44</v>
      </c>
      <c r="C4275" t="s">
        <v>15</v>
      </c>
      <c r="D4275" t="s">
        <v>42</v>
      </c>
      <c r="E4275" t="s">
        <v>43</v>
      </c>
      <c r="F4275">
        <v>98105</v>
      </c>
      <c r="G4275" t="s">
        <v>25</v>
      </c>
      <c r="H4275" t="s">
        <v>26</v>
      </c>
      <c r="I4275" t="s">
        <v>32</v>
      </c>
      <c r="J4275">
        <v>323.10000000000002</v>
      </c>
      <c r="K4275">
        <v>2</v>
      </c>
      <c r="L4275">
        <v>0</v>
      </c>
      <c r="M4275">
        <v>61.389000000000003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35</v>
      </c>
      <c r="I4276" t="s">
        <v>123</v>
      </c>
      <c r="J4276">
        <v>9099.93</v>
      </c>
      <c r="K4276">
        <v>7</v>
      </c>
      <c r="L4276">
        <v>0</v>
      </c>
      <c r="M4276">
        <v>2365.9818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19</v>
      </c>
      <c r="I4277" t="s">
        <v>33</v>
      </c>
      <c r="J4277">
        <v>9.9600000000000009</v>
      </c>
      <c r="K4277">
        <v>2</v>
      </c>
      <c r="L4277">
        <v>0</v>
      </c>
      <c r="M4277">
        <v>3.2867999999999999</v>
      </c>
    </row>
    <row r="4278" spans="1:13" x14ac:dyDescent="0.3">
      <c r="A4278" t="s">
        <v>28</v>
      </c>
      <c r="B4278" t="s">
        <v>22</v>
      </c>
      <c r="C4278" t="s">
        <v>15</v>
      </c>
      <c r="D4278" t="s">
        <v>154</v>
      </c>
      <c r="E4278" t="s">
        <v>132</v>
      </c>
      <c r="F4278">
        <v>8701</v>
      </c>
      <c r="G4278" t="s">
        <v>57</v>
      </c>
      <c r="H4278" t="s">
        <v>26</v>
      </c>
      <c r="I4278" t="s">
        <v>37</v>
      </c>
      <c r="J4278">
        <v>25.3</v>
      </c>
      <c r="K4278">
        <v>5</v>
      </c>
      <c r="L4278">
        <v>0</v>
      </c>
      <c r="M4278">
        <v>11.891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26</v>
      </c>
      <c r="I4279" t="s">
        <v>41</v>
      </c>
      <c r="J4279">
        <v>11.36</v>
      </c>
      <c r="K4279">
        <v>2</v>
      </c>
      <c r="L4279">
        <v>0</v>
      </c>
      <c r="M4279">
        <v>5.2256</v>
      </c>
    </row>
    <row r="4280" spans="1:13" x14ac:dyDescent="0.3">
      <c r="A4280" t="s">
        <v>28</v>
      </c>
      <c r="B4280" t="s">
        <v>44</v>
      </c>
      <c r="C4280" t="s">
        <v>15</v>
      </c>
      <c r="D4280" t="s">
        <v>75</v>
      </c>
      <c r="E4280" t="s">
        <v>76</v>
      </c>
      <c r="F4280">
        <v>10011</v>
      </c>
      <c r="G4280" t="s">
        <v>57</v>
      </c>
      <c r="H4280" t="s">
        <v>19</v>
      </c>
      <c r="I4280" t="s">
        <v>21</v>
      </c>
      <c r="J4280">
        <v>69.263999999999996</v>
      </c>
      <c r="K4280">
        <v>2</v>
      </c>
      <c r="L4280">
        <v>0.1</v>
      </c>
      <c r="M4280">
        <v>14.622400000000001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27</v>
      </c>
      <c r="J4281">
        <v>3.69</v>
      </c>
      <c r="K4281">
        <v>1</v>
      </c>
      <c r="L4281">
        <v>0</v>
      </c>
      <c r="M4281">
        <v>1.7343</v>
      </c>
    </row>
    <row r="4282" spans="1:13" x14ac:dyDescent="0.3">
      <c r="A4282" t="s">
        <v>62</v>
      </c>
      <c r="B4282" t="s">
        <v>14</v>
      </c>
      <c r="C4282" t="s">
        <v>15</v>
      </c>
      <c r="D4282" t="s">
        <v>330</v>
      </c>
      <c r="E4282" t="s">
        <v>74</v>
      </c>
      <c r="F4282">
        <v>46203</v>
      </c>
      <c r="G4282" t="s">
        <v>47</v>
      </c>
      <c r="H4282" t="s">
        <v>26</v>
      </c>
      <c r="I4282" t="s">
        <v>37</v>
      </c>
      <c r="J4282">
        <v>1103.97</v>
      </c>
      <c r="K4282">
        <v>3</v>
      </c>
      <c r="L4282">
        <v>0</v>
      </c>
      <c r="M4282">
        <v>496.78649999999999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19</v>
      </c>
      <c r="I4283" t="s">
        <v>20</v>
      </c>
      <c r="J4283">
        <v>246.1328</v>
      </c>
      <c r="K4283">
        <v>2</v>
      </c>
      <c r="L4283">
        <v>0.32</v>
      </c>
      <c r="M4283">
        <v>-76.011600000000001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26</v>
      </c>
      <c r="I4284" t="s">
        <v>27</v>
      </c>
      <c r="J4284">
        <v>11.696</v>
      </c>
      <c r="K4284">
        <v>2</v>
      </c>
      <c r="L4284">
        <v>0.2</v>
      </c>
      <c r="M4284">
        <v>3.9474</v>
      </c>
    </row>
    <row r="4285" spans="1:13" x14ac:dyDescent="0.3">
      <c r="A4285" t="s">
        <v>13</v>
      </c>
      <c r="B4285" t="s">
        <v>22</v>
      </c>
      <c r="C4285" t="s">
        <v>15</v>
      </c>
      <c r="D4285" t="s">
        <v>486</v>
      </c>
      <c r="E4285" t="s">
        <v>46</v>
      </c>
      <c r="F4285">
        <v>77642</v>
      </c>
      <c r="G4285" t="s">
        <v>47</v>
      </c>
      <c r="H4285" t="s">
        <v>35</v>
      </c>
      <c r="I4285" t="s">
        <v>162</v>
      </c>
      <c r="J4285">
        <v>439.99200000000002</v>
      </c>
      <c r="K4285">
        <v>1</v>
      </c>
      <c r="L4285">
        <v>0.2</v>
      </c>
      <c r="M4285">
        <v>164.99700000000001</v>
      </c>
    </row>
    <row r="4286" spans="1:13" x14ac:dyDescent="0.3">
      <c r="A4286" t="s">
        <v>28</v>
      </c>
      <c r="B4286" t="s">
        <v>44</v>
      </c>
      <c r="C4286" t="s">
        <v>15</v>
      </c>
      <c r="D4286" t="s">
        <v>405</v>
      </c>
      <c r="E4286" t="s">
        <v>86</v>
      </c>
      <c r="F4286">
        <v>37211</v>
      </c>
      <c r="G4286" t="s">
        <v>18</v>
      </c>
      <c r="H4286" t="s">
        <v>26</v>
      </c>
      <c r="I4286" t="s">
        <v>32</v>
      </c>
      <c r="J4286">
        <v>64.784000000000006</v>
      </c>
      <c r="K4286">
        <v>1</v>
      </c>
      <c r="L4286">
        <v>0.2</v>
      </c>
      <c r="M4286">
        <v>-12.956799999999999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37</v>
      </c>
      <c r="J4287">
        <v>33.28</v>
      </c>
      <c r="K4287">
        <v>5</v>
      </c>
      <c r="L4287">
        <v>0.8</v>
      </c>
      <c r="M4287">
        <v>-49.92</v>
      </c>
    </row>
    <row r="4288" spans="1:13" x14ac:dyDescent="0.3">
      <c r="A4288" t="s">
        <v>28</v>
      </c>
      <c r="B4288" t="s">
        <v>22</v>
      </c>
      <c r="C4288" t="s">
        <v>15</v>
      </c>
      <c r="D4288" t="s">
        <v>61</v>
      </c>
      <c r="E4288" t="s">
        <v>46</v>
      </c>
      <c r="F4288">
        <v>77095</v>
      </c>
      <c r="G4288" t="s">
        <v>47</v>
      </c>
      <c r="H4288" t="s">
        <v>26</v>
      </c>
      <c r="I4288" t="s">
        <v>41</v>
      </c>
      <c r="J4288">
        <v>14.087999999999999</v>
      </c>
      <c r="K4288">
        <v>3</v>
      </c>
      <c r="L4288">
        <v>0.2</v>
      </c>
      <c r="M4288">
        <v>4.9307999999999996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26</v>
      </c>
      <c r="I4289" t="s">
        <v>34</v>
      </c>
      <c r="J4289">
        <v>11.16</v>
      </c>
      <c r="K4289">
        <v>2</v>
      </c>
      <c r="L4289">
        <v>0</v>
      </c>
      <c r="M4289">
        <v>2.79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19</v>
      </c>
      <c r="I4290" t="s">
        <v>31</v>
      </c>
      <c r="J4290">
        <v>896.32799999999997</v>
      </c>
      <c r="K4290">
        <v>9</v>
      </c>
      <c r="L4290">
        <v>0.2</v>
      </c>
      <c r="M4290">
        <v>22.408200000000001</v>
      </c>
    </row>
    <row r="4291" spans="1:13" x14ac:dyDescent="0.3">
      <c r="A4291" t="s">
        <v>13</v>
      </c>
      <c r="B4291" t="s">
        <v>44</v>
      </c>
      <c r="C4291" t="s">
        <v>15</v>
      </c>
      <c r="D4291" t="s">
        <v>23</v>
      </c>
      <c r="E4291" t="s">
        <v>24</v>
      </c>
      <c r="F4291">
        <v>90004</v>
      </c>
      <c r="G4291" t="s">
        <v>25</v>
      </c>
      <c r="H4291" t="s">
        <v>26</v>
      </c>
      <c r="I4291" t="s">
        <v>38</v>
      </c>
      <c r="J4291">
        <v>189</v>
      </c>
      <c r="K4291">
        <v>1</v>
      </c>
      <c r="L4291">
        <v>0</v>
      </c>
      <c r="M4291">
        <v>68.040000000000006</v>
      </c>
    </row>
    <row r="4292" spans="1:13" x14ac:dyDescent="0.3">
      <c r="A4292" t="s">
        <v>28</v>
      </c>
      <c r="B4292" t="s">
        <v>14</v>
      </c>
      <c r="C4292" t="s">
        <v>15</v>
      </c>
      <c r="D4292" t="s">
        <v>55</v>
      </c>
      <c r="E4292" t="s">
        <v>56</v>
      </c>
      <c r="F4292">
        <v>19140</v>
      </c>
      <c r="G4292" t="s">
        <v>57</v>
      </c>
      <c r="H4292" t="s">
        <v>35</v>
      </c>
      <c r="I4292" t="s">
        <v>36</v>
      </c>
      <c r="J4292">
        <v>53.981999999999999</v>
      </c>
      <c r="K4292">
        <v>3</v>
      </c>
      <c r="L4292">
        <v>0.4</v>
      </c>
      <c r="M4292">
        <v>-10.7964</v>
      </c>
    </row>
    <row r="4293" spans="1:13" x14ac:dyDescent="0.3">
      <c r="A4293" t="s">
        <v>28</v>
      </c>
      <c r="B4293" t="s">
        <v>22</v>
      </c>
      <c r="C4293" t="s">
        <v>15</v>
      </c>
      <c r="D4293" t="s">
        <v>338</v>
      </c>
      <c r="E4293" t="s">
        <v>95</v>
      </c>
      <c r="F4293">
        <v>97756</v>
      </c>
      <c r="G4293" t="s">
        <v>25</v>
      </c>
      <c r="H4293" t="s">
        <v>19</v>
      </c>
      <c r="I4293" t="s">
        <v>31</v>
      </c>
      <c r="J4293">
        <v>177.22499999999999</v>
      </c>
      <c r="K4293">
        <v>5</v>
      </c>
      <c r="L4293">
        <v>0.5</v>
      </c>
      <c r="M4293">
        <v>-120.51300000000001</v>
      </c>
    </row>
    <row r="4294" spans="1:13" x14ac:dyDescent="0.3">
      <c r="A4294" t="s">
        <v>28</v>
      </c>
      <c r="B4294" t="s">
        <v>14</v>
      </c>
      <c r="C4294" t="s">
        <v>15</v>
      </c>
      <c r="D4294" t="s">
        <v>487</v>
      </c>
      <c r="E4294" t="s">
        <v>24</v>
      </c>
      <c r="F4294">
        <v>95610</v>
      </c>
      <c r="G4294" t="s">
        <v>25</v>
      </c>
      <c r="H4294" t="s">
        <v>19</v>
      </c>
      <c r="I4294" t="s">
        <v>33</v>
      </c>
      <c r="J4294">
        <v>129.38999999999999</v>
      </c>
      <c r="K4294">
        <v>3</v>
      </c>
      <c r="L4294">
        <v>0</v>
      </c>
      <c r="M4294">
        <v>54.343800000000002</v>
      </c>
    </row>
    <row r="4295" spans="1:13" x14ac:dyDescent="0.3">
      <c r="A4295" t="s">
        <v>28</v>
      </c>
      <c r="B4295" t="s">
        <v>22</v>
      </c>
      <c r="C4295" t="s">
        <v>15</v>
      </c>
      <c r="D4295" t="s">
        <v>23</v>
      </c>
      <c r="E4295" t="s">
        <v>24</v>
      </c>
      <c r="F4295">
        <v>90032</v>
      </c>
      <c r="G4295" t="s">
        <v>25</v>
      </c>
      <c r="H4295" t="s">
        <v>26</v>
      </c>
      <c r="I4295" t="s">
        <v>32</v>
      </c>
      <c r="J4295">
        <v>54.32</v>
      </c>
      <c r="K4295">
        <v>4</v>
      </c>
      <c r="L4295">
        <v>0</v>
      </c>
      <c r="M4295">
        <v>0.54320000000000002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35</v>
      </c>
      <c r="I4296" t="s">
        <v>36</v>
      </c>
      <c r="J4296">
        <v>4367.8959999999997</v>
      </c>
      <c r="K4296">
        <v>13</v>
      </c>
      <c r="L4296">
        <v>0.2</v>
      </c>
      <c r="M4296">
        <v>327.59219999999999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41</v>
      </c>
      <c r="J4297">
        <v>49.567999999999998</v>
      </c>
      <c r="K4297">
        <v>2</v>
      </c>
      <c r="L4297">
        <v>0.2</v>
      </c>
      <c r="M4297">
        <v>15.49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26</v>
      </c>
      <c r="I4298" t="s">
        <v>38</v>
      </c>
      <c r="J4298">
        <v>161.376</v>
      </c>
      <c r="K4298">
        <v>6</v>
      </c>
      <c r="L4298">
        <v>0.2</v>
      </c>
      <c r="M4298">
        <v>12.103199999999999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19</v>
      </c>
      <c r="I4299" t="s">
        <v>33</v>
      </c>
      <c r="J4299">
        <v>2.7839999999999998</v>
      </c>
      <c r="K4299">
        <v>2</v>
      </c>
      <c r="L4299">
        <v>0.2</v>
      </c>
      <c r="M4299">
        <v>0.41760000000000003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8.7200000000000006</v>
      </c>
      <c r="K4300">
        <v>5</v>
      </c>
      <c r="L4300">
        <v>0.2</v>
      </c>
      <c r="M4300">
        <v>2.9430000000000001</v>
      </c>
    </row>
    <row r="4301" spans="1:13" x14ac:dyDescent="0.3">
      <c r="A4301" t="s">
        <v>13</v>
      </c>
      <c r="B4301" t="s">
        <v>44</v>
      </c>
      <c r="C4301" t="s">
        <v>15</v>
      </c>
      <c r="D4301" t="s">
        <v>154</v>
      </c>
      <c r="E4301" t="s">
        <v>104</v>
      </c>
      <c r="F4301">
        <v>44107</v>
      </c>
      <c r="G4301" t="s">
        <v>57</v>
      </c>
      <c r="H4301" t="s">
        <v>26</v>
      </c>
      <c r="I4301" t="s">
        <v>34</v>
      </c>
      <c r="J4301">
        <v>3.9119999999999999</v>
      </c>
      <c r="K4301">
        <v>1</v>
      </c>
      <c r="L4301">
        <v>0.2</v>
      </c>
      <c r="M4301">
        <v>1.0268999999999999</v>
      </c>
    </row>
    <row r="4302" spans="1:13" x14ac:dyDescent="0.3">
      <c r="A4302" t="s">
        <v>168</v>
      </c>
      <c r="B4302" t="s">
        <v>14</v>
      </c>
      <c r="C4302" t="s">
        <v>15</v>
      </c>
      <c r="D4302" t="s">
        <v>488</v>
      </c>
      <c r="E4302" t="s">
        <v>46</v>
      </c>
      <c r="F4302">
        <v>75056</v>
      </c>
      <c r="G4302" t="s">
        <v>47</v>
      </c>
      <c r="H4302" t="s">
        <v>26</v>
      </c>
      <c r="I4302" t="s">
        <v>60</v>
      </c>
      <c r="J4302">
        <v>59.752000000000002</v>
      </c>
      <c r="K4302">
        <v>7</v>
      </c>
      <c r="L4302">
        <v>0.2</v>
      </c>
      <c r="M4302">
        <v>19.4194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19</v>
      </c>
      <c r="I4303" t="s">
        <v>33</v>
      </c>
      <c r="J4303">
        <v>63.92</v>
      </c>
      <c r="K4303">
        <v>4</v>
      </c>
      <c r="L4303">
        <v>0</v>
      </c>
      <c r="M4303">
        <v>3.1960000000000002</v>
      </c>
    </row>
    <row r="4304" spans="1:13" x14ac:dyDescent="0.3">
      <c r="A4304" t="s">
        <v>13</v>
      </c>
      <c r="B4304" t="s">
        <v>14</v>
      </c>
      <c r="C4304" t="s">
        <v>15</v>
      </c>
      <c r="D4304" t="s">
        <v>42</v>
      </c>
      <c r="E4304" t="s">
        <v>43</v>
      </c>
      <c r="F4304">
        <v>98105</v>
      </c>
      <c r="G4304" t="s">
        <v>25</v>
      </c>
      <c r="H4304" t="s">
        <v>35</v>
      </c>
      <c r="I4304" t="s">
        <v>36</v>
      </c>
      <c r="J4304">
        <v>383.96</v>
      </c>
      <c r="K4304">
        <v>5</v>
      </c>
      <c r="L4304">
        <v>0.2</v>
      </c>
      <c r="M4304">
        <v>38.396000000000001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7.7519999999999998</v>
      </c>
      <c r="K4305">
        <v>3</v>
      </c>
      <c r="L4305">
        <v>0.2</v>
      </c>
      <c r="M4305">
        <v>2.8100999999999998</v>
      </c>
    </row>
    <row r="4306" spans="1:13" x14ac:dyDescent="0.3">
      <c r="A4306" t="s">
        <v>168</v>
      </c>
      <c r="B4306" t="s">
        <v>22</v>
      </c>
      <c r="C4306" t="s">
        <v>15</v>
      </c>
      <c r="D4306" t="s">
        <v>23</v>
      </c>
      <c r="E4306" t="s">
        <v>24</v>
      </c>
      <c r="F4306">
        <v>90032</v>
      </c>
      <c r="G4306" t="s">
        <v>25</v>
      </c>
      <c r="H4306" t="s">
        <v>26</v>
      </c>
      <c r="I4306" t="s">
        <v>37</v>
      </c>
      <c r="J4306">
        <v>33.567999999999998</v>
      </c>
      <c r="K4306">
        <v>2</v>
      </c>
      <c r="L4306">
        <v>0.2</v>
      </c>
      <c r="M4306">
        <v>11.748799999999999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35</v>
      </c>
      <c r="I4307" t="s">
        <v>36</v>
      </c>
      <c r="J4307">
        <v>666.34400000000005</v>
      </c>
      <c r="K4307">
        <v>7</v>
      </c>
      <c r="L4307">
        <v>0.2</v>
      </c>
      <c r="M4307">
        <v>66.634399999999999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19</v>
      </c>
      <c r="I4308" t="s">
        <v>31</v>
      </c>
      <c r="J4308">
        <v>573.72799999999995</v>
      </c>
      <c r="K4308">
        <v>4</v>
      </c>
      <c r="L4308">
        <v>0.2</v>
      </c>
      <c r="M4308">
        <v>-64.544399999999996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37</v>
      </c>
      <c r="J4309">
        <v>21.936</v>
      </c>
      <c r="K4309">
        <v>3</v>
      </c>
      <c r="L4309">
        <v>0.2</v>
      </c>
      <c r="M4309">
        <v>8.2260000000000009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26</v>
      </c>
      <c r="I4310" t="s">
        <v>41</v>
      </c>
      <c r="J4310">
        <v>19.440000000000001</v>
      </c>
      <c r="K4310">
        <v>3</v>
      </c>
      <c r="L4310">
        <v>0</v>
      </c>
      <c r="M4310">
        <v>9.3312000000000008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35</v>
      </c>
      <c r="I4311" t="s">
        <v>123</v>
      </c>
      <c r="J4311">
        <v>447.96800000000002</v>
      </c>
      <c r="K4311">
        <v>4</v>
      </c>
      <c r="L4311">
        <v>0.2</v>
      </c>
      <c r="M4311">
        <v>139.99</v>
      </c>
    </row>
    <row r="4312" spans="1:13" x14ac:dyDescent="0.3">
      <c r="A4312" t="s">
        <v>28</v>
      </c>
      <c r="B4312" t="s">
        <v>22</v>
      </c>
      <c r="C4312" t="s">
        <v>15</v>
      </c>
      <c r="D4312" t="s">
        <v>159</v>
      </c>
      <c r="E4312" t="s">
        <v>76</v>
      </c>
      <c r="F4312">
        <v>11561</v>
      </c>
      <c r="G4312" t="s">
        <v>57</v>
      </c>
      <c r="H4312" t="s">
        <v>26</v>
      </c>
      <c r="I4312" t="s">
        <v>38</v>
      </c>
      <c r="J4312">
        <v>16.78</v>
      </c>
      <c r="K4312">
        <v>2</v>
      </c>
      <c r="L4312">
        <v>0</v>
      </c>
      <c r="M4312">
        <v>4.1950000000000003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34</v>
      </c>
      <c r="J4313">
        <v>20.96</v>
      </c>
      <c r="K4313">
        <v>2</v>
      </c>
      <c r="L4313">
        <v>0</v>
      </c>
      <c r="M4313">
        <v>5.24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37</v>
      </c>
      <c r="J4314">
        <v>88.751999999999995</v>
      </c>
      <c r="K4314">
        <v>3</v>
      </c>
      <c r="L4314">
        <v>0.2</v>
      </c>
      <c r="M4314">
        <v>27.734999999999999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23</v>
      </c>
      <c r="E4315" t="s">
        <v>24</v>
      </c>
      <c r="F4315">
        <v>90045</v>
      </c>
      <c r="G4315" t="s">
        <v>25</v>
      </c>
      <c r="H4315" t="s">
        <v>26</v>
      </c>
      <c r="I4315" t="s">
        <v>32</v>
      </c>
      <c r="J4315">
        <v>304.23</v>
      </c>
      <c r="K4315">
        <v>3</v>
      </c>
      <c r="L4315">
        <v>0</v>
      </c>
      <c r="M4315">
        <v>9.1268999999999991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52</v>
      </c>
      <c r="E4316" t="s">
        <v>24</v>
      </c>
      <c r="F4316">
        <v>94110</v>
      </c>
      <c r="G4316" t="s">
        <v>25</v>
      </c>
      <c r="H4316" t="s">
        <v>26</v>
      </c>
      <c r="I4316" t="s">
        <v>60</v>
      </c>
      <c r="J4316">
        <v>167.86</v>
      </c>
      <c r="K4316">
        <v>2</v>
      </c>
      <c r="L4316">
        <v>0</v>
      </c>
      <c r="M4316">
        <v>78.894199999999998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182</v>
      </c>
      <c r="E4317" t="s">
        <v>83</v>
      </c>
      <c r="F4317">
        <v>23223</v>
      </c>
      <c r="G4317" t="s">
        <v>18</v>
      </c>
      <c r="H4317" t="s">
        <v>19</v>
      </c>
      <c r="I4317" t="s">
        <v>33</v>
      </c>
      <c r="J4317">
        <v>82.38</v>
      </c>
      <c r="K4317">
        <v>6</v>
      </c>
      <c r="L4317">
        <v>0</v>
      </c>
      <c r="M4317">
        <v>25.537800000000001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35</v>
      </c>
      <c r="I4318" t="s">
        <v>36</v>
      </c>
      <c r="J4318">
        <v>23.975999999999999</v>
      </c>
      <c r="K4318">
        <v>3</v>
      </c>
      <c r="L4318">
        <v>0.2</v>
      </c>
      <c r="M4318">
        <v>-5.6943000000000001</v>
      </c>
    </row>
    <row r="4319" spans="1:13" x14ac:dyDescent="0.3">
      <c r="A4319" t="s">
        <v>13</v>
      </c>
      <c r="B4319" t="s">
        <v>14</v>
      </c>
      <c r="C4319" t="s">
        <v>15</v>
      </c>
      <c r="D4319" t="s">
        <v>394</v>
      </c>
      <c r="E4319" t="s">
        <v>121</v>
      </c>
      <c r="F4319">
        <v>87105</v>
      </c>
      <c r="G4319" t="s">
        <v>25</v>
      </c>
      <c r="H4319" t="s">
        <v>26</v>
      </c>
      <c r="I4319" t="s">
        <v>32</v>
      </c>
      <c r="J4319">
        <v>33.29</v>
      </c>
      <c r="K4319">
        <v>1</v>
      </c>
      <c r="L4319">
        <v>0</v>
      </c>
      <c r="M4319">
        <v>7.9896000000000003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26</v>
      </c>
      <c r="I4320" t="s">
        <v>37</v>
      </c>
      <c r="J4320">
        <v>14.952</v>
      </c>
      <c r="K4320">
        <v>2</v>
      </c>
      <c r="L4320">
        <v>0.7</v>
      </c>
      <c r="M4320">
        <v>-11.961600000000001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35</v>
      </c>
      <c r="I4321" t="s">
        <v>36</v>
      </c>
      <c r="J4321">
        <v>323.98200000000003</v>
      </c>
      <c r="K4321">
        <v>3</v>
      </c>
      <c r="L4321">
        <v>0.4</v>
      </c>
      <c r="M4321">
        <v>-80.995500000000007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37</v>
      </c>
      <c r="J4322">
        <v>2.286</v>
      </c>
      <c r="K4322">
        <v>2</v>
      </c>
      <c r="L4322">
        <v>0.7</v>
      </c>
      <c r="M4322">
        <v>-1.6763999999999999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34</v>
      </c>
      <c r="J4323">
        <v>14.352</v>
      </c>
      <c r="K4323">
        <v>3</v>
      </c>
      <c r="L4323">
        <v>0.2</v>
      </c>
      <c r="M4323">
        <v>0.89700000000000002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59</v>
      </c>
      <c r="J4324">
        <v>71.975999999999999</v>
      </c>
      <c r="K4324">
        <v>3</v>
      </c>
      <c r="L4324">
        <v>0.2</v>
      </c>
      <c r="M4324">
        <v>0.89970000000000006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34</v>
      </c>
      <c r="J4325">
        <v>9.2100000000000009</v>
      </c>
      <c r="K4325">
        <v>3</v>
      </c>
      <c r="L4325">
        <v>0</v>
      </c>
      <c r="M4325">
        <v>2.3025000000000002</v>
      </c>
    </row>
    <row r="4326" spans="1:13" x14ac:dyDescent="0.3">
      <c r="A4326" t="s">
        <v>62</v>
      </c>
      <c r="B4326" t="s">
        <v>22</v>
      </c>
      <c r="C4326" t="s">
        <v>15</v>
      </c>
      <c r="D4326" t="s">
        <v>218</v>
      </c>
      <c r="E4326" t="s">
        <v>132</v>
      </c>
      <c r="F4326">
        <v>7060</v>
      </c>
      <c r="G4326" t="s">
        <v>57</v>
      </c>
      <c r="H4326" t="s">
        <v>26</v>
      </c>
      <c r="I4326" t="s">
        <v>41</v>
      </c>
      <c r="J4326">
        <v>18</v>
      </c>
      <c r="K4326">
        <v>5</v>
      </c>
      <c r="L4326">
        <v>0</v>
      </c>
      <c r="M4326">
        <v>8.2799999999999994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75</v>
      </c>
      <c r="E4327" t="s">
        <v>76</v>
      </c>
      <c r="F4327">
        <v>10011</v>
      </c>
      <c r="G4327" t="s">
        <v>57</v>
      </c>
      <c r="H4327" t="s">
        <v>26</v>
      </c>
      <c r="I4327" t="s">
        <v>41</v>
      </c>
      <c r="J4327">
        <v>42.93</v>
      </c>
      <c r="K4327">
        <v>9</v>
      </c>
      <c r="L4327">
        <v>0</v>
      </c>
      <c r="M4327">
        <v>19.3185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41</v>
      </c>
      <c r="J4328">
        <v>15.552</v>
      </c>
      <c r="K4328">
        <v>3</v>
      </c>
      <c r="L4328">
        <v>0.2</v>
      </c>
      <c r="M4328">
        <v>5.4432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229</v>
      </c>
      <c r="E4329" t="s">
        <v>30</v>
      </c>
      <c r="F4329">
        <v>33012</v>
      </c>
      <c r="G4329" t="s">
        <v>18</v>
      </c>
      <c r="H4329" t="s">
        <v>26</v>
      </c>
      <c r="I4329" t="s">
        <v>38</v>
      </c>
      <c r="J4329">
        <v>17.920000000000002</v>
      </c>
      <c r="K4329">
        <v>5</v>
      </c>
      <c r="L4329">
        <v>0.2</v>
      </c>
      <c r="M4329">
        <v>1.1200000000000001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35</v>
      </c>
      <c r="I4330" t="s">
        <v>59</v>
      </c>
      <c r="J4330">
        <v>19.989999999999998</v>
      </c>
      <c r="K4330">
        <v>1</v>
      </c>
      <c r="L4330">
        <v>0</v>
      </c>
      <c r="M4330">
        <v>6.7965999999999998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338</v>
      </c>
      <c r="E4331" t="s">
        <v>43</v>
      </c>
      <c r="F4331">
        <v>98052</v>
      </c>
      <c r="G4331" t="s">
        <v>25</v>
      </c>
      <c r="H4331" t="s">
        <v>26</v>
      </c>
      <c r="I4331" t="s">
        <v>37</v>
      </c>
      <c r="J4331">
        <v>22.92</v>
      </c>
      <c r="K4331">
        <v>5</v>
      </c>
      <c r="L4331">
        <v>0.2</v>
      </c>
      <c r="M4331">
        <v>8.0220000000000002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35</v>
      </c>
      <c r="I4332" t="s">
        <v>59</v>
      </c>
      <c r="J4332">
        <v>50.88</v>
      </c>
      <c r="K4332">
        <v>6</v>
      </c>
      <c r="L4332">
        <v>0.2</v>
      </c>
      <c r="M4332">
        <v>14.628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489</v>
      </c>
      <c r="E4333" t="s">
        <v>30</v>
      </c>
      <c r="F4333">
        <v>32114</v>
      </c>
      <c r="G4333" t="s">
        <v>18</v>
      </c>
      <c r="H4333" t="s">
        <v>26</v>
      </c>
      <c r="I4333" t="s">
        <v>60</v>
      </c>
      <c r="J4333">
        <v>27.312000000000001</v>
      </c>
      <c r="K4333">
        <v>2</v>
      </c>
      <c r="L4333">
        <v>0.2</v>
      </c>
      <c r="M4333">
        <v>9.2178000000000004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26</v>
      </c>
      <c r="I4334" t="s">
        <v>60</v>
      </c>
      <c r="J4334">
        <v>7.92</v>
      </c>
      <c r="K4334">
        <v>1</v>
      </c>
      <c r="L4334">
        <v>0.2</v>
      </c>
      <c r="M4334">
        <v>2.7719999999999998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490</v>
      </c>
      <c r="E4335" t="s">
        <v>81</v>
      </c>
      <c r="F4335">
        <v>86442</v>
      </c>
      <c r="G4335" t="s">
        <v>25</v>
      </c>
      <c r="H4335" t="s">
        <v>19</v>
      </c>
      <c r="I4335" t="s">
        <v>33</v>
      </c>
      <c r="J4335">
        <v>14.368</v>
      </c>
      <c r="K4335">
        <v>2</v>
      </c>
      <c r="L4335">
        <v>0.2</v>
      </c>
      <c r="M4335">
        <v>3.9512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35</v>
      </c>
      <c r="I4336" t="s">
        <v>59</v>
      </c>
      <c r="J4336">
        <v>107.97</v>
      </c>
      <c r="K4336">
        <v>3</v>
      </c>
      <c r="L4336">
        <v>0</v>
      </c>
      <c r="M4336">
        <v>22.6737</v>
      </c>
    </row>
    <row r="4337" spans="1:13" x14ac:dyDescent="0.3">
      <c r="A4337" t="s">
        <v>28</v>
      </c>
      <c r="B4337" t="s">
        <v>44</v>
      </c>
      <c r="C4337" t="s">
        <v>15</v>
      </c>
      <c r="D4337" t="s">
        <v>23</v>
      </c>
      <c r="E4337" t="s">
        <v>24</v>
      </c>
      <c r="F4337">
        <v>90049</v>
      </c>
      <c r="G4337" t="s">
        <v>25</v>
      </c>
      <c r="H4337" t="s">
        <v>26</v>
      </c>
      <c r="I4337" t="s">
        <v>41</v>
      </c>
      <c r="J4337">
        <v>113.82</v>
      </c>
      <c r="K4337">
        <v>3</v>
      </c>
      <c r="L4337">
        <v>0</v>
      </c>
      <c r="M4337">
        <v>53.495399999999997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115</v>
      </c>
      <c r="E4338" t="s">
        <v>86</v>
      </c>
      <c r="F4338">
        <v>37064</v>
      </c>
      <c r="G4338" t="s">
        <v>18</v>
      </c>
      <c r="H4338" t="s">
        <v>26</v>
      </c>
      <c r="I4338" t="s">
        <v>41</v>
      </c>
      <c r="J4338">
        <v>5.1840000000000002</v>
      </c>
      <c r="K4338">
        <v>1</v>
      </c>
      <c r="L4338">
        <v>0.2</v>
      </c>
      <c r="M4338">
        <v>1.8144</v>
      </c>
    </row>
    <row r="4339" spans="1:13" x14ac:dyDescent="0.3">
      <c r="A4339" t="s">
        <v>168</v>
      </c>
      <c r="B4339" t="s">
        <v>14</v>
      </c>
      <c r="C4339" t="s">
        <v>15</v>
      </c>
      <c r="D4339" t="s">
        <v>491</v>
      </c>
      <c r="E4339" t="s">
        <v>74</v>
      </c>
      <c r="F4339">
        <v>46368</v>
      </c>
      <c r="G4339" t="s">
        <v>47</v>
      </c>
      <c r="H4339" t="s">
        <v>26</v>
      </c>
      <c r="I4339" t="s">
        <v>34</v>
      </c>
      <c r="J4339">
        <v>16.28</v>
      </c>
      <c r="K4339">
        <v>2</v>
      </c>
      <c r="L4339">
        <v>0</v>
      </c>
      <c r="M4339">
        <v>6.5119999999999996</v>
      </c>
    </row>
    <row r="4340" spans="1:13" x14ac:dyDescent="0.3">
      <c r="A4340" t="s">
        <v>28</v>
      </c>
      <c r="B4340" t="s">
        <v>14</v>
      </c>
      <c r="C4340" t="s">
        <v>15</v>
      </c>
      <c r="D4340" t="s">
        <v>155</v>
      </c>
      <c r="E4340" t="s">
        <v>83</v>
      </c>
      <c r="F4340">
        <v>22204</v>
      </c>
      <c r="G4340" t="s">
        <v>18</v>
      </c>
      <c r="H4340" t="s">
        <v>26</v>
      </c>
      <c r="I4340" t="s">
        <v>32</v>
      </c>
      <c r="J4340">
        <v>544.38</v>
      </c>
      <c r="K4340">
        <v>3</v>
      </c>
      <c r="L4340">
        <v>0</v>
      </c>
      <c r="M4340">
        <v>157.87020000000001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26</v>
      </c>
      <c r="I4341" t="s">
        <v>37</v>
      </c>
      <c r="J4341">
        <v>19.824000000000002</v>
      </c>
      <c r="K4341">
        <v>6</v>
      </c>
      <c r="L4341">
        <v>0.2</v>
      </c>
      <c r="M4341">
        <v>6.6905999999999999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36</v>
      </c>
      <c r="J4342">
        <v>657.50400000000002</v>
      </c>
      <c r="K4342">
        <v>6</v>
      </c>
      <c r="L4342">
        <v>0.2</v>
      </c>
      <c r="M4342">
        <v>-131.5008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99.54</v>
      </c>
      <c r="K4343">
        <v>2</v>
      </c>
      <c r="L4343">
        <v>0</v>
      </c>
      <c r="M4343">
        <v>10.949400000000001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35</v>
      </c>
      <c r="I4344" t="s">
        <v>59</v>
      </c>
      <c r="J4344">
        <v>199.96</v>
      </c>
      <c r="K4344">
        <v>4</v>
      </c>
      <c r="L4344">
        <v>0</v>
      </c>
      <c r="M4344">
        <v>85.982799999999997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21</v>
      </c>
      <c r="J4345">
        <v>631.78200000000004</v>
      </c>
      <c r="K4345">
        <v>2</v>
      </c>
      <c r="L4345">
        <v>0.1</v>
      </c>
      <c r="M4345">
        <v>140.39599999999999</v>
      </c>
    </row>
    <row r="4346" spans="1:13" x14ac:dyDescent="0.3">
      <c r="A4346" t="s">
        <v>28</v>
      </c>
      <c r="B4346" t="s">
        <v>14</v>
      </c>
      <c r="C4346" t="s">
        <v>15</v>
      </c>
      <c r="D4346" t="s">
        <v>187</v>
      </c>
      <c r="E4346" t="s">
        <v>76</v>
      </c>
      <c r="F4346">
        <v>10801</v>
      </c>
      <c r="G4346" t="s">
        <v>57</v>
      </c>
      <c r="H4346" t="s">
        <v>19</v>
      </c>
      <c r="I4346" t="s">
        <v>33</v>
      </c>
      <c r="J4346">
        <v>60.72</v>
      </c>
      <c r="K4346">
        <v>3</v>
      </c>
      <c r="L4346">
        <v>0</v>
      </c>
      <c r="M4346">
        <v>26.1096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37</v>
      </c>
      <c r="J4347">
        <v>20.724</v>
      </c>
      <c r="K4347">
        <v>2</v>
      </c>
      <c r="L4347">
        <v>0.7</v>
      </c>
      <c r="M4347">
        <v>-15.1976</v>
      </c>
    </row>
    <row r="4348" spans="1:13" x14ac:dyDescent="0.3">
      <c r="A4348" t="s">
        <v>13</v>
      </c>
      <c r="B4348" t="s">
        <v>14</v>
      </c>
      <c r="C4348" t="s">
        <v>15</v>
      </c>
      <c r="D4348" t="s">
        <v>206</v>
      </c>
      <c r="E4348" t="s">
        <v>81</v>
      </c>
      <c r="F4348">
        <v>85204</v>
      </c>
      <c r="G4348" t="s">
        <v>25</v>
      </c>
      <c r="H4348" t="s">
        <v>26</v>
      </c>
      <c r="I4348" t="s">
        <v>32</v>
      </c>
      <c r="J4348">
        <v>415.87200000000001</v>
      </c>
      <c r="K4348">
        <v>8</v>
      </c>
      <c r="L4348">
        <v>0.2</v>
      </c>
      <c r="M4348">
        <v>-41.587200000000003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26</v>
      </c>
      <c r="I4349" t="s">
        <v>32</v>
      </c>
      <c r="J4349">
        <v>16.768000000000001</v>
      </c>
      <c r="K4349">
        <v>2</v>
      </c>
      <c r="L4349">
        <v>0.2</v>
      </c>
      <c r="M4349">
        <v>1.4672000000000001</v>
      </c>
    </row>
    <row r="4350" spans="1:13" x14ac:dyDescent="0.3">
      <c r="A4350" t="s">
        <v>28</v>
      </c>
      <c r="B4350" t="s">
        <v>14</v>
      </c>
      <c r="C4350" t="s">
        <v>15</v>
      </c>
      <c r="D4350" t="s">
        <v>235</v>
      </c>
      <c r="E4350" t="s">
        <v>104</v>
      </c>
      <c r="F4350">
        <v>43130</v>
      </c>
      <c r="G4350" t="s">
        <v>57</v>
      </c>
      <c r="H4350" t="s">
        <v>35</v>
      </c>
      <c r="I4350" t="s">
        <v>59</v>
      </c>
      <c r="J4350">
        <v>27.12</v>
      </c>
      <c r="K4350">
        <v>2</v>
      </c>
      <c r="L4350">
        <v>0.2</v>
      </c>
      <c r="M4350">
        <v>-4.7460000000000004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35</v>
      </c>
      <c r="I4351" t="s">
        <v>36</v>
      </c>
      <c r="J4351">
        <v>95.84</v>
      </c>
      <c r="K4351">
        <v>4</v>
      </c>
      <c r="L4351">
        <v>0.2</v>
      </c>
      <c r="M4351">
        <v>34.741999999999997</v>
      </c>
    </row>
    <row r="4352" spans="1:13" x14ac:dyDescent="0.3">
      <c r="A4352" t="s">
        <v>13</v>
      </c>
      <c r="B4352" t="s">
        <v>14</v>
      </c>
      <c r="C4352" t="s">
        <v>15</v>
      </c>
      <c r="D4352" t="s">
        <v>366</v>
      </c>
      <c r="E4352" t="s">
        <v>24</v>
      </c>
      <c r="F4352">
        <v>95207</v>
      </c>
      <c r="G4352" t="s">
        <v>25</v>
      </c>
      <c r="H4352" t="s">
        <v>26</v>
      </c>
      <c r="I4352" t="s">
        <v>41</v>
      </c>
      <c r="J4352">
        <v>12.96</v>
      </c>
      <c r="K4352">
        <v>2</v>
      </c>
      <c r="L4352">
        <v>0</v>
      </c>
      <c r="M4352">
        <v>6.2207999999999997</v>
      </c>
    </row>
    <row r="4353" spans="1:13" x14ac:dyDescent="0.3">
      <c r="A4353" t="s">
        <v>13</v>
      </c>
      <c r="B4353" t="s">
        <v>22</v>
      </c>
      <c r="C4353" t="s">
        <v>15</v>
      </c>
      <c r="D4353" t="s">
        <v>236</v>
      </c>
      <c r="E4353" t="s">
        <v>40</v>
      </c>
      <c r="F4353">
        <v>28806</v>
      </c>
      <c r="G4353" t="s">
        <v>18</v>
      </c>
      <c r="H4353" t="s">
        <v>26</v>
      </c>
      <c r="I4353" t="s">
        <v>37</v>
      </c>
      <c r="J4353">
        <v>19.007999999999999</v>
      </c>
      <c r="K4353">
        <v>8</v>
      </c>
      <c r="L4353">
        <v>0.7</v>
      </c>
      <c r="M4353">
        <v>-12.672000000000001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37</v>
      </c>
      <c r="J4354">
        <v>1598.058</v>
      </c>
      <c r="K4354">
        <v>7</v>
      </c>
      <c r="L4354">
        <v>0.7</v>
      </c>
      <c r="M4354">
        <v>-1065.3720000000001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389</v>
      </c>
      <c r="E4355" t="s">
        <v>86</v>
      </c>
      <c r="F4355">
        <v>37042</v>
      </c>
      <c r="G4355" t="s">
        <v>18</v>
      </c>
      <c r="H4355" t="s">
        <v>26</v>
      </c>
      <c r="I4355" t="s">
        <v>34</v>
      </c>
      <c r="J4355">
        <v>36.96</v>
      </c>
      <c r="K4355">
        <v>4</v>
      </c>
      <c r="L4355">
        <v>0.2</v>
      </c>
      <c r="M4355">
        <v>12.012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26</v>
      </c>
      <c r="I4356" t="s">
        <v>41</v>
      </c>
      <c r="J4356">
        <v>10.368</v>
      </c>
      <c r="K4356">
        <v>2</v>
      </c>
      <c r="L4356">
        <v>0.2</v>
      </c>
      <c r="M4356">
        <v>3.6288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33</v>
      </c>
      <c r="J4357">
        <v>77.72</v>
      </c>
      <c r="K4357">
        <v>1</v>
      </c>
      <c r="L4357">
        <v>0.6</v>
      </c>
      <c r="M4357">
        <v>-66.061999999999998</v>
      </c>
    </row>
    <row r="4358" spans="1:13" x14ac:dyDescent="0.3">
      <c r="A4358" t="s">
        <v>168</v>
      </c>
      <c r="B4358" t="s">
        <v>14</v>
      </c>
      <c r="C4358" t="s">
        <v>15</v>
      </c>
      <c r="D4358" t="s">
        <v>97</v>
      </c>
      <c r="E4358" t="s">
        <v>65</v>
      </c>
      <c r="F4358">
        <v>60505</v>
      </c>
      <c r="G4358" t="s">
        <v>47</v>
      </c>
      <c r="H4358" t="s">
        <v>19</v>
      </c>
      <c r="I4358" t="s">
        <v>21</v>
      </c>
      <c r="J4358">
        <v>520.46400000000006</v>
      </c>
      <c r="K4358">
        <v>2</v>
      </c>
      <c r="L4358">
        <v>0.3</v>
      </c>
      <c r="M4358">
        <v>-14.8704</v>
      </c>
    </row>
    <row r="4359" spans="1:13" x14ac:dyDescent="0.3">
      <c r="A4359" t="s">
        <v>62</v>
      </c>
      <c r="B4359" t="s">
        <v>22</v>
      </c>
      <c r="C4359" t="s">
        <v>15</v>
      </c>
      <c r="D4359" t="s">
        <v>178</v>
      </c>
      <c r="E4359" t="s">
        <v>179</v>
      </c>
      <c r="F4359">
        <v>2886</v>
      </c>
      <c r="G4359" t="s">
        <v>57</v>
      </c>
      <c r="H4359" t="s">
        <v>26</v>
      </c>
      <c r="I4359" t="s">
        <v>41</v>
      </c>
      <c r="J4359">
        <v>111.96</v>
      </c>
      <c r="K4359">
        <v>2</v>
      </c>
      <c r="L4359">
        <v>0</v>
      </c>
      <c r="M4359">
        <v>54.860399999999998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325</v>
      </c>
      <c r="E4360" t="s">
        <v>125</v>
      </c>
      <c r="F4360">
        <v>70506</v>
      </c>
      <c r="G4360" t="s">
        <v>18</v>
      </c>
      <c r="H4360" t="s">
        <v>35</v>
      </c>
      <c r="I4360" t="s">
        <v>36</v>
      </c>
      <c r="J4360">
        <v>29.16</v>
      </c>
      <c r="K4360">
        <v>3</v>
      </c>
      <c r="L4360">
        <v>0</v>
      </c>
      <c r="M4360">
        <v>8.4564000000000004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131.94</v>
      </c>
      <c r="K4361">
        <v>3</v>
      </c>
      <c r="L4361">
        <v>0</v>
      </c>
      <c r="M4361">
        <v>35.623800000000003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34</v>
      </c>
      <c r="J4362">
        <v>25.92</v>
      </c>
      <c r="K4362">
        <v>4</v>
      </c>
      <c r="L4362">
        <v>0</v>
      </c>
      <c r="M4362">
        <v>8.2943999999999996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32</v>
      </c>
      <c r="J4363">
        <v>704.76</v>
      </c>
      <c r="K4363">
        <v>4</v>
      </c>
      <c r="L4363">
        <v>0</v>
      </c>
      <c r="M4363">
        <v>162.09479999999999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77</v>
      </c>
      <c r="J4364">
        <v>7.41</v>
      </c>
      <c r="K4364">
        <v>3</v>
      </c>
      <c r="L4364">
        <v>0</v>
      </c>
      <c r="M4364">
        <v>3.4826999999999999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21.5</v>
      </c>
      <c r="K4365">
        <v>10</v>
      </c>
      <c r="L4365">
        <v>0</v>
      </c>
      <c r="M4365">
        <v>7.0949999999999998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77</v>
      </c>
      <c r="J4366">
        <v>10.528</v>
      </c>
      <c r="K4366">
        <v>4</v>
      </c>
      <c r="L4366">
        <v>0.2</v>
      </c>
      <c r="M4366">
        <v>3.29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79</v>
      </c>
      <c r="E4367" t="s">
        <v>65</v>
      </c>
      <c r="F4367">
        <v>60623</v>
      </c>
      <c r="G4367" t="s">
        <v>47</v>
      </c>
      <c r="H4367" t="s">
        <v>26</v>
      </c>
      <c r="I4367" t="s">
        <v>41</v>
      </c>
      <c r="J4367">
        <v>20.544</v>
      </c>
      <c r="K4367">
        <v>6</v>
      </c>
      <c r="L4367">
        <v>0.2</v>
      </c>
      <c r="M4367">
        <v>6.42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37</v>
      </c>
      <c r="J4368">
        <v>104.9</v>
      </c>
      <c r="K4368">
        <v>5</v>
      </c>
      <c r="L4368">
        <v>0</v>
      </c>
      <c r="M4368">
        <v>50.351999999999997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34</v>
      </c>
      <c r="J4369">
        <v>39.68</v>
      </c>
      <c r="K4369">
        <v>2</v>
      </c>
      <c r="L4369">
        <v>0</v>
      </c>
      <c r="M4369">
        <v>16.268799999999999</v>
      </c>
    </row>
    <row r="4370" spans="1:13" x14ac:dyDescent="0.3">
      <c r="A4370" t="s">
        <v>28</v>
      </c>
      <c r="B4370" t="s">
        <v>44</v>
      </c>
      <c r="C4370" t="s">
        <v>15</v>
      </c>
      <c r="D4370" t="s">
        <v>184</v>
      </c>
      <c r="E4370" t="s">
        <v>74</v>
      </c>
      <c r="F4370">
        <v>46226</v>
      </c>
      <c r="G4370" t="s">
        <v>47</v>
      </c>
      <c r="H4370" t="s">
        <v>26</v>
      </c>
      <c r="I4370" t="s">
        <v>27</v>
      </c>
      <c r="J4370">
        <v>51.75</v>
      </c>
      <c r="K4370">
        <v>5</v>
      </c>
      <c r="L4370">
        <v>0</v>
      </c>
      <c r="M4370">
        <v>24.84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26</v>
      </c>
      <c r="I4371" t="s">
        <v>34</v>
      </c>
      <c r="J4371">
        <v>11.68</v>
      </c>
      <c r="K4371">
        <v>2</v>
      </c>
      <c r="L4371">
        <v>0</v>
      </c>
      <c r="M4371">
        <v>5.4896000000000003</v>
      </c>
    </row>
    <row r="4372" spans="1:13" x14ac:dyDescent="0.3">
      <c r="A4372" t="s">
        <v>13</v>
      </c>
      <c r="B4372" t="s">
        <v>14</v>
      </c>
      <c r="C4372" t="s">
        <v>15</v>
      </c>
      <c r="D4372" t="s">
        <v>494</v>
      </c>
      <c r="E4372" t="s">
        <v>74</v>
      </c>
      <c r="F4372">
        <v>46514</v>
      </c>
      <c r="G4372" t="s">
        <v>47</v>
      </c>
      <c r="H4372" t="s">
        <v>35</v>
      </c>
      <c r="I4372" t="s">
        <v>59</v>
      </c>
      <c r="J4372">
        <v>159.75</v>
      </c>
      <c r="K4372">
        <v>5</v>
      </c>
      <c r="L4372">
        <v>0</v>
      </c>
      <c r="M4372">
        <v>11.182499999999999</v>
      </c>
    </row>
    <row r="4373" spans="1:13" x14ac:dyDescent="0.3">
      <c r="A4373" t="s">
        <v>28</v>
      </c>
      <c r="B4373" t="s">
        <v>22</v>
      </c>
      <c r="C4373" t="s">
        <v>15</v>
      </c>
      <c r="D4373" t="s">
        <v>324</v>
      </c>
      <c r="E4373" t="s">
        <v>104</v>
      </c>
      <c r="F4373">
        <v>44240</v>
      </c>
      <c r="G4373" t="s">
        <v>57</v>
      </c>
      <c r="H4373" t="s">
        <v>26</v>
      </c>
      <c r="I4373" t="s">
        <v>38</v>
      </c>
      <c r="J4373">
        <v>103.968</v>
      </c>
      <c r="K4373">
        <v>6</v>
      </c>
      <c r="L4373">
        <v>0.2</v>
      </c>
      <c r="M4373">
        <v>16.8948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19</v>
      </c>
      <c r="I4374" t="s">
        <v>33</v>
      </c>
      <c r="J4374">
        <v>303.25</v>
      </c>
      <c r="K4374">
        <v>5</v>
      </c>
      <c r="L4374">
        <v>0</v>
      </c>
      <c r="M4374">
        <v>63.682499999999997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26</v>
      </c>
      <c r="I4375" t="s">
        <v>38</v>
      </c>
      <c r="J4375">
        <v>270.72000000000003</v>
      </c>
      <c r="K4375">
        <v>3</v>
      </c>
      <c r="L4375">
        <v>0</v>
      </c>
      <c r="M4375">
        <v>78.508799999999994</v>
      </c>
    </row>
    <row r="4376" spans="1:13" x14ac:dyDescent="0.3">
      <c r="A4376" t="s">
        <v>28</v>
      </c>
      <c r="B4376" t="s">
        <v>44</v>
      </c>
      <c r="C4376" t="s">
        <v>15</v>
      </c>
      <c r="D4376" t="s">
        <v>495</v>
      </c>
      <c r="E4376" t="s">
        <v>24</v>
      </c>
      <c r="F4376">
        <v>91776</v>
      </c>
      <c r="G4376" t="s">
        <v>25</v>
      </c>
      <c r="H4376" t="s">
        <v>19</v>
      </c>
      <c r="I4376" t="s">
        <v>21</v>
      </c>
      <c r="J4376">
        <v>1487.04</v>
      </c>
      <c r="K4376">
        <v>5</v>
      </c>
      <c r="L4376">
        <v>0.2</v>
      </c>
      <c r="M4376">
        <v>148.70400000000001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17.48</v>
      </c>
      <c r="K4377">
        <v>2</v>
      </c>
      <c r="L4377">
        <v>0</v>
      </c>
      <c r="M4377">
        <v>8.2156000000000002</v>
      </c>
    </row>
    <row r="4378" spans="1:13" x14ac:dyDescent="0.3">
      <c r="A4378" t="s">
        <v>13</v>
      </c>
      <c r="B4378" t="s">
        <v>44</v>
      </c>
      <c r="C4378" t="s">
        <v>15</v>
      </c>
      <c r="D4378" t="s">
        <v>16</v>
      </c>
      <c r="E4378" t="s">
        <v>17</v>
      </c>
      <c r="F4378">
        <v>42420</v>
      </c>
      <c r="G4378" t="s">
        <v>18</v>
      </c>
      <c r="H4378" t="s">
        <v>26</v>
      </c>
      <c r="I4378" t="s">
        <v>60</v>
      </c>
      <c r="J4378">
        <v>71.88</v>
      </c>
      <c r="K4378">
        <v>2</v>
      </c>
      <c r="L4378">
        <v>0</v>
      </c>
      <c r="M4378">
        <v>32.345999999999997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26</v>
      </c>
      <c r="I4379" t="s">
        <v>34</v>
      </c>
      <c r="J4379">
        <v>60.45</v>
      </c>
      <c r="K4379">
        <v>3</v>
      </c>
      <c r="L4379">
        <v>0</v>
      </c>
      <c r="M4379">
        <v>16.3215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52</v>
      </c>
      <c r="E4380" t="s">
        <v>24</v>
      </c>
      <c r="F4380">
        <v>94110</v>
      </c>
      <c r="G4380" t="s">
        <v>25</v>
      </c>
      <c r="H4380" t="s">
        <v>19</v>
      </c>
      <c r="I4380" t="s">
        <v>31</v>
      </c>
      <c r="J4380">
        <v>253.17599999999999</v>
      </c>
      <c r="K4380">
        <v>3</v>
      </c>
      <c r="L4380">
        <v>0.2</v>
      </c>
      <c r="M4380">
        <v>-31.646999999999998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26</v>
      </c>
      <c r="I4381" t="s">
        <v>37</v>
      </c>
      <c r="J4381">
        <v>2.88</v>
      </c>
      <c r="K4381">
        <v>5</v>
      </c>
      <c r="L4381">
        <v>0.8</v>
      </c>
      <c r="M4381">
        <v>-4.4640000000000004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19</v>
      </c>
      <c r="I4382" t="s">
        <v>20</v>
      </c>
      <c r="J4382">
        <v>384.94400000000002</v>
      </c>
      <c r="K4382">
        <v>4</v>
      </c>
      <c r="L4382">
        <v>0.3</v>
      </c>
      <c r="M4382">
        <v>-126.4816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35</v>
      </c>
      <c r="I4383" t="s">
        <v>36</v>
      </c>
      <c r="J4383">
        <v>153.584</v>
      </c>
      <c r="K4383">
        <v>2</v>
      </c>
      <c r="L4383">
        <v>0.2</v>
      </c>
      <c r="M4383">
        <v>13.438599999999999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19</v>
      </c>
      <c r="I4384" t="s">
        <v>20</v>
      </c>
      <c r="J4384">
        <v>913.43</v>
      </c>
      <c r="K4384">
        <v>5</v>
      </c>
      <c r="L4384">
        <v>0.3</v>
      </c>
      <c r="M4384">
        <v>-52.195999999999998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38</v>
      </c>
      <c r="J4385">
        <v>43.92</v>
      </c>
      <c r="K4385">
        <v>4</v>
      </c>
      <c r="L4385">
        <v>0</v>
      </c>
      <c r="M4385">
        <v>11.8584</v>
      </c>
    </row>
    <row r="4386" spans="1:13" x14ac:dyDescent="0.3">
      <c r="A4386" t="s">
        <v>28</v>
      </c>
      <c r="B4386" t="s">
        <v>22</v>
      </c>
      <c r="C4386" t="s">
        <v>15</v>
      </c>
      <c r="D4386" t="s">
        <v>52</v>
      </c>
      <c r="E4386" t="s">
        <v>24</v>
      </c>
      <c r="F4386">
        <v>94122</v>
      </c>
      <c r="G4386" t="s">
        <v>25</v>
      </c>
      <c r="H4386" t="s">
        <v>26</v>
      </c>
      <c r="I4386" t="s">
        <v>37</v>
      </c>
      <c r="J4386">
        <v>25.032</v>
      </c>
      <c r="K4386">
        <v>3</v>
      </c>
      <c r="L4386">
        <v>0.2</v>
      </c>
      <c r="M4386">
        <v>7.8224999999999998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26</v>
      </c>
      <c r="I4387" t="s">
        <v>41</v>
      </c>
      <c r="J4387">
        <v>46.76</v>
      </c>
      <c r="K4387">
        <v>7</v>
      </c>
      <c r="L4387">
        <v>0</v>
      </c>
      <c r="M4387">
        <v>22.444800000000001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19</v>
      </c>
      <c r="I4388" t="s">
        <v>20</v>
      </c>
      <c r="J4388">
        <v>183.96799999999999</v>
      </c>
      <c r="K4388">
        <v>2</v>
      </c>
      <c r="L4388">
        <v>0.2</v>
      </c>
      <c r="M4388">
        <v>-25.2956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35</v>
      </c>
      <c r="I4389" t="s">
        <v>36</v>
      </c>
      <c r="J4389">
        <v>1259.97</v>
      </c>
      <c r="K4389">
        <v>3</v>
      </c>
      <c r="L4389">
        <v>0</v>
      </c>
      <c r="M4389">
        <v>327.59219999999999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34</v>
      </c>
      <c r="J4390">
        <v>68.97</v>
      </c>
      <c r="K4390">
        <v>3</v>
      </c>
      <c r="L4390">
        <v>0</v>
      </c>
      <c r="M4390">
        <v>19.311599999999999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26</v>
      </c>
      <c r="I4391" t="s">
        <v>34</v>
      </c>
      <c r="J4391">
        <v>70.367999999999995</v>
      </c>
      <c r="K4391">
        <v>2</v>
      </c>
      <c r="L4391">
        <v>0.2</v>
      </c>
      <c r="M4391">
        <v>6.1571999999999996</v>
      </c>
    </row>
    <row r="4392" spans="1:13" x14ac:dyDescent="0.3">
      <c r="A4392" t="s">
        <v>28</v>
      </c>
      <c r="B4392" t="s">
        <v>22</v>
      </c>
      <c r="C4392" t="s">
        <v>15</v>
      </c>
      <c r="D4392" t="s">
        <v>135</v>
      </c>
      <c r="E4392" t="s">
        <v>46</v>
      </c>
      <c r="F4392">
        <v>75081</v>
      </c>
      <c r="G4392" t="s">
        <v>47</v>
      </c>
      <c r="H4392" t="s">
        <v>35</v>
      </c>
      <c r="I4392" t="s">
        <v>36</v>
      </c>
      <c r="J4392">
        <v>59.96</v>
      </c>
      <c r="K4392">
        <v>5</v>
      </c>
      <c r="L4392">
        <v>0.2</v>
      </c>
      <c r="M4392">
        <v>21.735499999999998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32</v>
      </c>
      <c r="J4393">
        <v>25.984000000000002</v>
      </c>
      <c r="K4393">
        <v>1</v>
      </c>
      <c r="L4393">
        <v>0.2</v>
      </c>
      <c r="M4393">
        <v>-5.1967999999999996</v>
      </c>
    </row>
    <row r="4394" spans="1:13" x14ac:dyDescent="0.3">
      <c r="A4394" t="s">
        <v>168</v>
      </c>
      <c r="B4394" t="s">
        <v>14</v>
      </c>
      <c r="C4394" t="s">
        <v>15</v>
      </c>
      <c r="D4394" t="s">
        <v>82</v>
      </c>
      <c r="E4394" t="s">
        <v>104</v>
      </c>
      <c r="F4394">
        <v>45503</v>
      </c>
      <c r="G4394" t="s">
        <v>57</v>
      </c>
      <c r="H4394" t="s">
        <v>26</v>
      </c>
      <c r="I4394" t="s">
        <v>37</v>
      </c>
      <c r="J4394">
        <v>27.36</v>
      </c>
      <c r="K4394">
        <v>3</v>
      </c>
      <c r="L4394">
        <v>0.7</v>
      </c>
      <c r="M4394">
        <v>-21.888000000000002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144</v>
      </c>
      <c r="E4395" t="s">
        <v>24</v>
      </c>
      <c r="F4395">
        <v>92024</v>
      </c>
      <c r="G4395" t="s">
        <v>25</v>
      </c>
      <c r="H4395" t="s">
        <v>35</v>
      </c>
      <c r="I4395" t="s">
        <v>36</v>
      </c>
      <c r="J4395">
        <v>361.37599999999998</v>
      </c>
      <c r="K4395">
        <v>2</v>
      </c>
      <c r="L4395">
        <v>0.2</v>
      </c>
      <c r="M4395">
        <v>27.103200000000001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21</v>
      </c>
      <c r="J4396">
        <v>172.18600000000001</v>
      </c>
      <c r="K4396">
        <v>2</v>
      </c>
      <c r="L4396">
        <v>0.3</v>
      </c>
      <c r="M4396">
        <v>-46.736199999999997</v>
      </c>
    </row>
    <row r="4397" spans="1:13" x14ac:dyDescent="0.3">
      <c r="A4397" t="s">
        <v>28</v>
      </c>
      <c r="B4397" t="s">
        <v>14</v>
      </c>
      <c r="C4397" t="s">
        <v>15</v>
      </c>
      <c r="D4397" t="s">
        <v>55</v>
      </c>
      <c r="E4397" t="s">
        <v>56</v>
      </c>
      <c r="F4397">
        <v>19120</v>
      </c>
      <c r="G4397" t="s">
        <v>57</v>
      </c>
      <c r="H4397" t="s">
        <v>19</v>
      </c>
      <c r="I4397" t="s">
        <v>33</v>
      </c>
      <c r="J4397">
        <v>69.007999999999996</v>
      </c>
      <c r="K4397">
        <v>2</v>
      </c>
      <c r="L4397">
        <v>0.2</v>
      </c>
      <c r="M4397">
        <v>12.0764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60</v>
      </c>
      <c r="J4398">
        <v>199.9</v>
      </c>
      <c r="K4398">
        <v>5</v>
      </c>
      <c r="L4398">
        <v>0</v>
      </c>
      <c r="M4398">
        <v>89.954999999999998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26</v>
      </c>
      <c r="I4399" t="s">
        <v>38</v>
      </c>
      <c r="J4399">
        <v>901.95</v>
      </c>
      <c r="K4399">
        <v>3</v>
      </c>
      <c r="L4399">
        <v>0</v>
      </c>
      <c r="M4399">
        <v>297.64350000000002</v>
      </c>
    </row>
    <row r="4400" spans="1:13" x14ac:dyDescent="0.3">
      <c r="A4400" t="s">
        <v>168</v>
      </c>
      <c r="B4400" t="s">
        <v>14</v>
      </c>
      <c r="C4400" t="s">
        <v>15</v>
      </c>
      <c r="D4400" t="s">
        <v>90</v>
      </c>
      <c r="E4400" t="s">
        <v>248</v>
      </c>
      <c r="F4400">
        <v>21044</v>
      </c>
      <c r="G4400" t="s">
        <v>57</v>
      </c>
      <c r="H4400" t="s">
        <v>19</v>
      </c>
      <c r="I4400" t="s">
        <v>33</v>
      </c>
      <c r="J4400">
        <v>971.5</v>
      </c>
      <c r="K4400">
        <v>5</v>
      </c>
      <c r="L4400">
        <v>0</v>
      </c>
      <c r="M4400">
        <v>252.59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151</v>
      </c>
      <c r="E4401" t="s">
        <v>98</v>
      </c>
      <c r="F4401">
        <v>80906</v>
      </c>
      <c r="G4401" t="s">
        <v>25</v>
      </c>
      <c r="H4401" t="s">
        <v>26</v>
      </c>
      <c r="I4401" t="s">
        <v>34</v>
      </c>
      <c r="J4401">
        <v>11.327999999999999</v>
      </c>
      <c r="K4401">
        <v>2</v>
      </c>
      <c r="L4401">
        <v>0.2</v>
      </c>
      <c r="M4401">
        <v>2.5488</v>
      </c>
    </row>
    <row r="4402" spans="1:13" x14ac:dyDescent="0.3">
      <c r="A4402" t="s">
        <v>62</v>
      </c>
      <c r="B4402" t="s">
        <v>14</v>
      </c>
      <c r="C4402" t="s">
        <v>15</v>
      </c>
      <c r="D4402" t="s">
        <v>75</v>
      </c>
      <c r="E4402" t="s">
        <v>76</v>
      </c>
      <c r="F4402">
        <v>10009</v>
      </c>
      <c r="G4402" t="s">
        <v>57</v>
      </c>
      <c r="H4402" t="s">
        <v>26</v>
      </c>
      <c r="I4402" t="s">
        <v>34</v>
      </c>
      <c r="J4402">
        <v>21.24</v>
      </c>
      <c r="K4402">
        <v>3</v>
      </c>
      <c r="L4402">
        <v>0</v>
      </c>
      <c r="M4402">
        <v>8.0711999999999993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35</v>
      </c>
      <c r="I4403" t="s">
        <v>59</v>
      </c>
      <c r="J4403">
        <v>34.799999999999997</v>
      </c>
      <c r="K4403">
        <v>3</v>
      </c>
      <c r="L4403">
        <v>0.2</v>
      </c>
      <c r="M4403">
        <v>2.1749999999999998</v>
      </c>
    </row>
    <row r="4404" spans="1:13" x14ac:dyDescent="0.3">
      <c r="A4404" t="s">
        <v>28</v>
      </c>
      <c r="B4404" t="s">
        <v>14</v>
      </c>
      <c r="C4404" t="s">
        <v>15</v>
      </c>
      <c r="D4404" t="s">
        <v>55</v>
      </c>
      <c r="E4404" t="s">
        <v>56</v>
      </c>
      <c r="F4404">
        <v>19140</v>
      </c>
      <c r="G4404" t="s">
        <v>57</v>
      </c>
      <c r="H4404" t="s">
        <v>26</v>
      </c>
      <c r="I4404" t="s">
        <v>32</v>
      </c>
      <c r="J4404">
        <v>38.975999999999999</v>
      </c>
      <c r="K4404">
        <v>3</v>
      </c>
      <c r="L4404">
        <v>0.2</v>
      </c>
      <c r="M4404">
        <v>-2.4359999999999999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9.08</v>
      </c>
      <c r="K4405">
        <v>2</v>
      </c>
      <c r="L4405">
        <v>0</v>
      </c>
      <c r="M4405">
        <v>4.0860000000000003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41</v>
      </c>
      <c r="J4406">
        <v>314.55</v>
      </c>
      <c r="K4406">
        <v>3</v>
      </c>
      <c r="L4406">
        <v>0</v>
      </c>
      <c r="M4406">
        <v>150.98400000000001</v>
      </c>
    </row>
    <row r="4407" spans="1:13" x14ac:dyDescent="0.3">
      <c r="A4407" t="s">
        <v>28</v>
      </c>
      <c r="B4407" t="s">
        <v>22</v>
      </c>
      <c r="C4407" t="s">
        <v>15</v>
      </c>
      <c r="D4407" t="s">
        <v>103</v>
      </c>
      <c r="E4407" t="s">
        <v>74</v>
      </c>
      <c r="F4407">
        <v>47201</v>
      </c>
      <c r="G4407" t="s">
        <v>47</v>
      </c>
      <c r="H4407" t="s">
        <v>26</v>
      </c>
      <c r="I4407" t="s">
        <v>37</v>
      </c>
      <c r="J4407">
        <v>4.91</v>
      </c>
      <c r="K4407">
        <v>1</v>
      </c>
      <c r="L4407">
        <v>0</v>
      </c>
      <c r="M4407">
        <v>2.3077000000000001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27</v>
      </c>
      <c r="J4408">
        <v>5.78</v>
      </c>
      <c r="K4408">
        <v>2</v>
      </c>
      <c r="L4408">
        <v>0</v>
      </c>
      <c r="M4408">
        <v>2.7166000000000001</v>
      </c>
    </row>
    <row r="4409" spans="1:13" x14ac:dyDescent="0.3">
      <c r="A4409" t="s">
        <v>28</v>
      </c>
      <c r="B4409" t="s">
        <v>44</v>
      </c>
      <c r="C4409" t="s">
        <v>15</v>
      </c>
      <c r="D4409" t="s">
        <v>23</v>
      </c>
      <c r="E4409" t="s">
        <v>24</v>
      </c>
      <c r="F4409">
        <v>90004</v>
      </c>
      <c r="G4409" t="s">
        <v>25</v>
      </c>
      <c r="H4409" t="s">
        <v>26</v>
      </c>
      <c r="I4409" t="s">
        <v>34</v>
      </c>
      <c r="J4409">
        <v>107.94</v>
      </c>
      <c r="K4409">
        <v>6</v>
      </c>
      <c r="L4409">
        <v>0</v>
      </c>
      <c r="M4409">
        <v>30.223199999999999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26</v>
      </c>
      <c r="I4410" t="s">
        <v>41</v>
      </c>
      <c r="J4410">
        <v>19.649999999999999</v>
      </c>
      <c r="K4410">
        <v>3</v>
      </c>
      <c r="L4410">
        <v>0</v>
      </c>
      <c r="M4410">
        <v>9.0389999999999997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35</v>
      </c>
      <c r="I4411" t="s">
        <v>36</v>
      </c>
      <c r="J4411">
        <v>617.97</v>
      </c>
      <c r="K4411">
        <v>3</v>
      </c>
      <c r="L4411">
        <v>0</v>
      </c>
      <c r="M4411">
        <v>160.6722</v>
      </c>
    </row>
    <row r="4412" spans="1:13" x14ac:dyDescent="0.3">
      <c r="A4412" t="s">
        <v>62</v>
      </c>
      <c r="B4412" t="s">
        <v>14</v>
      </c>
      <c r="C4412" t="s">
        <v>15</v>
      </c>
      <c r="D4412" t="s">
        <v>75</v>
      </c>
      <c r="E4412" t="s">
        <v>76</v>
      </c>
      <c r="F4412">
        <v>10024</v>
      </c>
      <c r="G4412" t="s">
        <v>57</v>
      </c>
      <c r="H4412" t="s">
        <v>26</v>
      </c>
      <c r="I4412" t="s">
        <v>38</v>
      </c>
      <c r="J4412">
        <v>59.7</v>
      </c>
      <c r="K4412">
        <v>3</v>
      </c>
      <c r="L4412">
        <v>0</v>
      </c>
      <c r="M4412">
        <v>26.864999999999998</v>
      </c>
    </row>
    <row r="4413" spans="1:13" x14ac:dyDescent="0.3">
      <c r="A4413" t="s">
        <v>28</v>
      </c>
      <c r="B4413" t="s">
        <v>22</v>
      </c>
      <c r="C4413" t="s">
        <v>15</v>
      </c>
      <c r="D4413" t="s">
        <v>184</v>
      </c>
      <c r="E4413" t="s">
        <v>166</v>
      </c>
      <c r="F4413">
        <v>1841</v>
      </c>
      <c r="G4413" t="s">
        <v>57</v>
      </c>
      <c r="H4413" t="s">
        <v>26</v>
      </c>
      <c r="I4413" t="s">
        <v>37</v>
      </c>
      <c r="J4413">
        <v>387.99</v>
      </c>
      <c r="K4413">
        <v>1</v>
      </c>
      <c r="L4413">
        <v>0</v>
      </c>
      <c r="M4413">
        <v>182.3553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35</v>
      </c>
      <c r="I4414" t="s">
        <v>36</v>
      </c>
      <c r="J4414">
        <v>575.91999999999996</v>
      </c>
      <c r="K4414">
        <v>2</v>
      </c>
      <c r="L4414">
        <v>0.2</v>
      </c>
      <c r="M4414">
        <v>71.989999999999995</v>
      </c>
    </row>
    <row r="4415" spans="1:13" x14ac:dyDescent="0.3">
      <c r="A4415" t="s">
        <v>28</v>
      </c>
      <c r="B4415" t="s">
        <v>14</v>
      </c>
      <c r="C4415" t="s">
        <v>15</v>
      </c>
      <c r="D4415" t="s">
        <v>52</v>
      </c>
      <c r="E4415" t="s">
        <v>24</v>
      </c>
      <c r="F4415">
        <v>94122</v>
      </c>
      <c r="G4415" t="s">
        <v>25</v>
      </c>
      <c r="H4415" t="s">
        <v>26</v>
      </c>
      <c r="I4415" t="s">
        <v>77</v>
      </c>
      <c r="J4415">
        <v>30.4</v>
      </c>
      <c r="K4415">
        <v>5</v>
      </c>
      <c r="L4415">
        <v>0</v>
      </c>
      <c r="M4415">
        <v>15.2</v>
      </c>
    </row>
    <row r="4416" spans="1:13" x14ac:dyDescent="0.3">
      <c r="A4416" t="s">
        <v>13</v>
      </c>
      <c r="B4416" t="s">
        <v>14</v>
      </c>
      <c r="C4416" t="s">
        <v>15</v>
      </c>
      <c r="D4416" t="s">
        <v>140</v>
      </c>
      <c r="E4416" t="s">
        <v>70</v>
      </c>
      <c r="F4416">
        <v>48205</v>
      </c>
      <c r="G4416" t="s">
        <v>47</v>
      </c>
      <c r="H4416" t="s">
        <v>26</v>
      </c>
      <c r="I4416" t="s">
        <v>37</v>
      </c>
      <c r="J4416">
        <v>478.24</v>
      </c>
      <c r="K4416">
        <v>8</v>
      </c>
      <c r="L4416">
        <v>0</v>
      </c>
      <c r="M4416">
        <v>219.99039999999999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130</v>
      </c>
      <c r="E4417" t="s">
        <v>104</v>
      </c>
      <c r="F4417">
        <v>45011</v>
      </c>
      <c r="G4417" t="s">
        <v>57</v>
      </c>
      <c r="H4417" t="s">
        <v>19</v>
      </c>
      <c r="I4417" t="s">
        <v>33</v>
      </c>
      <c r="J4417">
        <v>190.84800000000001</v>
      </c>
      <c r="K4417">
        <v>3</v>
      </c>
      <c r="L4417">
        <v>0.2</v>
      </c>
      <c r="M4417">
        <v>-21.470400000000001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103</v>
      </c>
      <c r="E4418" t="s">
        <v>104</v>
      </c>
      <c r="F4418">
        <v>43229</v>
      </c>
      <c r="G4418" t="s">
        <v>57</v>
      </c>
      <c r="H4418" t="s">
        <v>26</v>
      </c>
      <c r="I4418" t="s">
        <v>37</v>
      </c>
      <c r="J4418">
        <v>5.484</v>
      </c>
      <c r="K4418">
        <v>4</v>
      </c>
      <c r="L4418">
        <v>0.7</v>
      </c>
      <c r="M4418">
        <v>-4.0216000000000003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79</v>
      </c>
      <c r="E4419" t="s">
        <v>65</v>
      </c>
      <c r="F4419">
        <v>60610</v>
      </c>
      <c r="G4419" t="s">
        <v>47</v>
      </c>
      <c r="H4419" t="s">
        <v>26</v>
      </c>
      <c r="I4419" t="s">
        <v>110</v>
      </c>
      <c r="J4419">
        <v>40.92</v>
      </c>
      <c r="K4419">
        <v>5</v>
      </c>
      <c r="L4419">
        <v>0.2</v>
      </c>
      <c r="M4419">
        <v>3.069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496</v>
      </c>
      <c r="E4420" t="s">
        <v>30</v>
      </c>
      <c r="F4420">
        <v>33063</v>
      </c>
      <c r="G4420" t="s">
        <v>18</v>
      </c>
      <c r="H4420" t="s">
        <v>26</v>
      </c>
      <c r="I4420" t="s">
        <v>34</v>
      </c>
      <c r="J4420">
        <v>15.552</v>
      </c>
      <c r="K4420">
        <v>3</v>
      </c>
      <c r="L4420">
        <v>0.2</v>
      </c>
      <c r="M4420">
        <v>2.3328000000000002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26</v>
      </c>
      <c r="I4421" t="s">
        <v>38</v>
      </c>
      <c r="J4421">
        <v>17.239999999999998</v>
      </c>
      <c r="K4421">
        <v>2</v>
      </c>
      <c r="L4421">
        <v>0</v>
      </c>
      <c r="M4421">
        <v>4.4824000000000002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19</v>
      </c>
      <c r="I4422" t="s">
        <v>20</v>
      </c>
      <c r="J4422">
        <v>302.94</v>
      </c>
      <c r="K4422">
        <v>3</v>
      </c>
      <c r="L4422">
        <v>0</v>
      </c>
      <c r="M4422">
        <v>75.734999999999999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35</v>
      </c>
      <c r="I4423" t="s">
        <v>36</v>
      </c>
      <c r="J4423">
        <v>34.75</v>
      </c>
      <c r="K4423">
        <v>5</v>
      </c>
      <c r="L4423">
        <v>0</v>
      </c>
      <c r="M4423">
        <v>15.637499999999999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37</v>
      </c>
      <c r="J4424">
        <v>113.94</v>
      </c>
      <c r="K4424">
        <v>6</v>
      </c>
      <c r="L4424">
        <v>0</v>
      </c>
      <c r="M4424">
        <v>54.691200000000002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35</v>
      </c>
      <c r="I4425" t="s">
        <v>36</v>
      </c>
      <c r="J4425">
        <v>55.98</v>
      </c>
      <c r="K4425">
        <v>2</v>
      </c>
      <c r="L4425">
        <v>0</v>
      </c>
      <c r="M4425">
        <v>15.6744</v>
      </c>
    </row>
    <row r="4426" spans="1:13" x14ac:dyDescent="0.3">
      <c r="A4426" t="s">
        <v>28</v>
      </c>
      <c r="B4426" t="s">
        <v>22</v>
      </c>
      <c r="C4426" t="s">
        <v>15</v>
      </c>
      <c r="D4426" t="s">
        <v>394</v>
      </c>
      <c r="E4426" t="s">
        <v>121</v>
      </c>
      <c r="F4426">
        <v>87105</v>
      </c>
      <c r="G4426" t="s">
        <v>25</v>
      </c>
      <c r="H4426" t="s">
        <v>26</v>
      </c>
      <c r="I4426" t="s">
        <v>41</v>
      </c>
      <c r="J4426">
        <v>27.18</v>
      </c>
      <c r="K4426">
        <v>3</v>
      </c>
      <c r="L4426">
        <v>0</v>
      </c>
      <c r="M4426">
        <v>12.231</v>
      </c>
    </row>
    <row r="4427" spans="1:13" x14ac:dyDescent="0.3">
      <c r="A4427" t="s">
        <v>28</v>
      </c>
      <c r="B4427" t="s">
        <v>14</v>
      </c>
      <c r="C4427" t="s">
        <v>15</v>
      </c>
      <c r="D4427" t="s">
        <v>337</v>
      </c>
      <c r="E4427" t="s">
        <v>119</v>
      </c>
      <c r="F4427">
        <v>74133</v>
      </c>
      <c r="G4427" t="s">
        <v>47</v>
      </c>
      <c r="H4427" t="s">
        <v>19</v>
      </c>
      <c r="I4427" t="s">
        <v>21</v>
      </c>
      <c r="J4427">
        <v>1805.88</v>
      </c>
      <c r="K4427">
        <v>6</v>
      </c>
      <c r="L4427">
        <v>0</v>
      </c>
      <c r="M4427">
        <v>523.70519999999999</v>
      </c>
    </row>
    <row r="4428" spans="1:13" x14ac:dyDescent="0.3">
      <c r="A4428" t="s">
        <v>168</v>
      </c>
      <c r="B4428" t="s">
        <v>14</v>
      </c>
      <c r="C4428" t="s">
        <v>15</v>
      </c>
      <c r="D4428" t="s">
        <v>423</v>
      </c>
      <c r="E4428" t="s">
        <v>132</v>
      </c>
      <c r="F4428">
        <v>7050</v>
      </c>
      <c r="G4428" t="s">
        <v>57</v>
      </c>
      <c r="H4428" t="s">
        <v>26</v>
      </c>
      <c r="I4428" t="s">
        <v>34</v>
      </c>
      <c r="J4428">
        <v>70.95</v>
      </c>
      <c r="K4428">
        <v>3</v>
      </c>
      <c r="L4428">
        <v>0</v>
      </c>
      <c r="M4428">
        <v>18.446999999999999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77</v>
      </c>
      <c r="J4429">
        <v>20</v>
      </c>
      <c r="K4429">
        <v>4</v>
      </c>
      <c r="L4429">
        <v>0</v>
      </c>
      <c r="M4429">
        <v>9.6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26</v>
      </c>
      <c r="I4430" t="s">
        <v>34</v>
      </c>
      <c r="J4430">
        <v>7.98</v>
      </c>
      <c r="K4430">
        <v>3</v>
      </c>
      <c r="L4430">
        <v>0</v>
      </c>
      <c r="M4430">
        <v>2.0748000000000002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19</v>
      </c>
      <c r="I4431" t="s">
        <v>33</v>
      </c>
      <c r="J4431">
        <v>24.1</v>
      </c>
      <c r="K4431">
        <v>5</v>
      </c>
      <c r="L4431">
        <v>0</v>
      </c>
      <c r="M4431">
        <v>9.1579999999999995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34</v>
      </c>
      <c r="J4432">
        <v>8.75</v>
      </c>
      <c r="K4432">
        <v>1</v>
      </c>
      <c r="L4432">
        <v>0</v>
      </c>
      <c r="M4432">
        <v>2.625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19</v>
      </c>
      <c r="I4433" t="s">
        <v>31</v>
      </c>
      <c r="J4433">
        <v>842.94</v>
      </c>
      <c r="K4433">
        <v>3</v>
      </c>
      <c r="L4433">
        <v>0</v>
      </c>
      <c r="M4433">
        <v>160.15860000000001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37</v>
      </c>
      <c r="J4434">
        <v>2.1819999999999999</v>
      </c>
      <c r="K4434">
        <v>1</v>
      </c>
      <c r="L4434">
        <v>0.8</v>
      </c>
      <c r="M4434">
        <v>-3.6002999999999998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34</v>
      </c>
      <c r="J4435">
        <v>27.384</v>
      </c>
      <c r="K4435">
        <v>7</v>
      </c>
      <c r="L4435">
        <v>0.2</v>
      </c>
      <c r="M4435">
        <v>2.7383999999999999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79</v>
      </c>
      <c r="E4436" t="s">
        <v>65</v>
      </c>
      <c r="F4436">
        <v>60653</v>
      </c>
      <c r="G4436" t="s">
        <v>47</v>
      </c>
      <c r="H4436" t="s">
        <v>26</v>
      </c>
      <c r="I4436" t="s">
        <v>38</v>
      </c>
      <c r="J4436">
        <v>26.405999999999999</v>
      </c>
      <c r="K4436">
        <v>3</v>
      </c>
      <c r="L4436">
        <v>0.8</v>
      </c>
      <c r="M4436">
        <v>-71.296199999999999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10.368</v>
      </c>
      <c r="K4437">
        <v>2</v>
      </c>
      <c r="L4437">
        <v>0.2</v>
      </c>
      <c r="M4437">
        <v>3.6288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486</v>
      </c>
      <c r="E4438" t="s">
        <v>46</v>
      </c>
      <c r="F4438">
        <v>77642</v>
      </c>
      <c r="G4438" t="s">
        <v>47</v>
      </c>
      <c r="H4438" t="s">
        <v>26</v>
      </c>
      <c r="I4438" t="s">
        <v>41</v>
      </c>
      <c r="J4438">
        <v>23.68</v>
      </c>
      <c r="K4438">
        <v>4</v>
      </c>
      <c r="L4438">
        <v>0.2</v>
      </c>
      <c r="M4438">
        <v>7.4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35</v>
      </c>
      <c r="I4439" t="s">
        <v>59</v>
      </c>
      <c r="J4439">
        <v>109.95</v>
      </c>
      <c r="K4439">
        <v>1</v>
      </c>
      <c r="L4439">
        <v>0</v>
      </c>
      <c r="M4439">
        <v>36.283499999999997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32</v>
      </c>
      <c r="J4440">
        <v>965.85</v>
      </c>
      <c r="K4440">
        <v>5</v>
      </c>
      <c r="L4440">
        <v>0</v>
      </c>
      <c r="M4440">
        <v>135.21899999999999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34</v>
      </c>
      <c r="J4441">
        <v>29.2</v>
      </c>
      <c r="K4441">
        <v>5</v>
      </c>
      <c r="L4441">
        <v>0</v>
      </c>
      <c r="M4441">
        <v>10.512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26</v>
      </c>
      <c r="I4442" t="s">
        <v>41</v>
      </c>
      <c r="J4442">
        <v>32.4</v>
      </c>
      <c r="K4442">
        <v>5</v>
      </c>
      <c r="L4442">
        <v>0</v>
      </c>
      <c r="M4442">
        <v>15.552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60</v>
      </c>
      <c r="J4443">
        <v>78.349999999999994</v>
      </c>
      <c r="K4443">
        <v>5</v>
      </c>
      <c r="L4443">
        <v>0</v>
      </c>
      <c r="M4443">
        <v>36.8245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41</v>
      </c>
      <c r="J4444">
        <v>31.68</v>
      </c>
      <c r="K4444">
        <v>6</v>
      </c>
      <c r="L4444">
        <v>0</v>
      </c>
      <c r="M4444">
        <v>14.256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37</v>
      </c>
      <c r="J4445">
        <v>29.12</v>
      </c>
      <c r="K4445">
        <v>4</v>
      </c>
      <c r="L4445">
        <v>0</v>
      </c>
      <c r="M4445">
        <v>14.268800000000001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32</v>
      </c>
      <c r="J4446">
        <v>169.45</v>
      </c>
      <c r="K4446">
        <v>5</v>
      </c>
      <c r="L4446">
        <v>0</v>
      </c>
      <c r="M4446">
        <v>42.362499999999997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19</v>
      </c>
      <c r="I4447" t="s">
        <v>33</v>
      </c>
      <c r="J4447">
        <v>12.56</v>
      </c>
      <c r="K4447">
        <v>2</v>
      </c>
      <c r="L4447">
        <v>0</v>
      </c>
      <c r="M4447">
        <v>4.0191999999999997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41</v>
      </c>
      <c r="J4448">
        <v>6.48</v>
      </c>
      <c r="K4448">
        <v>1</v>
      </c>
      <c r="L4448">
        <v>0</v>
      </c>
      <c r="M4448">
        <v>3.1103999999999998</v>
      </c>
    </row>
    <row r="4449" spans="1:13" x14ac:dyDescent="0.3">
      <c r="A4449" t="s">
        <v>28</v>
      </c>
      <c r="B4449" t="s">
        <v>14</v>
      </c>
      <c r="C4449" t="s">
        <v>15</v>
      </c>
      <c r="D4449" t="s">
        <v>23</v>
      </c>
      <c r="E4449" t="s">
        <v>24</v>
      </c>
      <c r="F4449">
        <v>90032</v>
      </c>
      <c r="G4449" t="s">
        <v>25</v>
      </c>
      <c r="H4449" t="s">
        <v>26</v>
      </c>
      <c r="I4449" t="s">
        <v>60</v>
      </c>
      <c r="J4449">
        <v>186.69</v>
      </c>
      <c r="K4449">
        <v>3</v>
      </c>
      <c r="L4449">
        <v>0</v>
      </c>
      <c r="M4449">
        <v>87.744299999999996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19</v>
      </c>
      <c r="I4450" t="s">
        <v>33</v>
      </c>
      <c r="J4450">
        <v>25.4</v>
      </c>
      <c r="K4450">
        <v>5</v>
      </c>
      <c r="L4450">
        <v>0</v>
      </c>
      <c r="M4450">
        <v>8.6359999999999992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26</v>
      </c>
      <c r="I4451" t="s">
        <v>60</v>
      </c>
      <c r="J4451">
        <v>43.96</v>
      </c>
      <c r="K4451">
        <v>2</v>
      </c>
      <c r="L4451">
        <v>0</v>
      </c>
      <c r="M4451">
        <v>20.661200000000001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19</v>
      </c>
      <c r="I4452" t="s">
        <v>20</v>
      </c>
      <c r="J4452">
        <v>1279.165</v>
      </c>
      <c r="K4452">
        <v>5</v>
      </c>
      <c r="L4452">
        <v>0.15</v>
      </c>
      <c r="M4452">
        <v>225.73500000000001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26</v>
      </c>
      <c r="I4453" t="s">
        <v>32</v>
      </c>
      <c r="J4453">
        <v>27.92</v>
      </c>
      <c r="K4453">
        <v>4</v>
      </c>
      <c r="L4453">
        <v>0</v>
      </c>
      <c r="M4453">
        <v>0.55840000000000001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19</v>
      </c>
      <c r="I4454" t="s">
        <v>21</v>
      </c>
      <c r="J4454">
        <v>129.56800000000001</v>
      </c>
      <c r="K4454">
        <v>2</v>
      </c>
      <c r="L4454">
        <v>0.2</v>
      </c>
      <c r="M4454">
        <v>-12.956799999999999</v>
      </c>
    </row>
    <row r="4455" spans="1:13" x14ac:dyDescent="0.3">
      <c r="A4455" t="s">
        <v>28</v>
      </c>
      <c r="B4455" t="s">
        <v>44</v>
      </c>
      <c r="C4455" t="s">
        <v>15</v>
      </c>
      <c r="D4455" t="s">
        <v>52</v>
      </c>
      <c r="E4455" t="s">
        <v>24</v>
      </c>
      <c r="F4455">
        <v>94110</v>
      </c>
      <c r="G4455" t="s">
        <v>25</v>
      </c>
      <c r="H4455" t="s">
        <v>26</v>
      </c>
      <c r="I4455" t="s">
        <v>37</v>
      </c>
      <c r="J4455">
        <v>6.3680000000000003</v>
      </c>
      <c r="K4455">
        <v>2</v>
      </c>
      <c r="L4455">
        <v>0.2</v>
      </c>
      <c r="M4455">
        <v>2.1492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117</v>
      </c>
      <c r="E4456" t="s">
        <v>24</v>
      </c>
      <c r="F4456">
        <v>95123</v>
      </c>
      <c r="G4456" t="s">
        <v>25</v>
      </c>
      <c r="H4456" t="s">
        <v>26</v>
      </c>
      <c r="I4456" t="s">
        <v>41</v>
      </c>
      <c r="J4456">
        <v>244.55</v>
      </c>
      <c r="K4456">
        <v>5</v>
      </c>
      <c r="L4456">
        <v>0</v>
      </c>
      <c r="M4456">
        <v>114.9385</v>
      </c>
    </row>
    <row r="4457" spans="1:13" x14ac:dyDescent="0.3">
      <c r="A4457" t="s">
        <v>28</v>
      </c>
      <c r="B4457" t="s">
        <v>14</v>
      </c>
      <c r="C4457" t="s">
        <v>15</v>
      </c>
      <c r="D4457" t="s">
        <v>134</v>
      </c>
      <c r="E4457" t="s">
        <v>98</v>
      </c>
      <c r="F4457">
        <v>80219</v>
      </c>
      <c r="G4457" t="s">
        <v>25</v>
      </c>
      <c r="H4457" t="s">
        <v>26</v>
      </c>
      <c r="I4457" t="s">
        <v>110</v>
      </c>
      <c r="J4457">
        <v>1332.4960000000001</v>
      </c>
      <c r="K4457">
        <v>2</v>
      </c>
      <c r="L4457">
        <v>0.2</v>
      </c>
      <c r="M4457">
        <v>-299.8116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19</v>
      </c>
      <c r="I4458" t="s">
        <v>33</v>
      </c>
      <c r="J4458">
        <v>32.776000000000003</v>
      </c>
      <c r="K4458">
        <v>1</v>
      </c>
      <c r="L4458">
        <v>0.2</v>
      </c>
      <c r="M4458">
        <v>3.2776000000000001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26</v>
      </c>
      <c r="I4459" t="s">
        <v>32</v>
      </c>
      <c r="J4459">
        <v>147.184</v>
      </c>
      <c r="K4459">
        <v>2</v>
      </c>
      <c r="L4459">
        <v>0.2</v>
      </c>
      <c r="M4459">
        <v>-29.436800000000002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35</v>
      </c>
      <c r="I4460" t="s">
        <v>59</v>
      </c>
      <c r="J4460">
        <v>54.384</v>
      </c>
      <c r="K4460">
        <v>2</v>
      </c>
      <c r="L4460">
        <v>0.2</v>
      </c>
      <c r="M4460">
        <v>1.3595999999999999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37</v>
      </c>
      <c r="J4461">
        <v>76.775999999999996</v>
      </c>
      <c r="K4461">
        <v>4</v>
      </c>
      <c r="L4461">
        <v>0.7</v>
      </c>
      <c r="M4461">
        <v>-58.861600000000003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41</v>
      </c>
      <c r="J4462">
        <v>14.352</v>
      </c>
      <c r="K4462">
        <v>3</v>
      </c>
      <c r="L4462">
        <v>0.2</v>
      </c>
      <c r="M4462">
        <v>5.2026000000000003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26</v>
      </c>
      <c r="I4463" t="s">
        <v>38</v>
      </c>
      <c r="J4463">
        <v>209.792</v>
      </c>
      <c r="K4463">
        <v>2</v>
      </c>
      <c r="L4463">
        <v>0.2</v>
      </c>
      <c r="M4463">
        <v>26.224</v>
      </c>
    </row>
    <row r="4464" spans="1:13" x14ac:dyDescent="0.3">
      <c r="A4464" t="s">
        <v>28</v>
      </c>
      <c r="B4464" t="s">
        <v>22</v>
      </c>
      <c r="C4464" t="s">
        <v>15</v>
      </c>
      <c r="D4464" t="s">
        <v>484</v>
      </c>
      <c r="E4464" t="s">
        <v>437</v>
      </c>
      <c r="F4464">
        <v>83704</v>
      </c>
      <c r="G4464" t="s">
        <v>25</v>
      </c>
      <c r="H4464" t="s">
        <v>26</v>
      </c>
      <c r="I4464" t="s">
        <v>37</v>
      </c>
      <c r="J4464">
        <v>3.3039999999999998</v>
      </c>
      <c r="K4464">
        <v>1</v>
      </c>
      <c r="L4464">
        <v>0.2</v>
      </c>
      <c r="M4464">
        <v>1.1151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34</v>
      </c>
      <c r="J4465">
        <v>16.38</v>
      </c>
      <c r="K4465">
        <v>9</v>
      </c>
      <c r="L4465">
        <v>0</v>
      </c>
      <c r="M4465">
        <v>7.3710000000000004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26</v>
      </c>
      <c r="I4466" t="s">
        <v>60</v>
      </c>
      <c r="J4466">
        <v>167.96</v>
      </c>
      <c r="K4466">
        <v>2</v>
      </c>
      <c r="L4466">
        <v>0</v>
      </c>
      <c r="M4466">
        <v>78.941199999999995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19</v>
      </c>
      <c r="I4467" t="s">
        <v>20</v>
      </c>
      <c r="J4467">
        <v>321.56799999999998</v>
      </c>
      <c r="K4467">
        <v>2</v>
      </c>
      <c r="L4467">
        <v>0.2</v>
      </c>
      <c r="M4467">
        <v>-16.078399999999998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41</v>
      </c>
      <c r="J4468">
        <v>12.96</v>
      </c>
      <c r="K4468">
        <v>2</v>
      </c>
      <c r="L4468">
        <v>0</v>
      </c>
      <c r="M4468">
        <v>6.2207999999999997</v>
      </c>
    </row>
    <row r="4469" spans="1:13" x14ac:dyDescent="0.3">
      <c r="A4469" t="s">
        <v>28</v>
      </c>
      <c r="B4469" t="s">
        <v>22</v>
      </c>
      <c r="C4469" t="s">
        <v>15</v>
      </c>
      <c r="D4469" t="s">
        <v>55</v>
      </c>
      <c r="E4469" t="s">
        <v>56</v>
      </c>
      <c r="F4469">
        <v>19140</v>
      </c>
      <c r="G4469" t="s">
        <v>57</v>
      </c>
      <c r="H4469" t="s">
        <v>19</v>
      </c>
      <c r="I4469" t="s">
        <v>21</v>
      </c>
      <c r="J4469">
        <v>128.05799999999999</v>
      </c>
      <c r="K4469">
        <v>3</v>
      </c>
      <c r="L4469">
        <v>0.3</v>
      </c>
      <c r="M4469">
        <v>-23.7822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19</v>
      </c>
      <c r="I4470" t="s">
        <v>21</v>
      </c>
      <c r="J4470">
        <v>63.686</v>
      </c>
      <c r="K4470">
        <v>1</v>
      </c>
      <c r="L4470">
        <v>0.3</v>
      </c>
      <c r="M4470">
        <v>-15.4666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35</v>
      </c>
      <c r="I4471" t="s">
        <v>59</v>
      </c>
      <c r="J4471">
        <v>239.976</v>
      </c>
      <c r="K4471">
        <v>3</v>
      </c>
      <c r="L4471">
        <v>0.2</v>
      </c>
      <c r="M4471">
        <v>65.993399999999994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19</v>
      </c>
      <c r="I4472" t="s">
        <v>31</v>
      </c>
      <c r="J4472">
        <v>344.22</v>
      </c>
      <c r="K4472">
        <v>2</v>
      </c>
      <c r="L4472">
        <v>0.4</v>
      </c>
      <c r="M4472">
        <v>-189.321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26</v>
      </c>
      <c r="I4473" t="s">
        <v>41</v>
      </c>
      <c r="J4473">
        <v>15.552</v>
      </c>
      <c r="K4473">
        <v>3</v>
      </c>
      <c r="L4473">
        <v>0.2</v>
      </c>
      <c r="M4473">
        <v>5.4432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19</v>
      </c>
      <c r="I4474" t="s">
        <v>33</v>
      </c>
      <c r="J4474">
        <v>21.248000000000001</v>
      </c>
      <c r="K4474">
        <v>4</v>
      </c>
      <c r="L4474">
        <v>0.2</v>
      </c>
      <c r="M4474">
        <v>7.4367999999999999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26</v>
      </c>
      <c r="I4475" t="s">
        <v>41</v>
      </c>
      <c r="J4475">
        <v>8.4480000000000004</v>
      </c>
      <c r="K4475">
        <v>2</v>
      </c>
      <c r="L4475">
        <v>0.2</v>
      </c>
      <c r="M4475">
        <v>2.64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26</v>
      </c>
      <c r="I4476" t="s">
        <v>32</v>
      </c>
      <c r="J4476">
        <v>333.09</v>
      </c>
      <c r="K4476">
        <v>3</v>
      </c>
      <c r="L4476">
        <v>0</v>
      </c>
      <c r="M4476">
        <v>23.316299999999998</v>
      </c>
    </row>
    <row r="4477" spans="1:13" x14ac:dyDescent="0.3">
      <c r="A4477" t="s">
        <v>168</v>
      </c>
      <c r="B4477" t="s">
        <v>14</v>
      </c>
      <c r="C4477" t="s">
        <v>15</v>
      </c>
      <c r="D4477" t="s">
        <v>499</v>
      </c>
      <c r="E4477" t="s">
        <v>119</v>
      </c>
      <c r="F4477">
        <v>73505</v>
      </c>
      <c r="G4477" t="s">
        <v>47</v>
      </c>
      <c r="H4477" t="s">
        <v>19</v>
      </c>
      <c r="I4477" t="s">
        <v>31</v>
      </c>
      <c r="J4477">
        <v>248.98</v>
      </c>
      <c r="K4477">
        <v>2</v>
      </c>
      <c r="L4477">
        <v>0</v>
      </c>
      <c r="M4477">
        <v>54.775599999999997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75</v>
      </c>
      <c r="E4478" t="s">
        <v>76</v>
      </c>
      <c r="F4478">
        <v>10024</v>
      </c>
      <c r="G4478" t="s">
        <v>57</v>
      </c>
      <c r="H4478" t="s">
        <v>26</v>
      </c>
      <c r="I4478" t="s">
        <v>41</v>
      </c>
      <c r="J4478">
        <v>24.9</v>
      </c>
      <c r="K4478">
        <v>5</v>
      </c>
      <c r="L4478">
        <v>0</v>
      </c>
      <c r="M4478">
        <v>11.702999999999999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77</v>
      </c>
      <c r="J4479">
        <v>15.26</v>
      </c>
      <c r="K4479">
        <v>7</v>
      </c>
      <c r="L4479">
        <v>0</v>
      </c>
      <c r="M4479">
        <v>5.0358000000000001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38</v>
      </c>
      <c r="J4480">
        <v>43.32</v>
      </c>
      <c r="K4480">
        <v>2</v>
      </c>
      <c r="L4480">
        <v>0</v>
      </c>
      <c r="M4480">
        <v>14.2956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37</v>
      </c>
      <c r="J4481">
        <v>43.584000000000003</v>
      </c>
      <c r="K4481">
        <v>12</v>
      </c>
      <c r="L4481">
        <v>0.2</v>
      </c>
      <c r="M4481">
        <v>15.799200000000001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41</v>
      </c>
      <c r="J4482">
        <v>116.28</v>
      </c>
      <c r="K4482">
        <v>3</v>
      </c>
      <c r="L4482">
        <v>0</v>
      </c>
      <c r="M4482">
        <v>56.977200000000003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37</v>
      </c>
      <c r="J4483">
        <v>9.2959999999999994</v>
      </c>
      <c r="K4483">
        <v>2</v>
      </c>
      <c r="L4483">
        <v>0.2</v>
      </c>
      <c r="M4483">
        <v>3.0211999999999999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19.440000000000001</v>
      </c>
      <c r="K4484">
        <v>3</v>
      </c>
      <c r="L4484">
        <v>0</v>
      </c>
      <c r="M4484">
        <v>9.3312000000000008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314.55</v>
      </c>
      <c r="K4485">
        <v>3</v>
      </c>
      <c r="L4485">
        <v>0</v>
      </c>
      <c r="M4485">
        <v>150.98400000000001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37</v>
      </c>
      <c r="J4486">
        <v>16.27</v>
      </c>
      <c r="K4486">
        <v>5</v>
      </c>
      <c r="L4486">
        <v>0.8</v>
      </c>
      <c r="M4486">
        <v>-25.218499999999999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110</v>
      </c>
      <c r="J4487">
        <v>69.12</v>
      </c>
      <c r="K4487">
        <v>9</v>
      </c>
      <c r="L4487">
        <v>0.2</v>
      </c>
      <c r="M4487">
        <v>-14.688000000000001</v>
      </c>
    </row>
    <row r="4488" spans="1:13" x14ac:dyDescent="0.3">
      <c r="A4488" t="s">
        <v>28</v>
      </c>
      <c r="B4488" t="s">
        <v>44</v>
      </c>
      <c r="C4488" t="s">
        <v>15</v>
      </c>
      <c r="D4488" t="s">
        <v>61</v>
      </c>
      <c r="E4488" t="s">
        <v>46</v>
      </c>
      <c r="F4488">
        <v>77036</v>
      </c>
      <c r="G4488" t="s">
        <v>47</v>
      </c>
      <c r="H4488" t="s">
        <v>26</v>
      </c>
      <c r="I4488" t="s">
        <v>37</v>
      </c>
      <c r="J4488">
        <v>4.47</v>
      </c>
      <c r="K4488">
        <v>3</v>
      </c>
      <c r="L4488">
        <v>0.8</v>
      </c>
      <c r="M4488">
        <v>-7.8224999999999998</v>
      </c>
    </row>
    <row r="4489" spans="1:13" x14ac:dyDescent="0.3">
      <c r="A4489" t="s">
        <v>28</v>
      </c>
      <c r="B4489" t="s">
        <v>14</v>
      </c>
      <c r="C4489" t="s">
        <v>15</v>
      </c>
      <c r="D4489" t="s">
        <v>23</v>
      </c>
      <c r="E4489" t="s">
        <v>24</v>
      </c>
      <c r="F4489">
        <v>90032</v>
      </c>
      <c r="G4489" t="s">
        <v>25</v>
      </c>
      <c r="H4489" t="s">
        <v>19</v>
      </c>
      <c r="I4489" t="s">
        <v>31</v>
      </c>
      <c r="J4489">
        <v>418.29599999999999</v>
      </c>
      <c r="K4489">
        <v>3</v>
      </c>
      <c r="L4489">
        <v>0.2</v>
      </c>
      <c r="M4489">
        <v>5.2286999999999999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35</v>
      </c>
      <c r="I4490" t="s">
        <v>162</v>
      </c>
      <c r="J4490">
        <v>659.98800000000006</v>
      </c>
      <c r="K4490">
        <v>2</v>
      </c>
      <c r="L4490">
        <v>0.4</v>
      </c>
      <c r="M4490">
        <v>109.998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19</v>
      </c>
      <c r="I4491" t="s">
        <v>33</v>
      </c>
      <c r="J4491">
        <v>8.1280000000000001</v>
      </c>
      <c r="K4491">
        <v>2</v>
      </c>
      <c r="L4491">
        <v>0.2</v>
      </c>
      <c r="M4491">
        <v>1.4224000000000001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26</v>
      </c>
      <c r="I4492" t="s">
        <v>41</v>
      </c>
      <c r="J4492">
        <v>36.287999999999997</v>
      </c>
      <c r="K4492">
        <v>7</v>
      </c>
      <c r="L4492">
        <v>0.2</v>
      </c>
      <c r="M4492">
        <v>12.700799999999999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19</v>
      </c>
      <c r="I4493" t="s">
        <v>21</v>
      </c>
      <c r="J4493">
        <v>909.72</v>
      </c>
      <c r="K4493">
        <v>6</v>
      </c>
      <c r="L4493">
        <v>0.3</v>
      </c>
      <c r="M4493">
        <v>-51.984000000000002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19</v>
      </c>
      <c r="I4494" t="s">
        <v>20</v>
      </c>
      <c r="J4494">
        <v>917.92349999999999</v>
      </c>
      <c r="K4494">
        <v>9</v>
      </c>
      <c r="L4494">
        <v>0.15</v>
      </c>
      <c r="M4494">
        <v>75.593699999999998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23</v>
      </c>
      <c r="E4495" t="s">
        <v>24</v>
      </c>
      <c r="F4495">
        <v>90032</v>
      </c>
      <c r="G4495" t="s">
        <v>25</v>
      </c>
      <c r="H4495" t="s">
        <v>26</v>
      </c>
      <c r="I4495" t="s">
        <v>41</v>
      </c>
      <c r="J4495">
        <v>38.880000000000003</v>
      </c>
      <c r="K4495">
        <v>6</v>
      </c>
      <c r="L4495">
        <v>0</v>
      </c>
      <c r="M4495">
        <v>19.051200000000001</v>
      </c>
    </row>
    <row r="4496" spans="1:13" x14ac:dyDescent="0.3">
      <c r="A4496" t="s">
        <v>28</v>
      </c>
      <c r="B4496" t="s">
        <v>14</v>
      </c>
      <c r="C4496" t="s">
        <v>15</v>
      </c>
      <c r="D4496" t="s">
        <v>55</v>
      </c>
      <c r="E4496" t="s">
        <v>56</v>
      </c>
      <c r="F4496">
        <v>19140</v>
      </c>
      <c r="G4496" t="s">
        <v>57</v>
      </c>
      <c r="H4496" t="s">
        <v>26</v>
      </c>
      <c r="I4496" t="s">
        <v>37</v>
      </c>
      <c r="J4496">
        <v>631.17600000000004</v>
      </c>
      <c r="K4496">
        <v>4</v>
      </c>
      <c r="L4496">
        <v>0.7</v>
      </c>
      <c r="M4496">
        <v>-462.86239999999998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52</v>
      </c>
      <c r="E4497" t="s">
        <v>24</v>
      </c>
      <c r="F4497">
        <v>94110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41</v>
      </c>
      <c r="J4498">
        <v>12.96</v>
      </c>
      <c r="K4498">
        <v>2</v>
      </c>
      <c r="L4498">
        <v>0</v>
      </c>
      <c r="M4498">
        <v>6.2207999999999997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418</v>
      </c>
      <c r="E4499" t="s">
        <v>24</v>
      </c>
      <c r="F4499">
        <v>93309</v>
      </c>
      <c r="G4499" t="s">
        <v>25</v>
      </c>
      <c r="H4499" t="s">
        <v>26</v>
      </c>
      <c r="I4499" t="s">
        <v>37</v>
      </c>
      <c r="J4499">
        <v>23.2</v>
      </c>
      <c r="K4499">
        <v>5</v>
      </c>
      <c r="L4499">
        <v>0.2</v>
      </c>
      <c r="M4499">
        <v>8.1199999999999992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41</v>
      </c>
      <c r="J4500">
        <v>25.92</v>
      </c>
      <c r="K4500">
        <v>5</v>
      </c>
      <c r="L4500">
        <v>0.2</v>
      </c>
      <c r="M4500">
        <v>9.0719999999999992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61</v>
      </c>
      <c r="E4501" t="s">
        <v>46</v>
      </c>
      <c r="F4501">
        <v>77095</v>
      </c>
      <c r="G4501" t="s">
        <v>47</v>
      </c>
      <c r="H4501" t="s">
        <v>26</v>
      </c>
      <c r="I4501" t="s">
        <v>77</v>
      </c>
      <c r="J4501">
        <v>21.312000000000001</v>
      </c>
      <c r="K4501">
        <v>6</v>
      </c>
      <c r="L4501">
        <v>0.2</v>
      </c>
      <c r="M4501">
        <v>7.1928000000000001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35</v>
      </c>
      <c r="I4502" t="s">
        <v>36</v>
      </c>
      <c r="J4502">
        <v>173.65600000000001</v>
      </c>
      <c r="K4502">
        <v>7</v>
      </c>
      <c r="L4502">
        <v>0.2</v>
      </c>
      <c r="M4502">
        <v>17.365600000000001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26</v>
      </c>
      <c r="I4503" t="s">
        <v>38</v>
      </c>
      <c r="J4503">
        <v>361.96</v>
      </c>
      <c r="K4503">
        <v>2</v>
      </c>
      <c r="L4503">
        <v>0</v>
      </c>
      <c r="M4503">
        <v>101.3488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59</v>
      </c>
      <c r="J4504">
        <v>62.85</v>
      </c>
      <c r="K4504">
        <v>3</v>
      </c>
      <c r="L4504">
        <v>0</v>
      </c>
      <c r="M4504">
        <v>13.198499999999999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818.37599999999998</v>
      </c>
      <c r="K4505">
        <v>3</v>
      </c>
      <c r="L4505">
        <v>0.2</v>
      </c>
      <c r="M4505">
        <v>51.148499999999999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32</v>
      </c>
      <c r="J4506">
        <v>20.34</v>
      </c>
      <c r="K4506">
        <v>1</v>
      </c>
      <c r="L4506">
        <v>0</v>
      </c>
      <c r="M4506">
        <v>0.2034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19</v>
      </c>
      <c r="I4507" t="s">
        <v>33</v>
      </c>
      <c r="J4507">
        <v>23.99</v>
      </c>
      <c r="K4507">
        <v>1</v>
      </c>
      <c r="L4507">
        <v>0</v>
      </c>
      <c r="M4507">
        <v>5.5176999999999996</v>
      </c>
    </row>
    <row r="4508" spans="1:13" x14ac:dyDescent="0.3">
      <c r="A4508" t="s">
        <v>28</v>
      </c>
      <c r="B4508" t="s">
        <v>14</v>
      </c>
      <c r="C4508" t="s">
        <v>15</v>
      </c>
      <c r="D4508" t="s">
        <v>23</v>
      </c>
      <c r="E4508" t="s">
        <v>24</v>
      </c>
      <c r="F4508">
        <v>90036</v>
      </c>
      <c r="G4508" t="s">
        <v>25</v>
      </c>
      <c r="H4508" t="s">
        <v>19</v>
      </c>
      <c r="I4508" t="s">
        <v>31</v>
      </c>
      <c r="J4508">
        <v>171.28800000000001</v>
      </c>
      <c r="K4508">
        <v>3</v>
      </c>
      <c r="L4508">
        <v>0.2</v>
      </c>
      <c r="M4508">
        <v>-6.4233000000000002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19</v>
      </c>
      <c r="I4509" t="s">
        <v>33</v>
      </c>
      <c r="J4509">
        <v>37.299999999999997</v>
      </c>
      <c r="K4509">
        <v>2</v>
      </c>
      <c r="L4509">
        <v>0</v>
      </c>
      <c r="M4509">
        <v>17.158000000000001</v>
      </c>
    </row>
    <row r="4510" spans="1:13" x14ac:dyDescent="0.3">
      <c r="A4510" t="s">
        <v>28</v>
      </c>
      <c r="B4510" t="s">
        <v>22</v>
      </c>
      <c r="C4510" t="s">
        <v>15</v>
      </c>
      <c r="D4510" t="s">
        <v>82</v>
      </c>
      <c r="E4510" t="s">
        <v>112</v>
      </c>
      <c r="F4510">
        <v>65807</v>
      </c>
      <c r="G4510" t="s">
        <v>47</v>
      </c>
      <c r="H4510" t="s">
        <v>26</v>
      </c>
      <c r="I4510" t="s">
        <v>37</v>
      </c>
      <c r="J4510">
        <v>81.96</v>
      </c>
      <c r="K4510">
        <v>2</v>
      </c>
      <c r="L4510">
        <v>0</v>
      </c>
      <c r="M4510">
        <v>39.340800000000002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108</v>
      </c>
      <c r="E4511" t="s">
        <v>81</v>
      </c>
      <c r="F4511">
        <v>85023</v>
      </c>
      <c r="G4511" t="s">
        <v>25</v>
      </c>
      <c r="H4511" t="s">
        <v>26</v>
      </c>
      <c r="I4511" t="s">
        <v>37</v>
      </c>
      <c r="J4511">
        <v>54.792000000000002</v>
      </c>
      <c r="K4511">
        <v>6</v>
      </c>
      <c r="L4511">
        <v>0.7</v>
      </c>
      <c r="M4511">
        <v>-40.180799999999998</v>
      </c>
    </row>
    <row r="4512" spans="1:13" x14ac:dyDescent="0.3">
      <c r="A4512" t="s">
        <v>62</v>
      </c>
      <c r="B4512" t="s">
        <v>14</v>
      </c>
      <c r="C4512" t="s">
        <v>15</v>
      </c>
      <c r="D4512" t="s">
        <v>61</v>
      </c>
      <c r="E4512" t="s">
        <v>46</v>
      </c>
      <c r="F4512">
        <v>77070</v>
      </c>
      <c r="G4512" t="s">
        <v>47</v>
      </c>
      <c r="H4512" t="s">
        <v>26</v>
      </c>
      <c r="I4512" t="s">
        <v>32</v>
      </c>
      <c r="J4512">
        <v>10.784000000000001</v>
      </c>
      <c r="K4512">
        <v>1</v>
      </c>
      <c r="L4512">
        <v>0.2</v>
      </c>
      <c r="M4512">
        <v>0.80879999999999996</v>
      </c>
    </row>
    <row r="4513" spans="1:13" x14ac:dyDescent="0.3">
      <c r="A4513" t="s">
        <v>13</v>
      </c>
      <c r="B4513" t="s">
        <v>14</v>
      </c>
      <c r="C4513" t="s">
        <v>15</v>
      </c>
      <c r="D4513" t="s">
        <v>500</v>
      </c>
      <c r="E4513" t="s">
        <v>83</v>
      </c>
      <c r="F4513">
        <v>23666</v>
      </c>
      <c r="G4513" t="s">
        <v>18</v>
      </c>
      <c r="H4513" t="s">
        <v>19</v>
      </c>
      <c r="I4513" t="s">
        <v>21</v>
      </c>
      <c r="J4513">
        <v>290.98</v>
      </c>
      <c r="K4513">
        <v>1</v>
      </c>
      <c r="L4513">
        <v>0</v>
      </c>
      <c r="M4513">
        <v>75.654799999999994</v>
      </c>
    </row>
    <row r="4514" spans="1:13" x14ac:dyDescent="0.3">
      <c r="A4514" t="s">
        <v>28</v>
      </c>
      <c r="B4514" t="s">
        <v>44</v>
      </c>
      <c r="C4514" t="s">
        <v>15</v>
      </c>
      <c r="D4514" t="s">
        <v>337</v>
      </c>
      <c r="E4514" t="s">
        <v>119</v>
      </c>
      <c r="F4514">
        <v>74133</v>
      </c>
      <c r="G4514" t="s">
        <v>47</v>
      </c>
      <c r="H4514" t="s">
        <v>26</v>
      </c>
      <c r="I4514" t="s">
        <v>34</v>
      </c>
      <c r="J4514">
        <v>36.44</v>
      </c>
      <c r="K4514">
        <v>4</v>
      </c>
      <c r="L4514">
        <v>0</v>
      </c>
      <c r="M4514">
        <v>12.0252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41</v>
      </c>
      <c r="J4515">
        <v>21.4</v>
      </c>
      <c r="K4515">
        <v>5</v>
      </c>
      <c r="L4515">
        <v>0</v>
      </c>
      <c r="M4515">
        <v>10.058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42</v>
      </c>
      <c r="E4516" t="s">
        <v>43</v>
      </c>
      <c r="F4516">
        <v>98105</v>
      </c>
      <c r="G4516" t="s">
        <v>25</v>
      </c>
      <c r="H4516" t="s">
        <v>26</v>
      </c>
      <c r="I4516" t="s">
        <v>37</v>
      </c>
      <c r="J4516">
        <v>48.664000000000001</v>
      </c>
      <c r="K4516">
        <v>7</v>
      </c>
      <c r="L4516">
        <v>0.2</v>
      </c>
      <c r="M4516">
        <v>15.815799999999999</v>
      </c>
    </row>
    <row r="4517" spans="1:13" x14ac:dyDescent="0.3">
      <c r="A4517" t="s">
        <v>28</v>
      </c>
      <c r="B4517" t="s">
        <v>14</v>
      </c>
      <c r="C4517" t="s">
        <v>15</v>
      </c>
      <c r="D4517" t="s">
        <v>52</v>
      </c>
      <c r="E4517" t="s">
        <v>24</v>
      </c>
      <c r="F4517">
        <v>94109</v>
      </c>
      <c r="G4517" t="s">
        <v>25</v>
      </c>
      <c r="H4517" t="s">
        <v>26</v>
      </c>
      <c r="I4517" t="s">
        <v>34</v>
      </c>
      <c r="J4517">
        <v>16.559999999999999</v>
      </c>
      <c r="K4517">
        <v>4</v>
      </c>
      <c r="L4517">
        <v>0</v>
      </c>
      <c r="M4517">
        <v>6.9551999999999996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189</v>
      </c>
      <c r="E4518" t="s">
        <v>30</v>
      </c>
      <c r="F4518">
        <v>32216</v>
      </c>
      <c r="G4518" t="s">
        <v>18</v>
      </c>
      <c r="H4518" t="s">
        <v>26</v>
      </c>
      <c r="I4518" t="s">
        <v>32</v>
      </c>
      <c r="J4518">
        <v>1347.52</v>
      </c>
      <c r="K4518">
        <v>8</v>
      </c>
      <c r="L4518">
        <v>0.2</v>
      </c>
      <c r="M4518">
        <v>84.22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35</v>
      </c>
      <c r="I4519" t="s">
        <v>59</v>
      </c>
      <c r="J4519">
        <v>62.31</v>
      </c>
      <c r="K4519">
        <v>3</v>
      </c>
      <c r="L4519">
        <v>0</v>
      </c>
      <c r="M4519">
        <v>22.4316</v>
      </c>
    </row>
    <row r="4520" spans="1:13" x14ac:dyDescent="0.3">
      <c r="A4520" t="s">
        <v>28</v>
      </c>
      <c r="B4520" t="s">
        <v>22</v>
      </c>
      <c r="C4520" t="s">
        <v>15</v>
      </c>
      <c r="D4520" t="s">
        <v>182</v>
      </c>
      <c r="E4520" t="s">
        <v>74</v>
      </c>
      <c r="F4520">
        <v>47374</v>
      </c>
      <c r="G4520" t="s">
        <v>47</v>
      </c>
      <c r="H4520" t="s">
        <v>19</v>
      </c>
      <c r="I4520" t="s">
        <v>33</v>
      </c>
      <c r="J4520">
        <v>20.32</v>
      </c>
      <c r="K4520">
        <v>4</v>
      </c>
      <c r="L4520">
        <v>0</v>
      </c>
      <c r="M4520">
        <v>6.9088000000000003</v>
      </c>
    </row>
    <row r="4521" spans="1:13" x14ac:dyDescent="0.3">
      <c r="A4521" t="s">
        <v>13</v>
      </c>
      <c r="B4521" t="s">
        <v>22</v>
      </c>
      <c r="C4521" t="s">
        <v>15</v>
      </c>
      <c r="D4521" t="s">
        <v>183</v>
      </c>
      <c r="E4521" t="s">
        <v>98</v>
      </c>
      <c r="F4521">
        <v>80027</v>
      </c>
      <c r="G4521" t="s">
        <v>25</v>
      </c>
      <c r="H4521" t="s">
        <v>26</v>
      </c>
      <c r="I4521" t="s">
        <v>77</v>
      </c>
      <c r="J4521">
        <v>9.4320000000000004</v>
      </c>
      <c r="K4521">
        <v>3</v>
      </c>
      <c r="L4521">
        <v>0.2</v>
      </c>
      <c r="M4521">
        <v>3.0653999999999999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26</v>
      </c>
      <c r="I4522" t="s">
        <v>27</v>
      </c>
      <c r="J4522">
        <v>34.86</v>
      </c>
      <c r="K4522">
        <v>7</v>
      </c>
      <c r="L4522">
        <v>0</v>
      </c>
      <c r="M4522">
        <v>16.035599999999999</v>
      </c>
    </row>
    <row r="4523" spans="1:13" x14ac:dyDescent="0.3">
      <c r="A4523" t="s">
        <v>28</v>
      </c>
      <c r="B4523" t="s">
        <v>14</v>
      </c>
      <c r="C4523" t="s">
        <v>15</v>
      </c>
      <c r="D4523" t="s">
        <v>75</v>
      </c>
      <c r="E4523" t="s">
        <v>76</v>
      </c>
      <c r="F4523">
        <v>10024</v>
      </c>
      <c r="G4523" t="s">
        <v>57</v>
      </c>
      <c r="H4523" t="s">
        <v>19</v>
      </c>
      <c r="I4523" t="s">
        <v>33</v>
      </c>
      <c r="J4523">
        <v>89.34</v>
      </c>
      <c r="K4523">
        <v>6</v>
      </c>
      <c r="L4523">
        <v>0</v>
      </c>
      <c r="M4523">
        <v>24.1218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35</v>
      </c>
      <c r="I4524" t="s">
        <v>36</v>
      </c>
      <c r="J4524">
        <v>269.98</v>
      </c>
      <c r="K4524">
        <v>2</v>
      </c>
      <c r="L4524">
        <v>0</v>
      </c>
      <c r="M4524">
        <v>67.495000000000005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26</v>
      </c>
      <c r="I4525" t="s">
        <v>41</v>
      </c>
      <c r="J4525">
        <v>99.9</v>
      </c>
      <c r="K4525">
        <v>5</v>
      </c>
      <c r="L4525">
        <v>0</v>
      </c>
      <c r="M4525">
        <v>47.951999999999998</v>
      </c>
    </row>
    <row r="4526" spans="1:13" x14ac:dyDescent="0.3">
      <c r="A4526" t="s">
        <v>28</v>
      </c>
      <c r="B4526" t="s">
        <v>44</v>
      </c>
      <c r="C4526" t="s">
        <v>15</v>
      </c>
      <c r="D4526" t="s">
        <v>501</v>
      </c>
      <c r="E4526" t="s">
        <v>76</v>
      </c>
      <c r="F4526">
        <v>13440</v>
      </c>
      <c r="G4526" t="s">
        <v>57</v>
      </c>
      <c r="H4526" t="s">
        <v>19</v>
      </c>
      <c r="I4526" t="s">
        <v>33</v>
      </c>
      <c r="J4526">
        <v>39.08</v>
      </c>
      <c r="K4526">
        <v>4</v>
      </c>
      <c r="L4526">
        <v>0</v>
      </c>
      <c r="M4526">
        <v>14.4596</v>
      </c>
    </row>
    <row r="4527" spans="1:13" x14ac:dyDescent="0.3">
      <c r="A4527" t="s">
        <v>13</v>
      </c>
      <c r="B4527" t="s">
        <v>22</v>
      </c>
      <c r="C4527" t="s">
        <v>15</v>
      </c>
      <c r="D4527" t="s">
        <v>378</v>
      </c>
      <c r="E4527" t="s">
        <v>104</v>
      </c>
      <c r="F4527">
        <v>43302</v>
      </c>
      <c r="G4527" t="s">
        <v>57</v>
      </c>
      <c r="H4527" t="s">
        <v>35</v>
      </c>
      <c r="I4527" t="s">
        <v>59</v>
      </c>
      <c r="J4527">
        <v>116.83199999999999</v>
      </c>
      <c r="K4527">
        <v>4</v>
      </c>
      <c r="L4527">
        <v>0.2</v>
      </c>
      <c r="M4527">
        <v>33.589199999999998</v>
      </c>
    </row>
    <row r="4528" spans="1:13" x14ac:dyDescent="0.3">
      <c r="A4528" t="s">
        <v>28</v>
      </c>
      <c r="B4528" t="s">
        <v>14</v>
      </c>
      <c r="C4528" t="s">
        <v>15</v>
      </c>
      <c r="D4528" t="s">
        <v>61</v>
      </c>
      <c r="E4528" t="s">
        <v>46</v>
      </c>
      <c r="F4528">
        <v>77041</v>
      </c>
      <c r="G4528" t="s">
        <v>47</v>
      </c>
      <c r="H4528" t="s">
        <v>26</v>
      </c>
      <c r="I4528" t="s">
        <v>37</v>
      </c>
      <c r="J4528">
        <v>2.2959999999999998</v>
      </c>
      <c r="K4528">
        <v>2</v>
      </c>
      <c r="L4528">
        <v>0.8</v>
      </c>
      <c r="M4528">
        <v>-3.9032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19</v>
      </c>
      <c r="I4529" t="s">
        <v>21</v>
      </c>
      <c r="J4529">
        <v>408.00599999999997</v>
      </c>
      <c r="K4529">
        <v>2</v>
      </c>
      <c r="L4529">
        <v>0.1</v>
      </c>
      <c r="M4529">
        <v>72.534400000000005</v>
      </c>
    </row>
    <row r="4530" spans="1:13" x14ac:dyDescent="0.3">
      <c r="A4530" t="s">
        <v>62</v>
      </c>
      <c r="B4530" t="s">
        <v>14</v>
      </c>
      <c r="C4530" t="s">
        <v>15</v>
      </c>
      <c r="D4530" t="s">
        <v>75</v>
      </c>
      <c r="E4530" t="s">
        <v>76</v>
      </c>
      <c r="F4530">
        <v>10009</v>
      </c>
      <c r="G4530" t="s">
        <v>57</v>
      </c>
      <c r="H4530" t="s">
        <v>26</v>
      </c>
      <c r="I4530" t="s">
        <v>32</v>
      </c>
      <c r="J4530">
        <v>40.44</v>
      </c>
      <c r="K4530">
        <v>3</v>
      </c>
      <c r="L4530">
        <v>0</v>
      </c>
      <c r="M4530">
        <v>10.5144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19</v>
      </c>
      <c r="I4531" t="s">
        <v>21</v>
      </c>
      <c r="J4531">
        <v>122.352</v>
      </c>
      <c r="K4531">
        <v>3</v>
      </c>
      <c r="L4531">
        <v>0.2</v>
      </c>
      <c r="M4531">
        <v>13.7646</v>
      </c>
    </row>
    <row r="4532" spans="1:13" x14ac:dyDescent="0.3">
      <c r="A4532" t="s">
        <v>168</v>
      </c>
      <c r="B4532" t="s">
        <v>44</v>
      </c>
      <c r="C4532" t="s">
        <v>15</v>
      </c>
      <c r="D4532" t="s">
        <v>372</v>
      </c>
      <c r="E4532" t="s">
        <v>24</v>
      </c>
      <c r="F4532">
        <v>95336</v>
      </c>
      <c r="G4532" t="s">
        <v>25</v>
      </c>
      <c r="H4532" t="s">
        <v>26</v>
      </c>
      <c r="I4532" t="s">
        <v>60</v>
      </c>
      <c r="J4532">
        <v>15.28</v>
      </c>
      <c r="K4532">
        <v>2</v>
      </c>
      <c r="L4532">
        <v>0</v>
      </c>
      <c r="M4532">
        <v>7.4871999999999996</v>
      </c>
    </row>
    <row r="4533" spans="1:13" x14ac:dyDescent="0.3">
      <c r="A4533" t="s">
        <v>28</v>
      </c>
      <c r="B4533" t="s">
        <v>22</v>
      </c>
      <c r="C4533" t="s">
        <v>15</v>
      </c>
      <c r="D4533" t="s">
        <v>23</v>
      </c>
      <c r="E4533" t="s">
        <v>24</v>
      </c>
      <c r="F4533">
        <v>90004</v>
      </c>
      <c r="G4533" t="s">
        <v>25</v>
      </c>
      <c r="H4533" t="s">
        <v>26</v>
      </c>
      <c r="I4533" t="s">
        <v>41</v>
      </c>
      <c r="J4533">
        <v>11.96</v>
      </c>
      <c r="K4533">
        <v>2</v>
      </c>
      <c r="L4533">
        <v>0</v>
      </c>
      <c r="M4533">
        <v>5.8604000000000003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19</v>
      </c>
      <c r="I4534" t="s">
        <v>33</v>
      </c>
      <c r="J4534">
        <v>15.84</v>
      </c>
      <c r="K4534">
        <v>3</v>
      </c>
      <c r="L4534">
        <v>0</v>
      </c>
      <c r="M4534">
        <v>4.9104000000000001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37</v>
      </c>
      <c r="J4535">
        <v>86.376000000000005</v>
      </c>
      <c r="K4535">
        <v>3</v>
      </c>
      <c r="L4535">
        <v>0.2</v>
      </c>
      <c r="M4535">
        <v>30.2316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18.239999999999998</v>
      </c>
      <c r="K4536">
        <v>3</v>
      </c>
      <c r="L4536">
        <v>0</v>
      </c>
      <c r="M4536">
        <v>6.2016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26</v>
      </c>
      <c r="I4537" t="s">
        <v>34</v>
      </c>
      <c r="J4537">
        <v>13.12</v>
      </c>
      <c r="K4537">
        <v>4</v>
      </c>
      <c r="L4537">
        <v>0</v>
      </c>
      <c r="M4537">
        <v>4.3296000000000001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35</v>
      </c>
      <c r="I4538" t="s">
        <v>36</v>
      </c>
      <c r="J4538">
        <v>105.98</v>
      </c>
      <c r="K4538">
        <v>2</v>
      </c>
      <c r="L4538">
        <v>0</v>
      </c>
      <c r="M4538">
        <v>1.0598000000000001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290</v>
      </c>
      <c r="E4539" t="s">
        <v>179</v>
      </c>
      <c r="F4539">
        <v>2908</v>
      </c>
      <c r="G4539" t="s">
        <v>57</v>
      </c>
      <c r="H4539" t="s">
        <v>19</v>
      </c>
      <c r="I4539" t="s">
        <v>31</v>
      </c>
      <c r="J4539">
        <v>493.92</v>
      </c>
      <c r="K4539">
        <v>7</v>
      </c>
      <c r="L4539">
        <v>0.3</v>
      </c>
      <c r="M4539">
        <v>-28.224</v>
      </c>
    </row>
    <row r="4540" spans="1:13" x14ac:dyDescent="0.3">
      <c r="A4540" t="s">
        <v>28</v>
      </c>
      <c r="B4540" t="s">
        <v>22</v>
      </c>
      <c r="C4540" t="s">
        <v>15</v>
      </c>
      <c r="D4540" t="s">
        <v>79</v>
      </c>
      <c r="E4540" t="s">
        <v>65</v>
      </c>
      <c r="F4540">
        <v>60653</v>
      </c>
      <c r="G4540" t="s">
        <v>47</v>
      </c>
      <c r="H4540" t="s">
        <v>26</v>
      </c>
      <c r="I4540" t="s">
        <v>37</v>
      </c>
      <c r="J4540">
        <v>5.9359999999999999</v>
      </c>
      <c r="K4540">
        <v>7</v>
      </c>
      <c r="L4540">
        <v>0.8</v>
      </c>
      <c r="M4540">
        <v>-8.9039999999999999</v>
      </c>
    </row>
    <row r="4541" spans="1:13" x14ac:dyDescent="0.3">
      <c r="A4541" t="s">
        <v>62</v>
      </c>
      <c r="B4541" t="s">
        <v>14</v>
      </c>
      <c r="C4541" t="s">
        <v>15</v>
      </c>
      <c r="D4541" t="s">
        <v>354</v>
      </c>
      <c r="E4541" t="s">
        <v>119</v>
      </c>
      <c r="F4541">
        <v>73120</v>
      </c>
      <c r="G4541" t="s">
        <v>47</v>
      </c>
      <c r="H4541" t="s">
        <v>26</v>
      </c>
      <c r="I4541" t="s">
        <v>60</v>
      </c>
      <c r="J4541">
        <v>325.86</v>
      </c>
      <c r="K4541">
        <v>2</v>
      </c>
      <c r="L4541">
        <v>0</v>
      </c>
      <c r="M4541">
        <v>149.8956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19</v>
      </c>
      <c r="I4542" t="s">
        <v>21</v>
      </c>
      <c r="J4542">
        <v>383.60700000000003</v>
      </c>
      <c r="K4542">
        <v>9</v>
      </c>
      <c r="L4542">
        <v>0.3</v>
      </c>
      <c r="M4542">
        <v>-5.4801000000000002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148.47999999999999</v>
      </c>
      <c r="K4543">
        <v>2</v>
      </c>
      <c r="L4543">
        <v>0.2</v>
      </c>
      <c r="M4543">
        <v>16.704000000000001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35</v>
      </c>
      <c r="I4544" t="s">
        <v>36</v>
      </c>
      <c r="J4544">
        <v>537.54399999999998</v>
      </c>
      <c r="K4544">
        <v>7</v>
      </c>
      <c r="L4544">
        <v>0.2</v>
      </c>
      <c r="M4544">
        <v>53.754399999999997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37</v>
      </c>
      <c r="J4545">
        <v>1.9279999999999999</v>
      </c>
      <c r="K4545">
        <v>2</v>
      </c>
      <c r="L4545">
        <v>0.8</v>
      </c>
      <c r="M4545">
        <v>-2.9883999999999999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26</v>
      </c>
      <c r="I4546" t="s">
        <v>34</v>
      </c>
      <c r="J4546">
        <v>6.9119999999999999</v>
      </c>
      <c r="K4546">
        <v>3</v>
      </c>
      <c r="L4546">
        <v>0.2</v>
      </c>
      <c r="M4546">
        <v>0.69120000000000004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19</v>
      </c>
      <c r="I4547" t="s">
        <v>33</v>
      </c>
      <c r="J4547">
        <v>7.76</v>
      </c>
      <c r="K4547">
        <v>1</v>
      </c>
      <c r="L4547">
        <v>0.6</v>
      </c>
      <c r="M4547">
        <v>-2.1339999999999999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35</v>
      </c>
      <c r="I4548" t="s">
        <v>36</v>
      </c>
      <c r="J4548">
        <v>659.16800000000001</v>
      </c>
      <c r="K4548">
        <v>4</v>
      </c>
      <c r="L4548">
        <v>0.2</v>
      </c>
      <c r="M4548">
        <v>49.437600000000003</v>
      </c>
    </row>
    <row r="4549" spans="1:13" x14ac:dyDescent="0.3">
      <c r="A4549" t="s">
        <v>62</v>
      </c>
      <c r="B4549" t="s">
        <v>14</v>
      </c>
      <c r="C4549" t="s">
        <v>15</v>
      </c>
      <c r="D4549" t="s">
        <v>169</v>
      </c>
      <c r="E4549" t="s">
        <v>127</v>
      </c>
      <c r="F4549">
        <v>6040</v>
      </c>
      <c r="G4549" t="s">
        <v>57</v>
      </c>
      <c r="H4549" t="s">
        <v>26</v>
      </c>
      <c r="I4549" t="s">
        <v>27</v>
      </c>
      <c r="J4549">
        <v>5.76</v>
      </c>
      <c r="K4549">
        <v>2</v>
      </c>
      <c r="L4549">
        <v>0</v>
      </c>
      <c r="M4549">
        <v>2.8224</v>
      </c>
    </row>
    <row r="4550" spans="1:13" x14ac:dyDescent="0.3">
      <c r="A4550" t="s">
        <v>28</v>
      </c>
      <c r="B4550" t="s">
        <v>22</v>
      </c>
      <c r="C4550" t="s">
        <v>15</v>
      </c>
      <c r="D4550" t="s">
        <v>23</v>
      </c>
      <c r="E4550" t="s">
        <v>24</v>
      </c>
      <c r="F4550">
        <v>90049</v>
      </c>
      <c r="G4550" t="s">
        <v>25</v>
      </c>
      <c r="H4550" t="s">
        <v>19</v>
      </c>
      <c r="I4550" t="s">
        <v>31</v>
      </c>
      <c r="J4550">
        <v>351.21600000000001</v>
      </c>
      <c r="K4550">
        <v>3</v>
      </c>
      <c r="L4550">
        <v>0.2</v>
      </c>
      <c r="M4550">
        <v>4.3902000000000001</v>
      </c>
    </row>
    <row r="4551" spans="1:13" x14ac:dyDescent="0.3">
      <c r="A4551" t="s">
        <v>28</v>
      </c>
      <c r="B4551" t="s">
        <v>14</v>
      </c>
      <c r="C4551" t="s">
        <v>15</v>
      </c>
      <c r="D4551" t="s">
        <v>52</v>
      </c>
      <c r="E4551" t="s">
        <v>24</v>
      </c>
      <c r="F4551">
        <v>94122</v>
      </c>
      <c r="G4551" t="s">
        <v>25</v>
      </c>
      <c r="H4551" t="s">
        <v>19</v>
      </c>
      <c r="I4551" t="s">
        <v>21</v>
      </c>
      <c r="J4551">
        <v>230.28</v>
      </c>
      <c r="K4551">
        <v>3</v>
      </c>
      <c r="L4551">
        <v>0.2</v>
      </c>
      <c r="M4551">
        <v>23.027999999999999</v>
      </c>
    </row>
    <row r="4552" spans="1:13" x14ac:dyDescent="0.3">
      <c r="A4552" t="s">
        <v>13</v>
      </c>
      <c r="B4552" t="s">
        <v>14</v>
      </c>
      <c r="C4552" t="s">
        <v>15</v>
      </c>
      <c r="D4552" t="s">
        <v>502</v>
      </c>
      <c r="E4552" t="s">
        <v>49</v>
      </c>
      <c r="F4552">
        <v>54601</v>
      </c>
      <c r="G4552" t="s">
        <v>47</v>
      </c>
      <c r="H4552" t="s">
        <v>26</v>
      </c>
      <c r="I4552" t="s">
        <v>37</v>
      </c>
      <c r="J4552">
        <v>56.82</v>
      </c>
      <c r="K4552">
        <v>3</v>
      </c>
      <c r="L4552">
        <v>0</v>
      </c>
      <c r="M4552">
        <v>28.41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77</v>
      </c>
      <c r="J4553">
        <v>31.56</v>
      </c>
      <c r="K4553">
        <v>4</v>
      </c>
      <c r="L4553">
        <v>0</v>
      </c>
      <c r="M4553">
        <v>14.202</v>
      </c>
    </row>
    <row r="4554" spans="1:13" x14ac:dyDescent="0.3">
      <c r="A4554" t="s">
        <v>62</v>
      </c>
      <c r="B4554" t="s">
        <v>14</v>
      </c>
      <c r="C4554" t="s">
        <v>15</v>
      </c>
      <c r="D4554" t="s">
        <v>242</v>
      </c>
      <c r="E4554" t="s">
        <v>91</v>
      </c>
      <c r="F4554">
        <v>29501</v>
      </c>
      <c r="G4554" t="s">
        <v>18</v>
      </c>
      <c r="H4554" t="s">
        <v>26</v>
      </c>
      <c r="I4554" t="s">
        <v>32</v>
      </c>
      <c r="J4554">
        <v>27.92</v>
      </c>
      <c r="K4554">
        <v>4</v>
      </c>
      <c r="L4554">
        <v>0</v>
      </c>
      <c r="M4554">
        <v>0.55840000000000001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305</v>
      </c>
      <c r="E4555" t="s">
        <v>81</v>
      </c>
      <c r="F4555">
        <v>85301</v>
      </c>
      <c r="G4555" t="s">
        <v>25</v>
      </c>
      <c r="H4555" t="s">
        <v>26</v>
      </c>
      <c r="I4555" t="s">
        <v>37</v>
      </c>
      <c r="J4555">
        <v>8.5589999999999993</v>
      </c>
      <c r="K4555">
        <v>1</v>
      </c>
      <c r="L4555">
        <v>0.7</v>
      </c>
      <c r="M4555">
        <v>-6.5618999999999996</v>
      </c>
    </row>
    <row r="4556" spans="1:13" x14ac:dyDescent="0.3">
      <c r="A4556" t="s">
        <v>28</v>
      </c>
      <c r="B4556" t="s">
        <v>22</v>
      </c>
      <c r="C4556" t="s">
        <v>15</v>
      </c>
      <c r="D4556" t="s">
        <v>321</v>
      </c>
      <c r="E4556" t="s">
        <v>46</v>
      </c>
      <c r="F4556">
        <v>79907</v>
      </c>
      <c r="G4556" t="s">
        <v>47</v>
      </c>
      <c r="H4556" t="s">
        <v>26</v>
      </c>
      <c r="I4556" t="s">
        <v>60</v>
      </c>
      <c r="J4556">
        <v>49.567999999999998</v>
      </c>
      <c r="K4556">
        <v>2</v>
      </c>
      <c r="L4556">
        <v>0.2</v>
      </c>
      <c r="M4556">
        <v>17.968399999999999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122</v>
      </c>
      <c r="E4557" t="s">
        <v>46</v>
      </c>
      <c r="F4557">
        <v>78207</v>
      </c>
      <c r="G4557" t="s">
        <v>47</v>
      </c>
      <c r="H4557" t="s">
        <v>19</v>
      </c>
      <c r="I4557" t="s">
        <v>21</v>
      </c>
      <c r="J4557">
        <v>127.869</v>
      </c>
      <c r="K4557">
        <v>3</v>
      </c>
      <c r="L4557">
        <v>0.3</v>
      </c>
      <c r="M4557">
        <v>-9.1334999999999997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26</v>
      </c>
      <c r="I4558" t="s">
        <v>60</v>
      </c>
      <c r="J4558">
        <v>271.44</v>
      </c>
      <c r="K4558">
        <v>3</v>
      </c>
      <c r="L4558">
        <v>0</v>
      </c>
      <c r="M4558">
        <v>122.148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35</v>
      </c>
      <c r="I4559" t="s">
        <v>36</v>
      </c>
      <c r="J4559">
        <v>110.352</v>
      </c>
      <c r="K4559">
        <v>3</v>
      </c>
      <c r="L4559">
        <v>0.2</v>
      </c>
      <c r="M4559">
        <v>8.2764000000000006</v>
      </c>
    </row>
    <row r="4560" spans="1:13" x14ac:dyDescent="0.3">
      <c r="A4560" t="s">
        <v>13</v>
      </c>
      <c r="B4560" t="s">
        <v>22</v>
      </c>
      <c r="C4560" t="s">
        <v>15</v>
      </c>
      <c r="D4560" t="s">
        <v>23</v>
      </c>
      <c r="E4560" t="s">
        <v>24</v>
      </c>
      <c r="F4560">
        <v>90049</v>
      </c>
      <c r="G4560" t="s">
        <v>25</v>
      </c>
      <c r="H4560" t="s">
        <v>19</v>
      </c>
      <c r="I4560" t="s">
        <v>33</v>
      </c>
      <c r="J4560">
        <v>36.4</v>
      </c>
      <c r="K4560">
        <v>5</v>
      </c>
      <c r="L4560">
        <v>0</v>
      </c>
      <c r="M4560">
        <v>13.832000000000001</v>
      </c>
    </row>
    <row r="4561" spans="1:13" x14ac:dyDescent="0.3">
      <c r="A4561" t="s">
        <v>28</v>
      </c>
      <c r="B4561" t="s">
        <v>44</v>
      </c>
      <c r="C4561" t="s">
        <v>15</v>
      </c>
      <c r="D4561" t="s">
        <v>478</v>
      </c>
      <c r="E4561" t="s">
        <v>30</v>
      </c>
      <c r="F4561">
        <v>33023</v>
      </c>
      <c r="G4561" t="s">
        <v>18</v>
      </c>
      <c r="H4561" t="s">
        <v>19</v>
      </c>
      <c r="I4561" t="s">
        <v>21</v>
      </c>
      <c r="J4561">
        <v>419.13600000000002</v>
      </c>
      <c r="K4561">
        <v>4</v>
      </c>
      <c r="L4561">
        <v>0.2</v>
      </c>
      <c r="M4561">
        <v>-57.6312</v>
      </c>
    </row>
    <row r="4562" spans="1:13" x14ac:dyDescent="0.3">
      <c r="A4562" t="s">
        <v>28</v>
      </c>
      <c r="B4562" t="s">
        <v>22</v>
      </c>
      <c r="C4562" t="s">
        <v>15</v>
      </c>
      <c r="D4562" t="s">
        <v>206</v>
      </c>
      <c r="E4562" t="s">
        <v>81</v>
      </c>
      <c r="F4562">
        <v>85204</v>
      </c>
      <c r="G4562" t="s">
        <v>25</v>
      </c>
      <c r="H4562" t="s">
        <v>26</v>
      </c>
      <c r="I4562" t="s">
        <v>32</v>
      </c>
      <c r="J4562">
        <v>100.70399999999999</v>
      </c>
      <c r="K4562">
        <v>6</v>
      </c>
      <c r="L4562">
        <v>0.2</v>
      </c>
      <c r="M4562">
        <v>-1.2587999999999999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38</v>
      </c>
      <c r="J4563">
        <v>45.216000000000001</v>
      </c>
      <c r="K4563">
        <v>3</v>
      </c>
      <c r="L4563">
        <v>0.2</v>
      </c>
      <c r="M4563">
        <v>4.5216000000000003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37</v>
      </c>
      <c r="J4564">
        <v>28.782</v>
      </c>
      <c r="K4564">
        <v>6</v>
      </c>
      <c r="L4564">
        <v>0.7</v>
      </c>
      <c r="M4564">
        <v>-21.1068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196</v>
      </c>
      <c r="E4565" t="s">
        <v>40</v>
      </c>
      <c r="F4565">
        <v>28314</v>
      </c>
      <c r="G4565" t="s">
        <v>18</v>
      </c>
      <c r="H4565" t="s">
        <v>26</v>
      </c>
      <c r="I4565" t="s">
        <v>41</v>
      </c>
      <c r="J4565">
        <v>24.448</v>
      </c>
      <c r="K4565">
        <v>4</v>
      </c>
      <c r="L4565">
        <v>0.2</v>
      </c>
      <c r="M4565">
        <v>8.8623999999999992</v>
      </c>
    </row>
    <row r="4566" spans="1:13" x14ac:dyDescent="0.3">
      <c r="A4566" t="s">
        <v>28</v>
      </c>
      <c r="B4566" t="s">
        <v>14</v>
      </c>
      <c r="C4566" t="s">
        <v>15</v>
      </c>
      <c r="D4566" t="s">
        <v>61</v>
      </c>
      <c r="E4566" t="s">
        <v>46</v>
      </c>
      <c r="F4566">
        <v>77095</v>
      </c>
      <c r="G4566" t="s">
        <v>47</v>
      </c>
      <c r="H4566" t="s">
        <v>26</v>
      </c>
      <c r="I4566" t="s">
        <v>37</v>
      </c>
      <c r="J4566">
        <v>10.476000000000001</v>
      </c>
      <c r="K4566">
        <v>6</v>
      </c>
      <c r="L4566">
        <v>0.8</v>
      </c>
      <c r="M4566">
        <v>-17.285399999999999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117</v>
      </c>
      <c r="E4567" t="s">
        <v>24</v>
      </c>
      <c r="F4567">
        <v>95123</v>
      </c>
      <c r="G4567" t="s">
        <v>25</v>
      </c>
      <c r="H4567" t="s">
        <v>19</v>
      </c>
      <c r="I4567" t="s">
        <v>33</v>
      </c>
      <c r="J4567">
        <v>76.14</v>
      </c>
      <c r="K4567">
        <v>3</v>
      </c>
      <c r="L4567">
        <v>0</v>
      </c>
      <c r="M4567">
        <v>26.649000000000001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34</v>
      </c>
      <c r="J4568">
        <v>21.24</v>
      </c>
      <c r="K4568">
        <v>3</v>
      </c>
      <c r="L4568">
        <v>0</v>
      </c>
      <c r="M4568">
        <v>8.0711999999999993</v>
      </c>
    </row>
    <row r="4569" spans="1:13" x14ac:dyDescent="0.3">
      <c r="A4569" t="s">
        <v>13</v>
      </c>
      <c r="B4569" t="s">
        <v>44</v>
      </c>
      <c r="C4569" t="s">
        <v>15</v>
      </c>
      <c r="D4569" t="s">
        <v>481</v>
      </c>
      <c r="E4569" t="s">
        <v>336</v>
      </c>
      <c r="F4569">
        <v>67212</v>
      </c>
      <c r="G4569" t="s">
        <v>47</v>
      </c>
      <c r="H4569" t="s">
        <v>26</v>
      </c>
      <c r="I4569" t="s">
        <v>37</v>
      </c>
      <c r="J4569">
        <v>127.96</v>
      </c>
      <c r="K4569">
        <v>2</v>
      </c>
      <c r="L4569">
        <v>0</v>
      </c>
      <c r="M4569">
        <v>60.141199999999998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23</v>
      </c>
      <c r="E4570" t="s">
        <v>24</v>
      </c>
      <c r="F4570">
        <v>90036</v>
      </c>
      <c r="G4570" t="s">
        <v>25</v>
      </c>
      <c r="H4570" t="s">
        <v>35</v>
      </c>
      <c r="I4570" t="s">
        <v>162</v>
      </c>
      <c r="J4570">
        <v>479.98399999999998</v>
      </c>
      <c r="K4570">
        <v>2</v>
      </c>
      <c r="L4570">
        <v>0.2</v>
      </c>
      <c r="M4570">
        <v>89.997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35</v>
      </c>
      <c r="I4571" t="s">
        <v>36</v>
      </c>
      <c r="J4571">
        <v>657.93</v>
      </c>
      <c r="K4571">
        <v>7</v>
      </c>
      <c r="L4571">
        <v>0</v>
      </c>
      <c r="M4571">
        <v>184.22040000000001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19</v>
      </c>
      <c r="I4572" t="s">
        <v>33</v>
      </c>
      <c r="J4572">
        <v>33.479999999999997</v>
      </c>
      <c r="K4572">
        <v>4</v>
      </c>
      <c r="L4572">
        <v>0</v>
      </c>
      <c r="M4572">
        <v>8.7048000000000005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34</v>
      </c>
      <c r="J4573">
        <v>13.9</v>
      </c>
      <c r="K4573">
        <v>5</v>
      </c>
      <c r="L4573">
        <v>0</v>
      </c>
      <c r="M4573">
        <v>3.6139999999999999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84</v>
      </c>
      <c r="E4574" t="s">
        <v>70</v>
      </c>
      <c r="F4574">
        <v>49201</v>
      </c>
      <c r="G4574" t="s">
        <v>47</v>
      </c>
      <c r="H4574" t="s">
        <v>26</v>
      </c>
      <c r="I4574" t="s">
        <v>32</v>
      </c>
      <c r="J4574">
        <v>26.86</v>
      </c>
      <c r="K4574">
        <v>2</v>
      </c>
      <c r="L4574">
        <v>0</v>
      </c>
      <c r="M4574">
        <v>6.7149999999999999</v>
      </c>
    </row>
    <row r="4575" spans="1:13" x14ac:dyDescent="0.3">
      <c r="A4575" t="s">
        <v>28</v>
      </c>
      <c r="B4575" t="s">
        <v>14</v>
      </c>
      <c r="C4575" t="s">
        <v>15</v>
      </c>
      <c r="D4575" t="s">
        <v>503</v>
      </c>
      <c r="E4575" t="s">
        <v>437</v>
      </c>
      <c r="F4575">
        <v>83501</v>
      </c>
      <c r="G4575" t="s">
        <v>25</v>
      </c>
      <c r="H4575" t="s">
        <v>26</v>
      </c>
      <c r="I4575" t="s">
        <v>37</v>
      </c>
      <c r="J4575">
        <v>9.5839999999999996</v>
      </c>
      <c r="K4575">
        <v>1</v>
      </c>
      <c r="L4575">
        <v>0.2</v>
      </c>
      <c r="M4575">
        <v>3.3544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500</v>
      </c>
      <c r="E4576" t="s">
        <v>83</v>
      </c>
      <c r="F4576">
        <v>23666</v>
      </c>
      <c r="G4576" t="s">
        <v>18</v>
      </c>
      <c r="H4576" t="s">
        <v>26</v>
      </c>
      <c r="I4576" t="s">
        <v>37</v>
      </c>
      <c r="J4576">
        <v>113.1</v>
      </c>
      <c r="K4576">
        <v>3</v>
      </c>
      <c r="L4576">
        <v>0</v>
      </c>
      <c r="M4576">
        <v>56.55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75</v>
      </c>
      <c r="E4577" t="s">
        <v>76</v>
      </c>
      <c r="F4577">
        <v>10035</v>
      </c>
      <c r="G4577" t="s">
        <v>57</v>
      </c>
      <c r="H4577" t="s">
        <v>26</v>
      </c>
      <c r="I4577" t="s">
        <v>41</v>
      </c>
      <c r="J4577">
        <v>65.78</v>
      </c>
      <c r="K4577">
        <v>11</v>
      </c>
      <c r="L4577">
        <v>0</v>
      </c>
      <c r="M4577">
        <v>32.232199999999999</v>
      </c>
    </row>
    <row r="4578" spans="1:13" x14ac:dyDescent="0.3">
      <c r="A4578" t="s">
        <v>28</v>
      </c>
      <c r="B4578" t="s">
        <v>22</v>
      </c>
      <c r="C4578" t="s">
        <v>15</v>
      </c>
      <c r="D4578" t="s">
        <v>504</v>
      </c>
      <c r="E4578" t="s">
        <v>185</v>
      </c>
      <c r="F4578">
        <v>39401</v>
      </c>
      <c r="G4578" t="s">
        <v>18</v>
      </c>
      <c r="H4578" t="s">
        <v>35</v>
      </c>
      <c r="I4578" t="s">
        <v>59</v>
      </c>
      <c r="J4578">
        <v>239.7</v>
      </c>
      <c r="K4578">
        <v>6</v>
      </c>
      <c r="L4578">
        <v>0</v>
      </c>
      <c r="M4578">
        <v>105.468</v>
      </c>
    </row>
    <row r="4579" spans="1:13" x14ac:dyDescent="0.3">
      <c r="A4579" t="s">
        <v>62</v>
      </c>
      <c r="B4579" t="s">
        <v>44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19</v>
      </c>
      <c r="I4579" t="s">
        <v>33</v>
      </c>
      <c r="J4579">
        <v>25.632000000000001</v>
      </c>
      <c r="K4579">
        <v>3</v>
      </c>
      <c r="L4579">
        <v>0.2</v>
      </c>
      <c r="M4579">
        <v>3.8448000000000002</v>
      </c>
    </row>
    <row r="4580" spans="1:13" x14ac:dyDescent="0.3">
      <c r="A4580" t="s">
        <v>62</v>
      </c>
      <c r="B4580" t="s">
        <v>14</v>
      </c>
      <c r="C4580" t="s">
        <v>15</v>
      </c>
      <c r="D4580" t="s">
        <v>55</v>
      </c>
      <c r="E4580" t="s">
        <v>56</v>
      </c>
      <c r="F4580">
        <v>19140</v>
      </c>
      <c r="G4580" t="s">
        <v>57</v>
      </c>
      <c r="H4580" t="s">
        <v>26</v>
      </c>
      <c r="I4580" t="s">
        <v>27</v>
      </c>
      <c r="J4580">
        <v>23.616</v>
      </c>
      <c r="K4580">
        <v>8</v>
      </c>
      <c r="L4580">
        <v>0.2</v>
      </c>
      <c r="M4580">
        <v>7.9703999999999997</v>
      </c>
    </row>
    <row r="4581" spans="1:13" x14ac:dyDescent="0.3">
      <c r="A4581" t="s">
        <v>13</v>
      </c>
      <c r="B4581" t="s">
        <v>22</v>
      </c>
      <c r="C4581" t="s">
        <v>15</v>
      </c>
      <c r="D4581" t="s">
        <v>23</v>
      </c>
      <c r="E4581" t="s">
        <v>24</v>
      </c>
      <c r="F4581">
        <v>90045</v>
      </c>
      <c r="G4581" t="s">
        <v>25</v>
      </c>
      <c r="H4581" t="s">
        <v>26</v>
      </c>
      <c r="I4581" t="s">
        <v>34</v>
      </c>
      <c r="J4581">
        <v>8.26</v>
      </c>
      <c r="K4581">
        <v>2</v>
      </c>
      <c r="L4581">
        <v>0</v>
      </c>
      <c r="M4581">
        <v>3.7995999999999999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60</v>
      </c>
      <c r="J4582">
        <v>76.58</v>
      </c>
      <c r="K4582">
        <v>7</v>
      </c>
      <c r="L4582">
        <v>0</v>
      </c>
      <c r="M4582">
        <v>38.29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34</v>
      </c>
      <c r="J4583">
        <v>8.8000000000000007</v>
      </c>
      <c r="K4583">
        <v>5</v>
      </c>
      <c r="L4583">
        <v>0</v>
      </c>
      <c r="M4583">
        <v>4.2240000000000002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37</v>
      </c>
      <c r="J4584">
        <v>590.35199999999998</v>
      </c>
      <c r="K4584">
        <v>6</v>
      </c>
      <c r="L4584">
        <v>0.2</v>
      </c>
      <c r="M4584">
        <v>206.6232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26</v>
      </c>
      <c r="I4585" t="s">
        <v>77</v>
      </c>
      <c r="J4585">
        <v>5.58</v>
      </c>
      <c r="K4585">
        <v>3</v>
      </c>
      <c r="L4585">
        <v>0</v>
      </c>
      <c r="M4585">
        <v>0.16739999999999999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19</v>
      </c>
      <c r="I4586" t="s">
        <v>33</v>
      </c>
      <c r="J4586">
        <v>25.02</v>
      </c>
      <c r="K4586">
        <v>3</v>
      </c>
      <c r="L4586">
        <v>0</v>
      </c>
      <c r="M4586">
        <v>10.5084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32</v>
      </c>
      <c r="J4587">
        <v>452.55</v>
      </c>
      <c r="K4587">
        <v>7</v>
      </c>
      <c r="L4587">
        <v>0</v>
      </c>
      <c r="M4587">
        <v>22.627500000000001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26</v>
      </c>
      <c r="I4588" t="s">
        <v>110</v>
      </c>
      <c r="J4588">
        <v>17.760000000000002</v>
      </c>
      <c r="K4588">
        <v>2</v>
      </c>
      <c r="L4588">
        <v>0</v>
      </c>
      <c r="M4588">
        <v>4.9728000000000003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35</v>
      </c>
      <c r="I4589" t="s">
        <v>36</v>
      </c>
      <c r="J4589">
        <v>302.38400000000001</v>
      </c>
      <c r="K4589">
        <v>2</v>
      </c>
      <c r="L4589">
        <v>0.2</v>
      </c>
      <c r="M4589">
        <v>30.238399999999999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19</v>
      </c>
      <c r="I4590" t="s">
        <v>21</v>
      </c>
      <c r="J4590">
        <v>146.352</v>
      </c>
      <c r="K4590">
        <v>3</v>
      </c>
      <c r="L4590">
        <v>0.2</v>
      </c>
      <c r="M4590">
        <v>-5.4882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26</v>
      </c>
      <c r="I4591" t="s">
        <v>38</v>
      </c>
      <c r="J4591">
        <v>7.9</v>
      </c>
      <c r="K4591">
        <v>2</v>
      </c>
      <c r="L4591">
        <v>0</v>
      </c>
      <c r="M4591">
        <v>2.0539999999999998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19</v>
      </c>
      <c r="I4592" t="s">
        <v>31</v>
      </c>
      <c r="J4592">
        <v>902.71199999999999</v>
      </c>
      <c r="K4592">
        <v>3</v>
      </c>
      <c r="L4592">
        <v>0.2</v>
      </c>
      <c r="M4592">
        <v>33.851700000000001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26</v>
      </c>
      <c r="I4593" t="s">
        <v>34</v>
      </c>
      <c r="J4593">
        <v>53.97</v>
      </c>
      <c r="K4593">
        <v>3</v>
      </c>
      <c r="L4593">
        <v>0</v>
      </c>
      <c r="M4593">
        <v>15.111599999999999</v>
      </c>
    </row>
    <row r="4594" spans="1:13" x14ac:dyDescent="0.3">
      <c r="A4594" t="s">
        <v>13</v>
      </c>
      <c r="B4594" t="s">
        <v>44</v>
      </c>
      <c r="C4594" t="s">
        <v>15</v>
      </c>
      <c r="D4594" t="s">
        <v>43</v>
      </c>
      <c r="E4594" t="s">
        <v>261</v>
      </c>
      <c r="F4594">
        <v>20016</v>
      </c>
      <c r="G4594" t="s">
        <v>57</v>
      </c>
      <c r="H4594" t="s">
        <v>26</v>
      </c>
      <c r="I4594" t="s">
        <v>34</v>
      </c>
      <c r="J4594">
        <v>33.92</v>
      </c>
      <c r="K4594">
        <v>8</v>
      </c>
      <c r="L4594">
        <v>0</v>
      </c>
      <c r="M4594">
        <v>13.2288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110</v>
      </c>
      <c r="J4595">
        <v>21.81</v>
      </c>
      <c r="K4595">
        <v>3</v>
      </c>
      <c r="L4595">
        <v>0</v>
      </c>
      <c r="M4595">
        <v>5.8887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241</v>
      </c>
      <c r="E4596" t="s">
        <v>49</v>
      </c>
      <c r="F4596">
        <v>53209</v>
      </c>
      <c r="G4596" t="s">
        <v>47</v>
      </c>
      <c r="H4596" t="s">
        <v>26</v>
      </c>
      <c r="I4596" t="s">
        <v>38</v>
      </c>
      <c r="J4596">
        <v>91.6</v>
      </c>
      <c r="K4596">
        <v>5</v>
      </c>
      <c r="L4596">
        <v>0</v>
      </c>
      <c r="M4596">
        <v>26.564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19</v>
      </c>
      <c r="I4597" t="s">
        <v>21</v>
      </c>
      <c r="J4597">
        <v>150.97999999999999</v>
      </c>
      <c r="K4597">
        <v>1</v>
      </c>
      <c r="L4597">
        <v>0</v>
      </c>
      <c r="M4597">
        <v>43.784199999999998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60</v>
      </c>
      <c r="J4598">
        <v>137.25</v>
      </c>
      <c r="K4598">
        <v>9</v>
      </c>
      <c r="L4598">
        <v>0</v>
      </c>
      <c r="M4598">
        <v>63.134999999999998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333</v>
      </c>
      <c r="E4599" t="s">
        <v>248</v>
      </c>
      <c r="F4599">
        <v>21215</v>
      </c>
      <c r="G4599" t="s">
        <v>57</v>
      </c>
      <c r="H4599" t="s">
        <v>26</v>
      </c>
      <c r="I4599" t="s">
        <v>77</v>
      </c>
      <c r="J4599">
        <v>11.52</v>
      </c>
      <c r="K4599">
        <v>4</v>
      </c>
      <c r="L4599">
        <v>0</v>
      </c>
      <c r="M4599">
        <v>5.4143999999999997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18.271999999999998</v>
      </c>
      <c r="K4600">
        <v>1</v>
      </c>
      <c r="L4600">
        <v>0.2</v>
      </c>
      <c r="M4600">
        <v>5.9383999999999997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41</v>
      </c>
      <c r="J4601">
        <v>153.72800000000001</v>
      </c>
      <c r="K4601">
        <v>4</v>
      </c>
      <c r="L4601">
        <v>0.2</v>
      </c>
      <c r="M4601">
        <v>53.8048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26</v>
      </c>
      <c r="I4602" t="s">
        <v>60</v>
      </c>
      <c r="J4602">
        <v>12.224</v>
      </c>
      <c r="K4602">
        <v>2</v>
      </c>
      <c r="L4602">
        <v>0.2</v>
      </c>
      <c r="M4602">
        <v>4.4311999999999996</v>
      </c>
    </row>
    <row r="4603" spans="1:13" x14ac:dyDescent="0.3">
      <c r="A4603" t="s">
        <v>13</v>
      </c>
      <c r="B4603" t="s">
        <v>44</v>
      </c>
      <c r="C4603" t="s">
        <v>15</v>
      </c>
      <c r="D4603" t="s">
        <v>189</v>
      </c>
      <c r="E4603" t="s">
        <v>40</v>
      </c>
      <c r="F4603">
        <v>28540</v>
      </c>
      <c r="G4603" t="s">
        <v>18</v>
      </c>
      <c r="H4603" t="s">
        <v>35</v>
      </c>
      <c r="I4603" t="s">
        <v>59</v>
      </c>
      <c r="J4603">
        <v>167.94399999999999</v>
      </c>
      <c r="K4603">
        <v>7</v>
      </c>
      <c r="L4603">
        <v>0.2</v>
      </c>
      <c r="M4603">
        <v>50.383200000000002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35</v>
      </c>
      <c r="I4604" t="s">
        <v>36</v>
      </c>
      <c r="J4604">
        <v>45.99</v>
      </c>
      <c r="K4604">
        <v>1</v>
      </c>
      <c r="L4604">
        <v>0</v>
      </c>
      <c r="M4604">
        <v>13.3371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32</v>
      </c>
      <c r="J4605">
        <v>535.41</v>
      </c>
      <c r="K4605">
        <v>3</v>
      </c>
      <c r="L4605">
        <v>0</v>
      </c>
      <c r="M4605">
        <v>160.62299999999999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37</v>
      </c>
      <c r="J4606">
        <v>6.0960000000000001</v>
      </c>
      <c r="K4606">
        <v>2</v>
      </c>
      <c r="L4606">
        <v>0.2</v>
      </c>
      <c r="M4606">
        <v>2.0573999999999999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92</v>
      </c>
      <c r="E4607" t="s">
        <v>76</v>
      </c>
      <c r="F4607">
        <v>14609</v>
      </c>
      <c r="G4607" t="s">
        <v>57</v>
      </c>
      <c r="H4607" t="s">
        <v>26</v>
      </c>
      <c r="I4607" t="s">
        <v>41</v>
      </c>
      <c r="J4607">
        <v>45.36</v>
      </c>
      <c r="K4607">
        <v>7</v>
      </c>
      <c r="L4607">
        <v>0</v>
      </c>
      <c r="M4607">
        <v>21.7728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230</v>
      </c>
      <c r="E4608" t="s">
        <v>24</v>
      </c>
      <c r="F4608">
        <v>92054</v>
      </c>
      <c r="G4608" t="s">
        <v>25</v>
      </c>
      <c r="H4608" t="s">
        <v>19</v>
      </c>
      <c r="I4608" t="s">
        <v>33</v>
      </c>
      <c r="J4608">
        <v>47.12</v>
      </c>
      <c r="K4608">
        <v>8</v>
      </c>
      <c r="L4608">
        <v>0</v>
      </c>
      <c r="M4608">
        <v>20.732800000000001</v>
      </c>
    </row>
    <row r="4609" spans="1:13" x14ac:dyDescent="0.3">
      <c r="A4609" t="s">
        <v>13</v>
      </c>
      <c r="B4609" t="s">
        <v>22</v>
      </c>
      <c r="C4609" t="s">
        <v>15</v>
      </c>
      <c r="D4609" t="s">
        <v>285</v>
      </c>
      <c r="E4609" t="s">
        <v>185</v>
      </c>
      <c r="F4609">
        <v>39503</v>
      </c>
      <c r="G4609" t="s">
        <v>18</v>
      </c>
      <c r="H4609" t="s">
        <v>26</v>
      </c>
      <c r="I4609" t="s">
        <v>37</v>
      </c>
      <c r="J4609">
        <v>31.36</v>
      </c>
      <c r="K4609">
        <v>4</v>
      </c>
      <c r="L4609">
        <v>0</v>
      </c>
      <c r="M4609">
        <v>15.68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34</v>
      </c>
      <c r="J4610">
        <v>47.616</v>
      </c>
      <c r="K4610">
        <v>3</v>
      </c>
      <c r="L4610">
        <v>0.2</v>
      </c>
      <c r="M4610">
        <v>3.5712000000000002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189</v>
      </c>
      <c r="E4611" t="s">
        <v>30</v>
      </c>
      <c r="F4611">
        <v>32216</v>
      </c>
      <c r="G4611" t="s">
        <v>18</v>
      </c>
      <c r="H4611" t="s">
        <v>26</v>
      </c>
      <c r="I4611" t="s">
        <v>41</v>
      </c>
      <c r="J4611">
        <v>23.48</v>
      </c>
      <c r="K4611">
        <v>5</v>
      </c>
      <c r="L4611">
        <v>0.2</v>
      </c>
      <c r="M4611">
        <v>8.218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38</v>
      </c>
      <c r="J4612">
        <v>62.79</v>
      </c>
      <c r="K4612">
        <v>3</v>
      </c>
      <c r="L4612">
        <v>0.8</v>
      </c>
      <c r="M4612">
        <v>-166.39349999999999</v>
      </c>
    </row>
    <row r="4613" spans="1:13" x14ac:dyDescent="0.3">
      <c r="A4613" t="s">
        <v>28</v>
      </c>
      <c r="B4613" t="s">
        <v>44</v>
      </c>
      <c r="C4613" t="s">
        <v>15</v>
      </c>
      <c r="D4613" t="s">
        <v>61</v>
      </c>
      <c r="E4613" t="s">
        <v>46</v>
      </c>
      <c r="F4613">
        <v>77070</v>
      </c>
      <c r="G4613" t="s">
        <v>47</v>
      </c>
      <c r="H4613" t="s">
        <v>26</v>
      </c>
      <c r="I4613" t="s">
        <v>77</v>
      </c>
      <c r="J4613">
        <v>28.44</v>
      </c>
      <c r="K4613">
        <v>9</v>
      </c>
      <c r="L4613">
        <v>0.2</v>
      </c>
      <c r="M4613">
        <v>4.266</v>
      </c>
    </row>
    <row r="4614" spans="1:13" x14ac:dyDescent="0.3">
      <c r="A4614" t="s">
        <v>13</v>
      </c>
      <c r="B4614" t="s">
        <v>22</v>
      </c>
      <c r="C4614" t="s">
        <v>15</v>
      </c>
      <c r="D4614" t="s">
        <v>61</v>
      </c>
      <c r="E4614" t="s">
        <v>46</v>
      </c>
      <c r="F4614">
        <v>77095</v>
      </c>
      <c r="G4614" t="s">
        <v>47</v>
      </c>
      <c r="H4614" t="s">
        <v>35</v>
      </c>
      <c r="I4614" t="s">
        <v>59</v>
      </c>
      <c r="J4614">
        <v>134.376</v>
      </c>
      <c r="K4614">
        <v>3</v>
      </c>
      <c r="L4614">
        <v>0.2</v>
      </c>
      <c r="M4614">
        <v>6.7187999999999999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35</v>
      </c>
      <c r="I4615" t="s">
        <v>36</v>
      </c>
      <c r="J4615">
        <v>589.9</v>
      </c>
      <c r="K4615">
        <v>2</v>
      </c>
      <c r="L4615">
        <v>0</v>
      </c>
      <c r="M4615">
        <v>147.47499999999999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316</v>
      </c>
      <c r="E4616" t="s">
        <v>166</v>
      </c>
      <c r="F4616">
        <v>2149</v>
      </c>
      <c r="G4616" t="s">
        <v>57</v>
      </c>
      <c r="H4616" t="s">
        <v>19</v>
      </c>
      <c r="I4616" t="s">
        <v>21</v>
      </c>
      <c r="J4616">
        <v>542.94000000000005</v>
      </c>
      <c r="K4616">
        <v>3</v>
      </c>
      <c r="L4616">
        <v>0</v>
      </c>
      <c r="M4616">
        <v>141.1644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35</v>
      </c>
      <c r="I4617" t="s">
        <v>162</v>
      </c>
      <c r="J4617">
        <v>2879.9520000000002</v>
      </c>
      <c r="K4617">
        <v>6</v>
      </c>
      <c r="L4617">
        <v>0.2</v>
      </c>
      <c r="M4617">
        <v>1007.9832</v>
      </c>
    </row>
    <row r="4618" spans="1:13" x14ac:dyDescent="0.3">
      <c r="A4618" t="s">
        <v>62</v>
      </c>
      <c r="B4618" t="s">
        <v>44</v>
      </c>
      <c r="C4618" t="s">
        <v>15</v>
      </c>
      <c r="D4618" t="s">
        <v>23</v>
      </c>
      <c r="E4618" t="s">
        <v>24</v>
      </c>
      <c r="F4618">
        <v>90049</v>
      </c>
      <c r="G4618" t="s">
        <v>25</v>
      </c>
      <c r="H4618" t="s">
        <v>26</v>
      </c>
      <c r="I4618" t="s">
        <v>37</v>
      </c>
      <c r="J4618">
        <v>90.48</v>
      </c>
      <c r="K4618">
        <v>3</v>
      </c>
      <c r="L4618">
        <v>0.2</v>
      </c>
      <c r="M4618">
        <v>33.93</v>
      </c>
    </row>
    <row r="4619" spans="1:13" x14ac:dyDescent="0.3">
      <c r="A4619" t="s">
        <v>13</v>
      </c>
      <c r="B4619" t="s">
        <v>22</v>
      </c>
      <c r="C4619" t="s">
        <v>15</v>
      </c>
      <c r="D4619" t="s">
        <v>106</v>
      </c>
      <c r="E4619" t="s">
        <v>72</v>
      </c>
      <c r="F4619">
        <v>19805</v>
      </c>
      <c r="G4619" t="s">
        <v>57</v>
      </c>
      <c r="H4619" t="s">
        <v>26</v>
      </c>
      <c r="I4619" t="s">
        <v>32</v>
      </c>
      <c r="J4619">
        <v>77.55</v>
      </c>
      <c r="K4619">
        <v>5</v>
      </c>
      <c r="L4619">
        <v>0</v>
      </c>
      <c r="M4619">
        <v>21.713999999999999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110</v>
      </c>
      <c r="J4620">
        <v>8.8320000000000007</v>
      </c>
      <c r="K4620">
        <v>3</v>
      </c>
      <c r="L4620">
        <v>0.2</v>
      </c>
      <c r="M4620">
        <v>-1.9872000000000001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41</v>
      </c>
      <c r="J4621">
        <v>177.536</v>
      </c>
      <c r="K4621">
        <v>4</v>
      </c>
      <c r="L4621">
        <v>0.2</v>
      </c>
      <c r="M4621">
        <v>62.137599999999999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26</v>
      </c>
      <c r="I4622" t="s">
        <v>32</v>
      </c>
      <c r="J4622">
        <v>258.48</v>
      </c>
      <c r="K4622">
        <v>2</v>
      </c>
      <c r="L4622">
        <v>0.2</v>
      </c>
      <c r="M4622">
        <v>-3.2309999999999999</v>
      </c>
    </row>
    <row r="4623" spans="1:13" x14ac:dyDescent="0.3">
      <c r="A4623" t="s">
        <v>28</v>
      </c>
      <c r="B4623" t="s">
        <v>14</v>
      </c>
      <c r="C4623" t="s">
        <v>15</v>
      </c>
      <c r="D4623" t="s">
        <v>90</v>
      </c>
      <c r="E4623" t="s">
        <v>86</v>
      </c>
      <c r="F4623">
        <v>38401</v>
      </c>
      <c r="G4623" t="s">
        <v>18</v>
      </c>
      <c r="H4623" t="s">
        <v>19</v>
      </c>
      <c r="I4623" t="s">
        <v>33</v>
      </c>
      <c r="J4623">
        <v>14.135999999999999</v>
      </c>
      <c r="K4623">
        <v>3</v>
      </c>
      <c r="L4623">
        <v>0.2</v>
      </c>
      <c r="M4623">
        <v>4.2408000000000001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77.55</v>
      </c>
      <c r="K4624">
        <v>5</v>
      </c>
      <c r="L4624">
        <v>0</v>
      </c>
      <c r="M4624">
        <v>20.163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32</v>
      </c>
      <c r="J4625">
        <v>24.88</v>
      </c>
      <c r="K4625">
        <v>2</v>
      </c>
      <c r="L4625">
        <v>0</v>
      </c>
      <c r="M4625">
        <v>6.9664000000000001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34</v>
      </c>
      <c r="J4626">
        <v>140.75</v>
      </c>
      <c r="K4626">
        <v>5</v>
      </c>
      <c r="L4626">
        <v>0</v>
      </c>
      <c r="M4626">
        <v>39.409999999999997</v>
      </c>
    </row>
    <row r="4627" spans="1:13" x14ac:dyDescent="0.3">
      <c r="A4627" t="s">
        <v>28</v>
      </c>
      <c r="B4627" t="s">
        <v>22</v>
      </c>
      <c r="C4627" t="s">
        <v>15</v>
      </c>
      <c r="D4627" t="s">
        <v>75</v>
      </c>
      <c r="E4627" t="s">
        <v>76</v>
      </c>
      <c r="F4627">
        <v>10011</v>
      </c>
      <c r="G4627" t="s">
        <v>57</v>
      </c>
      <c r="H4627" t="s">
        <v>26</v>
      </c>
      <c r="I4627" t="s">
        <v>32</v>
      </c>
      <c r="J4627">
        <v>36.630000000000003</v>
      </c>
      <c r="K4627">
        <v>3</v>
      </c>
      <c r="L4627">
        <v>0</v>
      </c>
      <c r="M4627">
        <v>9.8901000000000003</v>
      </c>
    </row>
    <row r="4628" spans="1:13" x14ac:dyDescent="0.3">
      <c r="A4628" t="s">
        <v>168</v>
      </c>
      <c r="B4628" t="s">
        <v>14</v>
      </c>
      <c r="C4628" t="s">
        <v>15</v>
      </c>
      <c r="D4628" t="s">
        <v>429</v>
      </c>
      <c r="E4628" t="s">
        <v>70</v>
      </c>
      <c r="F4628">
        <v>48858</v>
      </c>
      <c r="G4628" t="s">
        <v>47</v>
      </c>
      <c r="H4628" t="s">
        <v>19</v>
      </c>
      <c r="I4628" t="s">
        <v>33</v>
      </c>
      <c r="J4628">
        <v>17.14</v>
      </c>
      <c r="K4628">
        <v>2</v>
      </c>
      <c r="L4628">
        <v>0</v>
      </c>
      <c r="M4628">
        <v>6.1703999999999999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26</v>
      </c>
      <c r="I4629" t="s">
        <v>27</v>
      </c>
      <c r="J4629">
        <v>51.75</v>
      </c>
      <c r="K4629">
        <v>5</v>
      </c>
      <c r="L4629">
        <v>0</v>
      </c>
      <c r="M4629">
        <v>24.84</v>
      </c>
    </row>
    <row r="4630" spans="1:13" x14ac:dyDescent="0.3">
      <c r="A4630" t="s">
        <v>13</v>
      </c>
      <c r="B4630" t="s">
        <v>14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33</v>
      </c>
      <c r="J4630">
        <v>123.96</v>
      </c>
      <c r="K4630">
        <v>3</v>
      </c>
      <c r="L4630">
        <v>0</v>
      </c>
      <c r="M4630">
        <v>11.1564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19</v>
      </c>
      <c r="I4631" t="s">
        <v>20</v>
      </c>
      <c r="J4631">
        <v>586.39800000000002</v>
      </c>
      <c r="K4631">
        <v>6</v>
      </c>
      <c r="L4631">
        <v>0.15</v>
      </c>
      <c r="M4631">
        <v>34.494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80.98</v>
      </c>
      <c r="K4632">
        <v>1</v>
      </c>
      <c r="L4632">
        <v>0</v>
      </c>
      <c r="M4632">
        <v>3.2391999999999999</v>
      </c>
    </row>
    <row r="4633" spans="1:13" x14ac:dyDescent="0.3">
      <c r="A4633" t="s">
        <v>28</v>
      </c>
      <c r="B4633" t="s">
        <v>22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32</v>
      </c>
      <c r="J4633">
        <v>242.94</v>
      </c>
      <c r="K4633">
        <v>3</v>
      </c>
      <c r="L4633">
        <v>0</v>
      </c>
      <c r="M4633">
        <v>9.7175999999999991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123.92</v>
      </c>
      <c r="K4634">
        <v>4</v>
      </c>
      <c r="L4634">
        <v>0</v>
      </c>
      <c r="M4634">
        <v>33.458399999999997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12.39</v>
      </c>
      <c r="K4635">
        <v>3</v>
      </c>
      <c r="L4635">
        <v>0</v>
      </c>
      <c r="M4635">
        <v>5.6993999999999998</v>
      </c>
    </row>
    <row r="4636" spans="1:13" x14ac:dyDescent="0.3">
      <c r="A4636" t="s">
        <v>62</v>
      </c>
      <c r="B4636" t="s">
        <v>14</v>
      </c>
      <c r="C4636" t="s">
        <v>15</v>
      </c>
      <c r="D4636" t="s">
        <v>23</v>
      </c>
      <c r="E4636" t="s">
        <v>24</v>
      </c>
      <c r="F4636">
        <v>90045</v>
      </c>
      <c r="G4636" t="s">
        <v>25</v>
      </c>
      <c r="H4636" t="s">
        <v>26</v>
      </c>
      <c r="I4636" t="s">
        <v>34</v>
      </c>
      <c r="J4636">
        <v>47.3</v>
      </c>
      <c r="K4636">
        <v>2</v>
      </c>
      <c r="L4636">
        <v>0</v>
      </c>
      <c r="M4636">
        <v>12.298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35</v>
      </c>
      <c r="I4637" t="s">
        <v>162</v>
      </c>
      <c r="J4637">
        <v>1599.92</v>
      </c>
      <c r="K4637">
        <v>8</v>
      </c>
      <c r="L4637">
        <v>0</v>
      </c>
      <c r="M4637">
        <v>751.9624</v>
      </c>
    </row>
    <row r="4638" spans="1:13" x14ac:dyDescent="0.3">
      <c r="A4638" t="s">
        <v>28</v>
      </c>
      <c r="B4638" t="s">
        <v>14</v>
      </c>
      <c r="C4638" t="s">
        <v>15</v>
      </c>
      <c r="D4638" t="s">
        <v>400</v>
      </c>
      <c r="E4638" t="s">
        <v>83</v>
      </c>
      <c r="F4638">
        <v>23602</v>
      </c>
      <c r="G4638" t="s">
        <v>18</v>
      </c>
      <c r="H4638" t="s">
        <v>26</v>
      </c>
      <c r="I4638" t="s">
        <v>60</v>
      </c>
      <c r="J4638">
        <v>11.09</v>
      </c>
      <c r="K4638">
        <v>1</v>
      </c>
      <c r="L4638">
        <v>0</v>
      </c>
      <c r="M4638">
        <v>5.4340999999999999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26</v>
      </c>
      <c r="I4639" t="s">
        <v>37</v>
      </c>
      <c r="J4639">
        <v>3.1680000000000001</v>
      </c>
      <c r="K4639">
        <v>4</v>
      </c>
      <c r="L4639">
        <v>0.7</v>
      </c>
      <c r="M4639">
        <v>-2.5344000000000002</v>
      </c>
    </row>
    <row r="4640" spans="1:13" x14ac:dyDescent="0.3">
      <c r="A4640" t="s">
        <v>13</v>
      </c>
      <c r="B4640" t="s">
        <v>14</v>
      </c>
      <c r="C4640" t="s">
        <v>15</v>
      </c>
      <c r="D4640" t="s">
        <v>388</v>
      </c>
      <c r="E4640" t="s">
        <v>98</v>
      </c>
      <c r="F4640">
        <v>80525</v>
      </c>
      <c r="G4640" t="s">
        <v>25</v>
      </c>
      <c r="H4640" t="s">
        <v>19</v>
      </c>
      <c r="I4640" t="s">
        <v>21</v>
      </c>
      <c r="J4640">
        <v>579.13599999999997</v>
      </c>
      <c r="K4640">
        <v>4</v>
      </c>
      <c r="L4640">
        <v>0.2</v>
      </c>
      <c r="M4640">
        <v>-28.956800000000001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26</v>
      </c>
      <c r="I4641" t="s">
        <v>37</v>
      </c>
      <c r="J4641">
        <v>6.3680000000000003</v>
      </c>
      <c r="K4641">
        <v>2</v>
      </c>
      <c r="L4641">
        <v>0.2</v>
      </c>
      <c r="M4641">
        <v>2.1492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42</v>
      </c>
      <c r="E4642" t="s">
        <v>43</v>
      </c>
      <c r="F4642">
        <v>98105</v>
      </c>
      <c r="G4642" t="s">
        <v>25</v>
      </c>
      <c r="H4642" t="s">
        <v>35</v>
      </c>
      <c r="I4642" t="s">
        <v>123</v>
      </c>
      <c r="J4642">
        <v>558.4</v>
      </c>
      <c r="K4642">
        <v>2</v>
      </c>
      <c r="L4642">
        <v>0.2</v>
      </c>
      <c r="M4642">
        <v>41.88</v>
      </c>
    </row>
    <row r="4643" spans="1:13" x14ac:dyDescent="0.3">
      <c r="A4643" t="s">
        <v>28</v>
      </c>
      <c r="B4643" t="s">
        <v>44</v>
      </c>
      <c r="C4643" t="s">
        <v>15</v>
      </c>
      <c r="D4643" t="s">
        <v>75</v>
      </c>
      <c r="E4643" t="s">
        <v>76</v>
      </c>
      <c r="F4643">
        <v>10011</v>
      </c>
      <c r="G4643" t="s">
        <v>57</v>
      </c>
      <c r="H4643" t="s">
        <v>19</v>
      </c>
      <c r="I4643" t="s">
        <v>21</v>
      </c>
      <c r="J4643">
        <v>145.76400000000001</v>
      </c>
      <c r="K4643">
        <v>2</v>
      </c>
      <c r="L4643">
        <v>0.1</v>
      </c>
      <c r="M4643">
        <v>-8.0980000000000008</v>
      </c>
    </row>
    <row r="4644" spans="1:13" x14ac:dyDescent="0.3">
      <c r="A4644" t="s">
        <v>28</v>
      </c>
      <c r="B4644" t="s">
        <v>22</v>
      </c>
      <c r="C4644" t="s">
        <v>15</v>
      </c>
      <c r="D4644" t="s">
        <v>182</v>
      </c>
      <c r="E4644" t="s">
        <v>83</v>
      </c>
      <c r="F4644">
        <v>23223</v>
      </c>
      <c r="G4644" t="s">
        <v>18</v>
      </c>
      <c r="H4644" t="s">
        <v>26</v>
      </c>
      <c r="I4644" t="s">
        <v>41</v>
      </c>
      <c r="J4644">
        <v>13.62</v>
      </c>
      <c r="K4644">
        <v>3</v>
      </c>
      <c r="L4644">
        <v>0</v>
      </c>
      <c r="M4644">
        <v>6.1289999999999996</v>
      </c>
    </row>
    <row r="4645" spans="1:13" x14ac:dyDescent="0.3">
      <c r="A4645" t="s">
        <v>28</v>
      </c>
      <c r="B4645" t="s">
        <v>44</v>
      </c>
      <c r="C4645" t="s">
        <v>15</v>
      </c>
      <c r="D4645" t="s">
        <v>75</v>
      </c>
      <c r="E4645" t="s">
        <v>76</v>
      </c>
      <c r="F4645">
        <v>10009</v>
      </c>
      <c r="G4645" t="s">
        <v>57</v>
      </c>
      <c r="H4645" t="s">
        <v>19</v>
      </c>
      <c r="I4645" t="s">
        <v>21</v>
      </c>
      <c r="J4645">
        <v>434.64600000000002</v>
      </c>
      <c r="K4645">
        <v>3</v>
      </c>
      <c r="L4645">
        <v>0.1</v>
      </c>
      <c r="M4645">
        <v>62.782200000000003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41</v>
      </c>
      <c r="J4646">
        <v>440.19</v>
      </c>
      <c r="K4646">
        <v>9</v>
      </c>
      <c r="L4646">
        <v>0</v>
      </c>
      <c r="M4646">
        <v>206.88929999999999</v>
      </c>
    </row>
    <row r="4647" spans="1:13" x14ac:dyDescent="0.3">
      <c r="A4647" t="s">
        <v>28</v>
      </c>
      <c r="B4647" t="s">
        <v>22</v>
      </c>
      <c r="C4647" t="s">
        <v>15</v>
      </c>
      <c r="D4647" t="s">
        <v>42</v>
      </c>
      <c r="E4647" t="s">
        <v>43</v>
      </c>
      <c r="F4647">
        <v>98103</v>
      </c>
      <c r="G4647" t="s">
        <v>25</v>
      </c>
      <c r="H4647" t="s">
        <v>26</v>
      </c>
      <c r="I4647" t="s">
        <v>110</v>
      </c>
      <c r="J4647">
        <v>64.400000000000006</v>
      </c>
      <c r="K4647">
        <v>5</v>
      </c>
      <c r="L4647">
        <v>0</v>
      </c>
      <c r="M4647">
        <v>1.9319999999999999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244.55</v>
      </c>
      <c r="K4648">
        <v>5</v>
      </c>
      <c r="L4648">
        <v>0</v>
      </c>
      <c r="M4648">
        <v>114.9385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52</v>
      </c>
      <c r="E4649" t="s">
        <v>24</v>
      </c>
      <c r="F4649">
        <v>94110</v>
      </c>
      <c r="G4649" t="s">
        <v>25</v>
      </c>
      <c r="H4649" t="s">
        <v>26</v>
      </c>
      <c r="I4649" t="s">
        <v>41</v>
      </c>
      <c r="J4649">
        <v>195.76</v>
      </c>
      <c r="K4649">
        <v>4</v>
      </c>
      <c r="L4649">
        <v>0</v>
      </c>
      <c r="M4649">
        <v>97.88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41</v>
      </c>
      <c r="J4650">
        <v>11.76</v>
      </c>
      <c r="K4650">
        <v>2</v>
      </c>
      <c r="L4650">
        <v>0</v>
      </c>
      <c r="M4650">
        <v>5.7624000000000004</v>
      </c>
    </row>
    <row r="4651" spans="1:13" x14ac:dyDescent="0.3">
      <c r="A4651" t="s">
        <v>28</v>
      </c>
      <c r="B4651" t="s">
        <v>44</v>
      </c>
      <c r="C4651" t="s">
        <v>15</v>
      </c>
      <c r="D4651" t="s">
        <v>361</v>
      </c>
      <c r="E4651" t="s">
        <v>132</v>
      </c>
      <c r="F4651">
        <v>8861</v>
      </c>
      <c r="G4651" t="s">
        <v>57</v>
      </c>
      <c r="H4651" t="s">
        <v>26</v>
      </c>
      <c r="I4651" t="s">
        <v>32</v>
      </c>
      <c r="J4651">
        <v>166.45</v>
      </c>
      <c r="K4651">
        <v>5</v>
      </c>
      <c r="L4651">
        <v>0</v>
      </c>
      <c r="M4651">
        <v>39.948</v>
      </c>
    </row>
    <row r="4652" spans="1:13" x14ac:dyDescent="0.3">
      <c r="A4652" t="s">
        <v>13</v>
      </c>
      <c r="B4652" t="s">
        <v>14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77</v>
      </c>
      <c r="J4652">
        <v>2.88</v>
      </c>
      <c r="K4652">
        <v>1</v>
      </c>
      <c r="L4652">
        <v>0</v>
      </c>
      <c r="M4652">
        <v>1.3535999999999999</v>
      </c>
    </row>
    <row r="4653" spans="1:13" x14ac:dyDescent="0.3">
      <c r="A4653" t="s">
        <v>28</v>
      </c>
      <c r="B4653" t="s">
        <v>22</v>
      </c>
      <c r="C4653" t="s">
        <v>15</v>
      </c>
      <c r="D4653" t="s">
        <v>295</v>
      </c>
      <c r="E4653" t="s">
        <v>65</v>
      </c>
      <c r="F4653">
        <v>61032</v>
      </c>
      <c r="G4653" t="s">
        <v>47</v>
      </c>
      <c r="H4653" t="s">
        <v>26</v>
      </c>
      <c r="I4653" t="s">
        <v>32</v>
      </c>
      <c r="J4653">
        <v>45.247999999999998</v>
      </c>
      <c r="K4653">
        <v>2</v>
      </c>
      <c r="L4653">
        <v>0.2</v>
      </c>
      <c r="M4653">
        <v>3.9592000000000001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34</v>
      </c>
      <c r="J4654">
        <v>59.904000000000003</v>
      </c>
      <c r="K4654">
        <v>2</v>
      </c>
      <c r="L4654">
        <v>0.2</v>
      </c>
      <c r="M4654">
        <v>14.2272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38</v>
      </c>
      <c r="J4655">
        <v>23.696000000000002</v>
      </c>
      <c r="K4655">
        <v>2</v>
      </c>
      <c r="L4655">
        <v>0.2</v>
      </c>
      <c r="M4655">
        <v>6.5164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41</v>
      </c>
      <c r="J4656">
        <v>7.968</v>
      </c>
      <c r="K4656">
        <v>2</v>
      </c>
      <c r="L4656">
        <v>0.2</v>
      </c>
      <c r="M4656">
        <v>2.8883999999999999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26</v>
      </c>
      <c r="I4657" t="s">
        <v>38</v>
      </c>
      <c r="J4657">
        <v>18.2</v>
      </c>
      <c r="K4657">
        <v>7</v>
      </c>
      <c r="L4657">
        <v>0.2</v>
      </c>
      <c r="M4657">
        <v>2.0474999999999999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35</v>
      </c>
      <c r="I4658" t="s">
        <v>59</v>
      </c>
      <c r="J4658">
        <v>27.552</v>
      </c>
      <c r="K4658">
        <v>3</v>
      </c>
      <c r="L4658">
        <v>0.2</v>
      </c>
      <c r="M4658">
        <v>-0.34439999999999998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19</v>
      </c>
      <c r="I4659" t="s">
        <v>21</v>
      </c>
      <c r="J4659">
        <v>844.11599999999999</v>
      </c>
      <c r="K4659">
        <v>6</v>
      </c>
      <c r="L4659">
        <v>0.3</v>
      </c>
      <c r="M4659">
        <v>-36.176400000000001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32</v>
      </c>
      <c r="J4660">
        <v>76.751999999999995</v>
      </c>
      <c r="K4660">
        <v>3</v>
      </c>
      <c r="L4660">
        <v>0.2</v>
      </c>
      <c r="M4660">
        <v>-9.5939999999999994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189</v>
      </c>
      <c r="E4661" t="s">
        <v>30</v>
      </c>
      <c r="F4661">
        <v>32216</v>
      </c>
      <c r="G4661" t="s">
        <v>18</v>
      </c>
      <c r="H4661" t="s">
        <v>26</v>
      </c>
      <c r="I4661" t="s">
        <v>27</v>
      </c>
      <c r="J4661">
        <v>3</v>
      </c>
      <c r="K4661">
        <v>1</v>
      </c>
      <c r="L4661">
        <v>0.2</v>
      </c>
      <c r="M4661">
        <v>1.05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37</v>
      </c>
      <c r="J4662">
        <v>7.5060000000000002</v>
      </c>
      <c r="K4662">
        <v>9</v>
      </c>
      <c r="L4662">
        <v>0.7</v>
      </c>
      <c r="M4662">
        <v>-6.0048000000000004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173</v>
      </c>
      <c r="E4663" t="s">
        <v>30</v>
      </c>
      <c r="F4663">
        <v>33024</v>
      </c>
      <c r="G4663" t="s">
        <v>18</v>
      </c>
      <c r="H4663" t="s">
        <v>26</v>
      </c>
      <c r="I4663" t="s">
        <v>27</v>
      </c>
      <c r="J4663">
        <v>16.559999999999999</v>
      </c>
      <c r="K4663">
        <v>2</v>
      </c>
      <c r="L4663">
        <v>0.2</v>
      </c>
      <c r="M4663">
        <v>5.7960000000000003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19</v>
      </c>
      <c r="I4664" t="s">
        <v>33</v>
      </c>
      <c r="J4664">
        <v>79.92</v>
      </c>
      <c r="K4664">
        <v>4</v>
      </c>
      <c r="L4664">
        <v>0</v>
      </c>
      <c r="M4664">
        <v>34.365600000000001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42</v>
      </c>
      <c r="E4665" t="s">
        <v>43</v>
      </c>
      <c r="F4665">
        <v>98115</v>
      </c>
      <c r="G4665" t="s">
        <v>25</v>
      </c>
      <c r="H4665" t="s">
        <v>35</v>
      </c>
      <c r="I4665" t="s">
        <v>59</v>
      </c>
      <c r="J4665">
        <v>69.98</v>
      </c>
      <c r="K4665">
        <v>2</v>
      </c>
      <c r="L4665">
        <v>0</v>
      </c>
      <c r="M4665">
        <v>13.296200000000001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26</v>
      </c>
      <c r="I4666" t="s">
        <v>37</v>
      </c>
      <c r="J4666">
        <v>11.06</v>
      </c>
      <c r="K4666">
        <v>10</v>
      </c>
      <c r="L4666">
        <v>0.8</v>
      </c>
      <c r="M4666">
        <v>-18.802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19</v>
      </c>
      <c r="I4667" t="s">
        <v>20</v>
      </c>
      <c r="J4667">
        <v>623.46479999999997</v>
      </c>
      <c r="K4667">
        <v>7</v>
      </c>
      <c r="L4667">
        <v>0.32</v>
      </c>
      <c r="M4667">
        <v>-119.1918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45</v>
      </c>
      <c r="E4668" t="s">
        <v>46</v>
      </c>
      <c r="F4668">
        <v>76106</v>
      </c>
      <c r="G4668" t="s">
        <v>47</v>
      </c>
      <c r="H4668" t="s">
        <v>26</v>
      </c>
      <c r="I4668" t="s">
        <v>32</v>
      </c>
      <c r="J4668">
        <v>772.68</v>
      </c>
      <c r="K4668">
        <v>5</v>
      </c>
      <c r="L4668">
        <v>0.2</v>
      </c>
      <c r="M4668">
        <v>-57.951000000000001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26</v>
      </c>
      <c r="I4669" t="s">
        <v>38</v>
      </c>
      <c r="J4669">
        <v>283.14</v>
      </c>
      <c r="K4669">
        <v>4</v>
      </c>
      <c r="L4669">
        <v>0.1</v>
      </c>
      <c r="M4669">
        <v>72.358000000000004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635.96</v>
      </c>
      <c r="K4670">
        <v>4</v>
      </c>
      <c r="L4670">
        <v>0</v>
      </c>
      <c r="M4670">
        <v>165.34960000000001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35</v>
      </c>
      <c r="I4671" t="s">
        <v>36</v>
      </c>
      <c r="J4671">
        <v>118.99</v>
      </c>
      <c r="K4671">
        <v>1</v>
      </c>
      <c r="L4671">
        <v>0</v>
      </c>
      <c r="M4671">
        <v>33.3172</v>
      </c>
    </row>
    <row r="4672" spans="1:13" x14ac:dyDescent="0.3">
      <c r="A4672" t="s">
        <v>28</v>
      </c>
      <c r="B4672" t="s">
        <v>14</v>
      </c>
      <c r="C4672" t="s">
        <v>15</v>
      </c>
      <c r="D4672" t="s">
        <v>140</v>
      </c>
      <c r="E4672" t="s">
        <v>70</v>
      </c>
      <c r="F4672">
        <v>48205</v>
      </c>
      <c r="G4672" t="s">
        <v>47</v>
      </c>
      <c r="H4672" t="s">
        <v>19</v>
      </c>
      <c r="I4672" t="s">
        <v>33</v>
      </c>
      <c r="J4672">
        <v>272.94</v>
      </c>
      <c r="K4672">
        <v>3</v>
      </c>
      <c r="L4672">
        <v>0</v>
      </c>
      <c r="M4672">
        <v>30.023399999999999</v>
      </c>
    </row>
    <row r="4673" spans="1:13" x14ac:dyDescent="0.3">
      <c r="A4673" t="s">
        <v>13</v>
      </c>
      <c r="B4673" t="s">
        <v>14</v>
      </c>
      <c r="C4673" t="s">
        <v>15</v>
      </c>
      <c r="D4673" t="s">
        <v>55</v>
      </c>
      <c r="E4673" t="s">
        <v>56</v>
      </c>
      <c r="F4673">
        <v>19120</v>
      </c>
      <c r="G4673" t="s">
        <v>57</v>
      </c>
      <c r="H4673" t="s">
        <v>19</v>
      </c>
      <c r="I4673" t="s">
        <v>33</v>
      </c>
      <c r="J4673">
        <v>15.007999999999999</v>
      </c>
      <c r="K4673">
        <v>2</v>
      </c>
      <c r="L4673">
        <v>0.2</v>
      </c>
      <c r="M4673">
        <v>1.5007999999999999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37</v>
      </c>
      <c r="J4674">
        <v>33.088000000000001</v>
      </c>
      <c r="K4674">
        <v>4</v>
      </c>
      <c r="L4674">
        <v>0.2</v>
      </c>
      <c r="M4674">
        <v>11.167199999999999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26</v>
      </c>
      <c r="I4675" t="s">
        <v>32</v>
      </c>
      <c r="J4675">
        <v>80.98</v>
      </c>
      <c r="K4675">
        <v>1</v>
      </c>
      <c r="L4675">
        <v>0</v>
      </c>
      <c r="M4675">
        <v>3.2391999999999999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35</v>
      </c>
      <c r="I4676" t="s">
        <v>59</v>
      </c>
      <c r="J4676">
        <v>82.8</v>
      </c>
      <c r="K4676">
        <v>12</v>
      </c>
      <c r="L4676">
        <v>0</v>
      </c>
      <c r="M4676">
        <v>6.6239999999999997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32</v>
      </c>
      <c r="J4677">
        <v>21.36</v>
      </c>
      <c r="K4677">
        <v>2</v>
      </c>
      <c r="L4677">
        <v>0</v>
      </c>
      <c r="M4677">
        <v>5.7671999999999999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62.048000000000002</v>
      </c>
      <c r="K4678">
        <v>2</v>
      </c>
      <c r="L4678">
        <v>0.2</v>
      </c>
      <c r="M4678">
        <v>20.165600000000001</v>
      </c>
    </row>
    <row r="4679" spans="1:13" x14ac:dyDescent="0.3">
      <c r="A4679" t="s">
        <v>13</v>
      </c>
      <c r="B4679" t="s">
        <v>14</v>
      </c>
      <c r="C4679" t="s">
        <v>15</v>
      </c>
      <c r="D4679" t="s">
        <v>190</v>
      </c>
      <c r="E4679" t="s">
        <v>76</v>
      </c>
      <c r="F4679">
        <v>13021</v>
      </c>
      <c r="G4679" t="s">
        <v>57</v>
      </c>
      <c r="H4679" t="s">
        <v>26</v>
      </c>
      <c r="I4679" t="s">
        <v>77</v>
      </c>
      <c r="J4679">
        <v>29.61</v>
      </c>
      <c r="K4679">
        <v>9</v>
      </c>
      <c r="L4679">
        <v>0</v>
      </c>
      <c r="M4679">
        <v>13.3245</v>
      </c>
    </row>
    <row r="4680" spans="1:13" x14ac:dyDescent="0.3">
      <c r="A4680" t="s">
        <v>168</v>
      </c>
      <c r="B4680" t="s">
        <v>14</v>
      </c>
      <c r="C4680" t="s">
        <v>15</v>
      </c>
      <c r="D4680" t="s">
        <v>339</v>
      </c>
      <c r="E4680" t="s">
        <v>40</v>
      </c>
      <c r="F4680">
        <v>27604</v>
      </c>
      <c r="G4680" t="s">
        <v>18</v>
      </c>
      <c r="H4680" t="s">
        <v>35</v>
      </c>
      <c r="I4680" t="s">
        <v>36</v>
      </c>
      <c r="J4680">
        <v>863.928</v>
      </c>
      <c r="K4680">
        <v>9</v>
      </c>
      <c r="L4680">
        <v>0.2</v>
      </c>
      <c r="M4680">
        <v>86.392799999999994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31</v>
      </c>
      <c r="J4681">
        <v>241.92</v>
      </c>
      <c r="K4681">
        <v>4</v>
      </c>
      <c r="L4681">
        <v>0.4</v>
      </c>
      <c r="M4681">
        <v>-56.448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19</v>
      </c>
      <c r="I4682" t="s">
        <v>20</v>
      </c>
      <c r="J4682">
        <v>163.88</v>
      </c>
      <c r="K4682">
        <v>4</v>
      </c>
      <c r="L4682">
        <v>0.5</v>
      </c>
      <c r="M4682">
        <v>-81.94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37</v>
      </c>
      <c r="J4683">
        <v>3.4860000000000002</v>
      </c>
      <c r="K4683">
        <v>2</v>
      </c>
      <c r="L4683">
        <v>0.7</v>
      </c>
      <c r="M4683">
        <v>-2.7888000000000002</v>
      </c>
    </row>
    <row r="4684" spans="1:13" x14ac:dyDescent="0.3">
      <c r="A4684" t="s">
        <v>28</v>
      </c>
      <c r="B4684" t="s">
        <v>22</v>
      </c>
      <c r="C4684" t="s">
        <v>15</v>
      </c>
      <c r="D4684" t="s">
        <v>55</v>
      </c>
      <c r="E4684" t="s">
        <v>56</v>
      </c>
      <c r="F4684">
        <v>19120</v>
      </c>
      <c r="G4684" t="s">
        <v>57</v>
      </c>
      <c r="H4684" t="s">
        <v>26</v>
      </c>
      <c r="I4684" t="s">
        <v>77</v>
      </c>
      <c r="J4684">
        <v>10.584</v>
      </c>
      <c r="K4684">
        <v>7</v>
      </c>
      <c r="L4684">
        <v>0.2</v>
      </c>
      <c r="M4684">
        <v>-2.3814000000000002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182</v>
      </c>
      <c r="E4685" t="s">
        <v>74</v>
      </c>
      <c r="F4685">
        <v>47374</v>
      </c>
      <c r="G4685" t="s">
        <v>47</v>
      </c>
      <c r="H4685" t="s">
        <v>35</v>
      </c>
      <c r="I4685" t="s">
        <v>36</v>
      </c>
      <c r="J4685">
        <v>440.91</v>
      </c>
      <c r="K4685">
        <v>9</v>
      </c>
      <c r="L4685">
        <v>0</v>
      </c>
      <c r="M4685">
        <v>123.45480000000001</v>
      </c>
    </row>
    <row r="4686" spans="1:13" x14ac:dyDescent="0.3">
      <c r="A4686" t="s">
        <v>28</v>
      </c>
      <c r="B4686" t="s">
        <v>14</v>
      </c>
      <c r="C4686" t="s">
        <v>15</v>
      </c>
      <c r="D4686" t="s">
        <v>235</v>
      </c>
      <c r="E4686" t="s">
        <v>56</v>
      </c>
      <c r="F4686">
        <v>17602</v>
      </c>
      <c r="G4686" t="s">
        <v>57</v>
      </c>
      <c r="H4686" t="s">
        <v>26</v>
      </c>
      <c r="I4686" t="s">
        <v>37</v>
      </c>
      <c r="J4686">
        <v>5.7149999999999999</v>
      </c>
      <c r="K4686">
        <v>5</v>
      </c>
      <c r="L4686">
        <v>0.7</v>
      </c>
      <c r="M4686">
        <v>-4.7625000000000002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19</v>
      </c>
      <c r="I4687" t="s">
        <v>33</v>
      </c>
      <c r="J4687">
        <v>51.968000000000004</v>
      </c>
      <c r="K4687">
        <v>2</v>
      </c>
      <c r="L4687">
        <v>0.2</v>
      </c>
      <c r="M4687">
        <v>10.393599999999999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35</v>
      </c>
      <c r="I4688" t="s">
        <v>59</v>
      </c>
      <c r="J4688">
        <v>71.975999999999999</v>
      </c>
      <c r="K4688">
        <v>3</v>
      </c>
      <c r="L4688">
        <v>0.2</v>
      </c>
      <c r="M4688">
        <v>21.5928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19</v>
      </c>
      <c r="I4689" t="s">
        <v>21</v>
      </c>
      <c r="J4689">
        <v>242.352</v>
      </c>
      <c r="K4689">
        <v>3</v>
      </c>
      <c r="L4689">
        <v>0.2</v>
      </c>
      <c r="M4689">
        <v>-42.4116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221.92</v>
      </c>
      <c r="K4690">
        <v>5</v>
      </c>
      <c r="L4690">
        <v>0.2</v>
      </c>
      <c r="M4690">
        <v>77.671999999999997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26</v>
      </c>
      <c r="I4691" t="s">
        <v>41</v>
      </c>
      <c r="J4691">
        <v>8.4480000000000004</v>
      </c>
      <c r="K4691">
        <v>2</v>
      </c>
      <c r="L4691">
        <v>0.2</v>
      </c>
      <c r="M4691">
        <v>2.64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26</v>
      </c>
      <c r="I4692" t="s">
        <v>37</v>
      </c>
      <c r="J4692">
        <v>29.52</v>
      </c>
      <c r="K4692">
        <v>4</v>
      </c>
      <c r="L4692">
        <v>0</v>
      </c>
      <c r="M4692">
        <v>14.4648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302.94</v>
      </c>
      <c r="K4693">
        <v>3</v>
      </c>
      <c r="L4693">
        <v>0</v>
      </c>
      <c r="M4693">
        <v>48.470399999999998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142.36000000000001</v>
      </c>
      <c r="K4694">
        <v>2</v>
      </c>
      <c r="L4694">
        <v>0</v>
      </c>
      <c r="M4694">
        <v>38.437199999999997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21</v>
      </c>
      <c r="J4695">
        <v>546.66</v>
      </c>
      <c r="K4695">
        <v>9</v>
      </c>
      <c r="L4695">
        <v>0</v>
      </c>
      <c r="M4695">
        <v>136.66499999999999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19</v>
      </c>
      <c r="I4696" t="s">
        <v>33</v>
      </c>
      <c r="J4696">
        <v>212.13</v>
      </c>
      <c r="K4696">
        <v>3</v>
      </c>
      <c r="L4696">
        <v>0</v>
      </c>
      <c r="M4696">
        <v>14.8491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34</v>
      </c>
      <c r="J4697">
        <v>5.2480000000000002</v>
      </c>
      <c r="K4697">
        <v>2</v>
      </c>
      <c r="L4697">
        <v>0.2</v>
      </c>
      <c r="M4697">
        <v>0.59040000000000004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32</v>
      </c>
      <c r="J4698">
        <v>74.415999999999997</v>
      </c>
      <c r="K4698">
        <v>2</v>
      </c>
      <c r="L4698">
        <v>0.2</v>
      </c>
      <c r="M4698">
        <v>-14.8832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26</v>
      </c>
      <c r="I4699" t="s">
        <v>41</v>
      </c>
      <c r="J4699">
        <v>6.8479999999999999</v>
      </c>
      <c r="K4699">
        <v>2</v>
      </c>
      <c r="L4699">
        <v>0.2</v>
      </c>
      <c r="M4699">
        <v>2.14</v>
      </c>
    </row>
    <row r="4700" spans="1:13" x14ac:dyDescent="0.3">
      <c r="A4700" t="s">
        <v>28</v>
      </c>
      <c r="B4700" t="s">
        <v>44</v>
      </c>
      <c r="C4700" t="s">
        <v>15</v>
      </c>
      <c r="D4700" t="s">
        <v>164</v>
      </c>
      <c r="E4700" t="s">
        <v>46</v>
      </c>
      <c r="F4700">
        <v>78745</v>
      </c>
      <c r="G4700" t="s">
        <v>47</v>
      </c>
      <c r="H4700" t="s">
        <v>19</v>
      </c>
      <c r="I4700" t="s">
        <v>33</v>
      </c>
      <c r="J4700">
        <v>7.9960000000000004</v>
      </c>
      <c r="K4700">
        <v>1</v>
      </c>
      <c r="L4700">
        <v>0.6</v>
      </c>
      <c r="M4700">
        <v>-6.9965000000000002</v>
      </c>
    </row>
    <row r="4701" spans="1:13" x14ac:dyDescent="0.3">
      <c r="A4701" t="s">
        <v>28</v>
      </c>
      <c r="B4701" t="s">
        <v>22</v>
      </c>
      <c r="C4701" t="s">
        <v>15</v>
      </c>
      <c r="D4701" t="s">
        <v>61</v>
      </c>
      <c r="E4701" t="s">
        <v>46</v>
      </c>
      <c r="F4701">
        <v>77095</v>
      </c>
      <c r="G4701" t="s">
        <v>47</v>
      </c>
      <c r="H4701" t="s">
        <v>26</v>
      </c>
      <c r="I4701" t="s">
        <v>38</v>
      </c>
      <c r="J4701">
        <v>8.7119999999999997</v>
      </c>
      <c r="K4701">
        <v>2</v>
      </c>
      <c r="L4701">
        <v>0.8</v>
      </c>
      <c r="M4701">
        <v>-19.602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110</v>
      </c>
      <c r="J4702">
        <v>65.17</v>
      </c>
      <c r="K4702">
        <v>7</v>
      </c>
      <c r="L4702">
        <v>0</v>
      </c>
      <c r="M4702">
        <v>18.8993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26</v>
      </c>
      <c r="I4703" t="s">
        <v>27</v>
      </c>
      <c r="J4703">
        <v>14.62</v>
      </c>
      <c r="K4703">
        <v>2</v>
      </c>
      <c r="L4703">
        <v>0</v>
      </c>
      <c r="M4703">
        <v>6.8714000000000004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507</v>
      </c>
      <c r="E4704" t="s">
        <v>127</v>
      </c>
      <c r="F4704">
        <v>6708</v>
      </c>
      <c r="G4704" t="s">
        <v>57</v>
      </c>
      <c r="H4704" t="s">
        <v>19</v>
      </c>
      <c r="I4704" t="s">
        <v>33</v>
      </c>
      <c r="J4704">
        <v>173.24</v>
      </c>
      <c r="K4704">
        <v>4</v>
      </c>
      <c r="L4704">
        <v>0</v>
      </c>
      <c r="M4704">
        <v>17.324000000000002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37</v>
      </c>
      <c r="J4705">
        <v>895.92</v>
      </c>
      <c r="K4705">
        <v>5</v>
      </c>
      <c r="L4705">
        <v>0.2</v>
      </c>
      <c r="M4705">
        <v>302.37299999999999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32</v>
      </c>
      <c r="J4706">
        <v>130.71</v>
      </c>
      <c r="K4706">
        <v>3</v>
      </c>
      <c r="L4706">
        <v>0</v>
      </c>
      <c r="M4706">
        <v>39.213000000000001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26</v>
      </c>
      <c r="I4707" t="s">
        <v>34</v>
      </c>
      <c r="J4707">
        <v>11.68</v>
      </c>
      <c r="K4707">
        <v>2</v>
      </c>
      <c r="L4707">
        <v>0</v>
      </c>
      <c r="M4707">
        <v>3.0367999999999999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23</v>
      </c>
      <c r="E4708" t="s">
        <v>24</v>
      </c>
      <c r="F4708">
        <v>90049</v>
      </c>
      <c r="G4708" t="s">
        <v>25</v>
      </c>
      <c r="H4708" t="s">
        <v>35</v>
      </c>
      <c r="I4708" t="s">
        <v>59</v>
      </c>
      <c r="J4708">
        <v>62.31</v>
      </c>
      <c r="K4708">
        <v>3</v>
      </c>
      <c r="L4708">
        <v>0</v>
      </c>
      <c r="M4708">
        <v>22.4316</v>
      </c>
    </row>
    <row r="4709" spans="1:13" x14ac:dyDescent="0.3">
      <c r="A4709" t="s">
        <v>168</v>
      </c>
      <c r="B4709" t="s">
        <v>14</v>
      </c>
      <c r="C4709" t="s">
        <v>15</v>
      </c>
      <c r="D4709" t="s">
        <v>55</v>
      </c>
      <c r="E4709" t="s">
        <v>56</v>
      </c>
      <c r="F4709">
        <v>19120</v>
      </c>
      <c r="G4709" t="s">
        <v>57</v>
      </c>
      <c r="H4709" t="s">
        <v>26</v>
      </c>
      <c r="I4709" t="s">
        <v>37</v>
      </c>
      <c r="J4709">
        <v>0.85199999999999998</v>
      </c>
      <c r="K4709">
        <v>1</v>
      </c>
      <c r="L4709">
        <v>0.7</v>
      </c>
      <c r="M4709">
        <v>-0.59640000000000004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26</v>
      </c>
      <c r="I4710" t="s">
        <v>41</v>
      </c>
      <c r="J4710">
        <v>36.287999999999997</v>
      </c>
      <c r="K4710">
        <v>7</v>
      </c>
      <c r="L4710">
        <v>0.2</v>
      </c>
      <c r="M4710">
        <v>12.700799999999999</v>
      </c>
    </row>
    <row r="4711" spans="1:13" x14ac:dyDescent="0.3">
      <c r="A4711" t="s">
        <v>28</v>
      </c>
      <c r="B4711" t="s">
        <v>14</v>
      </c>
      <c r="C4711" t="s">
        <v>15</v>
      </c>
      <c r="D4711" t="s">
        <v>195</v>
      </c>
      <c r="E4711" t="s">
        <v>46</v>
      </c>
      <c r="F4711">
        <v>77340</v>
      </c>
      <c r="G4711" t="s">
        <v>47</v>
      </c>
      <c r="H4711" t="s">
        <v>19</v>
      </c>
      <c r="I4711" t="s">
        <v>33</v>
      </c>
      <c r="J4711">
        <v>56.567999999999998</v>
      </c>
      <c r="K4711">
        <v>2</v>
      </c>
      <c r="L4711">
        <v>0.6</v>
      </c>
      <c r="M4711">
        <v>-74.952600000000004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94</v>
      </c>
      <c r="E4712" t="s">
        <v>95</v>
      </c>
      <c r="F4712">
        <v>97206</v>
      </c>
      <c r="G4712" t="s">
        <v>25</v>
      </c>
      <c r="H4712" t="s">
        <v>35</v>
      </c>
      <c r="I4712" t="s">
        <v>36</v>
      </c>
      <c r="J4712">
        <v>344.70400000000001</v>
      </c>
      <c r="K4712">
        <v>2</v>
      </c>
      <c r="L4712">
        <v>0.2</v>
      </c>
      <c r="M4712">
        <v>38.779200000000003</v>
      </c>
    </row>
    <row r="4713" spans="1:13" x14ac:dyDescent="0.3">
      <c r="A4713" t="s">
        <v>28</v>
      </c>
      <c r="B4713" t="s">
        <v>14</v>
      </c>
      <c r="C4713" t="s">
        <v>15</v>
      </c>
      <c r="D4713" t="s">
        <v>183</v>
      </c>
      <c r="E4713" t="s">
        <v>98</v>
      </c>
      <c r="F4713">
        <v>80027</v>
      </c>
      <c r="G4713" t="s">
        <v>25</v>
      </c>
      <c r="H4713" t="s">
        <v>35</v>
      </c>
      <c r="I4713" t="s">
        <v>36</v>
      </c>
      <c r="J4713">
        <v>201.584</v>
      </c>
      <c r="K4713">
        <v>2</v>
      </c>
      <c r="L4713">
        <v>0.2</v>
      </c>
      <c r="M4713">
        <v>20.1584</v>
      </c>
    </row>
    <row r="4714" spans="1:13" x14ac:dyDescent="0.3">
      <c r="A4714" t="s">
        <v>13</v>
      </c>
      <c r="B4714" t="s">
        <v>44</v>
      </c>
      <c r="C4714" t="s">
        <v>15</v>
      </c>
      <c r="D4714" t="s">
        <v>42</v>
      </c>
      <c r="E4714" t="s">
        <v>43</v>
      </c>
      <c r="F4714">
        <v>98115</v>
      </c>
      <c r="G4714" t="s">
        <v>25</v>
      </c>
      <c r="H4714" t="s">
        <v>19</v>
      </c>
      <c r="I4714" t="s">
        <v>31</v>
      </c>
      <c r="J4714">
        <v>521.96</v>
      </c>
      <c r="K4714">
        <v>2</v>
      </c>
      <c r="L4714">
        <v>0</v>
      </c>
      <c r="M4714">
        <v>88.733199999999997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333</v>
      </c>
      <c r="E4715" t="s">
        <v>248</v>
      </c>
      <c r="F4715">
        <v>21215</v>
      </c>
      <c r="G4715" t="s">
        <v>57</v>
      </c>
      <c r="H4715" t="s">
        <v>26</v>
      </c>
      <c r="I4715" t="s">
        <v>34</v>
      </c>
      <c r="J4715">
        <v>8.2200000000000006</v>
      </c>
      <c r="K4715">
        <v>3</v>
      </c>
      <c r="L4715">
        <v>0</v>
      </c>
      <c r="M4715">
        <v>2.2193999999999998</v>
      </c>
    </row>
    <row r="4716" spans="1:13" x14ac:dyDescent="0.3">
      <c r="A4716" t="s">
        <v>62</v>
      </c>
      <c r="B4716" t="s">
        <v>22</v>
      </c>
      <c r="C4716" t="s">
        <v>15</v>
      </c>
      <c r="D4716" t="s">
        <v>52</v>
      </c>
      <c r="E4716" t="s">
        <v>24</v>
      </c>
      <c r="F4716">
        <v>94109</v>
      </c>
      <c r="G4716" t="s">
        <v>25</v>
      </c>
      <c r="H4716" t="s">
        <v>26</v>
      </c>
      <c r="I4716" t="s">
        <v>41</v>
      </c>
      <c r="J4716">
        <v>45.36</v>
      </c>
      <c r="K4716">
        <v>7</v>
      </c>
      <c r="L4716">
        <v>0</v>
      </c>
      <c r="M4716">
        <v>21.7728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32</v>
      </c>
      <c r="J4717">
        <v>947.17</v>
      </c>
      <c r="K4717">
        <v>7</v>
      </c>
      <c r="L4717">
        <v>0</v>
      </c>
      <c r="M4717">
        <v>9.4717000000000002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23</v>
      </c>
      <c r="E4718" t="s">
        <v>24</v>
      </c>
      <c r="F4718">
        <v>90004</v>
      </c>
      <c r="G4718" t="s">
        <v>25</v>
      </c>
      <c r="H4718" t="s">
        <v>26</v>
      </c>
      <c r="I4718" t="s">
        <v>41</v>
      </c>
      <c r="J4718">
        <v>61.96</v>
      </c>
      <c r="K4718">
        <v>2</v>
      </c>
      <c r="L4718">
        <v>0</v>
      </c>
      <c r="M4718">
        <v>27.882000000000001</v>
      </c>
    </row>
    <row r="4719" spans="1:13" x14ac:dyDescent="0.3">
      <c r="A4719" t="s">
        <v>13</v>
      </c>
      <c r="B4719" t="s">
        <v>14</v>
      </c>
      <c r="C4719" t="s">
        <v>15</v>
      </c>
      <c r="D4719" t="s">
        <v>97</v>
      </c>
      <c r="E4719" t="s">
        <v>65</v>
      </c>
      <c r="F4719">
        <v>60505</v>
      </c>
      <c r="G4719" t="s">
        <v>47</v>
      </c>
      <c r="H4719" t="s">
        <v>19</v>
      </c>
      <c r="I4719" t="s">
        <v>31</v>
      </c>
      <c r="J4719">
        <v>268.935</v>
      </c>
      <c r="K4719">
        <v>3</v>
      </c>
      <c r="L4719">
        <v>0.5</v>
      </c>
      <c r="M4719">
        <v>-209.76929999999999</v>
      </c>
    </row>
    <row r="4720" spans="1:13" x14ac:dyDescent="0.3">
      <c r="A4720" t="s">
        <v>28</v>
      </c>
      <c r="B4720" t="s">
        <v>44</v>
      </c>
      <c r="C4720" t="s">
        <v>15</v>
      </c>
      <c r="D4720" t="s">
        <v>42</v>
      </c>
      <c r="E4720" t="s">
        <v>43</v>
      </c>
      <c r="F4720">
        <v>98103</v>
      </c>
      <c r="G4720" t="s">
        <v>25</v>
      </c>
      <c r="H4720" t="s">
        <v>26</v>
      </c>
      <c r="I4720" t="s">
        <v>34</v>
      </c>
      <c r="J4720">
        <v>7.58</v>
      </c>
      <c r="K4720">
        <v>1</v>
      </c>
      <c r="L4720">
        <v>0</v>
      </c>
      <c r="M4720">
        <v>2.9561999999999999</v>
      </c>
    </row>
    <row r="4721" spans="1:13" x14ac:dyDescent="0.3">
      <c r="A4721" t="s">
        <v>168</v>
      </c>
      <c r="B4721" t="s">
        <v>14</v>
      </c>
      <c r="C4721" t="s">
        <v>15</v>
      </c>
      <c r="D4721" t="s">
        <v>508</v>
      </c>
      <c r="E4721" t="s">
        <v>167</v>
      </c>
      <c r="F4721">
        <v>30605</v>
      </c>
      <c r="G4721" t="s">
        <v>18</v>
      </c>
      <c r="H4721" t="s">
        <v>26</v>
      </c>
      <c r="I4721" t="s">
        <v>27</v>
      </c>
      <c r="J4721">
        <v>14.73</v>
      </c>
      <c r="K4721">
        <v>3</v>
      </c>
      <c r="L4721">
        <v>0</v>
      </c>
      <c r="M4721">
        <v>7.2176999999999998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37</v>
      </c>
      <c r="J4722">
        <v>9.8879999999999999</v>
      </c>
      <c r="K4722">
        <v>2</v>
      </c>
      <c r="L4722">
        <v>0.7</v>
      </c>
      <c r="M4722">
        <v>-6.9215999999999998</v>
      </c>
    </row>
    <row r="4723" spans="1:13" x14ac:dyDescent="0.3">
      <c r="A4723" t="s">
        <v>28</v>
      </c>
      <c r="B4723" t="s">
        <v>44</v>
      </c>
      <c r="C4723" t="s">
        <v>15</v>
      </c>
      <c r="D4723" t="s">
        <v>350</v>
      </c>
      <c r="E4723" t="s">
        <v>30</v>
      </c>
      <c r="F4723">
        <v>32712</v>
      </c>
      <c r="G4723" t="s">
        <v>18</v>
      </c>
      <c r="H4723" t="s">
        <v>26</v>
      </c>
      <c r="I4723" t="s">
        <v>38</v>
      </c>
      <c r="J4723">
        <v>671.54399999999998</v>
      </c>
      <c r="K4723">
        <v>3</v>
      </c>
      <c r="L4723">
        <v>0.2</v>
      </c>
      <c r="M4723">
        <v>50.3658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26</v>
      </c>
      <c r="I4724" t="s">
        <v>32</v>
      </c>
      <c r="J4724">
        <v>1117.92</v>
      </c>
      <c r="K4724">
        <v>4</v>
      </c>
      <c r="L4724">
        <v>0</v>
      </c>
      <c r="M4724">
        <v>55.896000000000001</v>
      </c>
    </row>
    <row r="4725" spans="1:13" x14ac:dyDescent="0.3">
      <c r="A4725" t="s">
        <v>13</v>
      </c>
      <c r="B4725" t="s">
        <v>44</v>
      </c>
      <c r="C4725" t="s">
        <v>15</v>
      </c>
      <c r="D4725" t="s">
        <v>75</v>
      </c>
      <c r="E4725" t="s">
        <v>76</v>
      </c>
      <c r="F4725">
        <v>10009</v>
      </c>
      <c r="G4725" t="s">
        <v>57</v>
      </c>
      <c r="H4725" t="s">
        <v>19</v>
      </c>
      <c r="I4725" t="s">
        <v>20</v>
      </c>
      <c r="J4725">
        <v>275.952</v>
      </c>
      <c r="K4725">
        <v>3</v>
      </c>
      <c r="L4725">
        <v>0.2</v>
      </c>
      <c r="M4725">
        <v>-37.943399999999997</v>
      </c>
    </row>
    <row r="4726" spans="1:13" x14ac:dyDescent="0.3">
      <c r="A4726" t="s">
        <v>28</v>
      </c>
      <c r="B4726" t="s">
        <v>14</v>
      </c>
      <c r="C4726" t="s">
        <v>15</v>
      </c>
      <c r="D4726" t="s">
        <v>52</v>
      </c>
      <c r="E4726" t="s">
        <v>24</v>
      </c>
      <c r="F4726">
        <v>94110</v>
      </c>
      <c r="G4726" t="s">
        <v>25</v>
      </c>
      <c r="H4726" t="s">
        <v>26</v>
      </c>
      <c r="I4726" t="s">
        <v>37</v>
      </c>
      <c r="J4726">
        <v>123.14400000000001</v>
      </c>
      <c r="K4726">
        <v>7</v>
      </c>
      <c r="L4726">
        <v>0.2</v>
      </c>
      <c r="M4726">
        <v>46.179000000000002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135</v>
      </c>
      <c r="E4727" t="s">
        <v>46</v>
      </c>
      <c r="F4727">
        <v>75217</v>
      </c>
      <c r="G4727" t="s">
        <v>47</v>
      </c>
      <c r="H4727" t="s">
        <v>35</v>
      </c>
      <c r="I4727" t="s">
        <v>59</v>
      </c>
      <c r="J4727">
        <v>15.576000000000001</v>
      </c>
      <c r="K4727">
        <v>3</v>
      </c>
      <c r="L4727">
        <v>0.2</v>
      </c>
      <c r="M4727">
        <v>3.3098999999999998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212.64</v>
      </c>
      <c r="K4728">
        <v>6</v>
      </c>
      <c r="L4728">
        <v>0</v>
      </c>
      <c r="M4728">
        <v>99.940799999999996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26</v>
      </c>
      <c r="I4729" t="s">
        <v>41</v>
      </c>
      <c r="J4729">
        <v>9.8699999999999992</v>
      </c>
      <c r="K4729">
        <v>3</v>
      </c>
      <c r="L4729">
        <v>0</v>
      </c>
      <c r="M4729">
        <v>4.5401999999999996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35</v>
      </c>
      <c r="I4730" t="s">
        <v>59</v>
      </c>
      <c r="J4730">
        <v>53.25</v>
      </c>
      <c r="K4730">
        <v>3</v>
      </c>
      <c r="L4730">
        <v>0</v>
      </c>
      <c r="M4730">
        <v>20.767499999999998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144</v>
      </c>
      <c r="E4731" t="s">
        <v>24</v>
      </c>
      <c r="F4731">
        <v>92105</v>
      </c>
      <c r="G4731" t="s">
        <v>25</v>
      </c>
      <c r="H4731" t="s">
        <v>19</v>
      </c>
      <c r="I4731" t="s">
        <v>33</v>
      </c>
      <c r="J4731">
        <v>19.920000000000002</v>
      </c>
      <c r="K4731">
        <v>3</v>
      </c>
      <c r="L4731">
        <v>0</v>
      </c>
      <c r="M4731">
        <v>9.5616000000000003</v>
      </c>
    </row>
    <row r="4732" spans="1:13" x14ac:dyDescent="0.3">
      <c r="A4732" t="s">
        <v>28</v>
      </c>
      <c r="B4732" t="s">
        <v>22</v>
      </c>
      <c r="C4732" t="s">
        <v>15</v>
      </c>
      <c r="D4732" t="s">
        <v>75</v>
      </c>
      <c r="E4732" t="s">
        <v>76</v>
      </c>
      <c r="F4732">
        <v>10035</v>
      </c>
      <c r="G4732" t="s">
        <v>57</v>
      </c>
      <c r="H4732" t="s">
        <v>19</v>
      </c>
      <c r="I4732" t="s">
        <v>21</v>
      </c>
      <c r="J4732">
        <v>658.74599999999998</v>
      </c>
      <c r="K4732">
        <v>3</v>
      </c>
      <c r="L4732">
        <v>0.1</v>
      </c>
      <c r="M4732">
        <v>146.38800000000001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8.26</v>
      </c>
      <c r="K4733">
        <v>2</v>
      </c>
      <c r="L4733">
        <v>0</v>
      </c>
      <c r="M4733">
        <v>3.8822000000000001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26</v>
      </c>
      <c r="I4734" t="s">
        <v>37</v>
      </c>
      <c r="J4734">
        <v>29.84</v>
      </c>
      <c r="K4734">
        <v>2</v>
      </c>
      <c r="L4734">
        <v>0</v>
      </c>
      <c r="M4734">
        <v>13.428000000000001</v>
      </c>
    </row>
    <row r="4735" spans="1:13" x14ac:dyDescent="0.3">
      <c r="A4735" t="s">
        <v>28</v>
      </c>
      <c r="B4735" t="s">
        <v>44</v>
      </c>
      <c r="C4735" t="s">
        <v>15</v>
      </c>
      <c r="D4735" t="s">
        <v>503</v>
      </c>
      <c r="E4735" t="s">
        <v>382</v>
      </c>
      <c r="F4735">
        <v>4240</v>
      </c>
      <c r="G4735" t="s">
        <v>57</v>
      </c>
      <c r="H4735" t="s">
        <v>35</v>
      </c>
      <c r="I4735" t="s">
        <v>59</v>
      </c>
      <c r="J4735">
        <v>67.98</v>
      </c>
      <c r="K4735">
        <v>2</v>
      </c>
      <c r="L4735">
        <v>0</v>
      </c>
      <c r="M4735">
        <v>14.9556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26</v>
      </c>
      <c r="I4736" t="s">
        <v>27</v>
      </c>
      <c r="J4736">
        <v>61.06</v>
      </c>
      <c r="K4736">
        <v>2</v>
      </c>
      <c r="L4736">
        <v>0</v>
      </c>
      <c r="M4736">
        <v>28.087599999999998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159</v>
      </c>
      <c r="E4737" t="s">
        <v>24</v>
      </c>
      <c r="F4737">
        <v>90805</v>
      </c>
      <c r="G4737" t="s">
        <v>25</v>
      </c>
      <c r="H4737" t="s">
        <v>19</v>
      </c>
      <c r="I4737" t="s">
        <v>31</v>
      </c>
      <c r="J4737">
        <v>35.543999999999997</v>
      </c>
      <c r="K4737">
        <v>1</v>
      </c>
      <c r="L4737">
        <v>0.2</v>
      </c>
      <c r="M4737">
        <v>-0.88859999999999995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27</v>
      </c>
      <c r="J4738">
        <v>9.9600000000000009</v>
      </c>
      <c r="K4738">
        <v>2</v>
      </c>
      <c r="L4738">
        <v>0</v>
      </c>
      <c r="M4738">
        <v>4.5815999999999999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34</v>
      </c>
      <c r="J4739">
        <v>9.2100000000000009</v>
      </c>
      <c r="K4739">
        <v>3</v>
      </c>
      <c r="L4739">
        <v>0</v>
      </c>
      <c r="M4739">
        <v>2.3025000000000002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42</v>
      </c>
      <c r="E4740" t="s">
        <v>43</v>
      </c>
      <c r="F4740">
        <v>98115</v>
      </c>
      <c r="G4740" t="s">
        <v>25</v>
      </c>
      <c r="H4740" t="s">
        <v>26</v>
      </c>
      <c r="I4740" t="s">
        <v>110</v>
      </c>
      <c r="J4740">
        <v>27.93</v>
      </c>
      <c r="K4740">
        <v>3</v>
      </c>
      <c r="L4740">
        <v>0</v>
      </c>
      <c r="M4740">
        <v>8.0997000000000003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77</v>
      </c>
      <c r="J4741">
        <v>7.9</v>
      </c>
      <c r="K4741">
        <v>2</v>
      </c>
      <c r="L4741">
        <v>0</v>
      </c>
      <c r="M4741">
        <v>2.528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32</v>
      </c>
      <c r="J4742">
        <v>221.16</v>
      </c>
      <c r="K4742">
        <v>4</v>
      </c>
      <c r="L4742">
        <v>0</v>
      </c>
      <c r="M4742">
        <v>57.501600000000003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127.96</v>
      </c>
      <c r="K4743">
        <v>2</v>
      </c>
      <c r="L4743">
        <v>0</v>
      </c>
      <c r="M4743">
        <v>62.700400000000002</v>
      </c>
    </row>
    <row r="4744" spans="1:13" x14ac:dyDescent="0.3">
      <c r="A4744" t="s">
        <v>168</v>
      </c>
      <c r="B4744" t="s">
        <v>14</v>
      </c>
      <c r="C4744" t="s">
        <v>15</v>
      </c>
      <c r="D4744" t="s">
        <v>92</v>
      </c>
      <c r="E4744" t="s">
        <v>68</v>
      </c>
      <c r="F4744">
        <v>55901</v>
      </c>
      <c r="G4744" t="s">
        <v>47</v>
      </c>
      <c r="H4744" t="s">
        <v>26</v>
      </c>
      <c r="I4744" t="s">
        <v>37</v>
      </c>
      <c r="J4744">
        <v>18.690000000000001</v>
      </c>
      <c r="K4744">
        <v>3</v>
      </c>
      <c r="L4744">
        <v>0</v>
      </c>
      <c r="M4744">
        <v>9.1580999999999992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26</v>
      </c>
      <c r="I4745" t="s">
        <v>110</v>
      </c>
      <c r="J4745">
        <v>25.35</v>
      </c>
      <c r="K4745">
        <v>3</v>
      </c>
      <c r="L4745">
        <v>0</v>
      </c>
      <c r="M4745">
        <v>7.6050000000000004</v>
      </c>
    </row>
    <row r="4746" spans="1:13" x14ac:dyDescent="0.3">
      <c r="A4746" t="s">
        <v>168</v>
      </c>
      <c r="B4746" t="s">
        <v>22</v>
      </c>
      <c r="C4746" t="s">
        <v>15</v>
      </c>
      <c r="D4746" t="s">
        <v>52</v>
      </c>
      <c r="E4746" t="s">
        <v>24</v>
      </c>
      <c r="F4746">
        <v>94110</v>
      </c>
      <c r="G4746" t="s">
        <v>25</v>
      </c>
      <c r="H4746" t="s">
        <v>19</v>
      </c>
      <c r="I4746" t="s">
        <v>33</v>
      </c>
      <c r="J4746">
        <v>35.28</v>
      </c>
      <c r="K4746">
        <v>3</v>
      </c>
      <c r="L4746">
        <v>0</v>
      </c>
      <c r="M4746">
        <v>11.995200000000001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42</v>
      </c>
      <c r="E4747" t="s">
        <v>43</v>
      </c>
      <c r="F4747">
        <v>98103</v>
      </c>
      <c r="G4747" t="s">
        <v>25</v>
      </c>
      <c r="H4747" t="s">
        <v>26</v>
      </c>
      <c r="I4747" t="s">
        <v>41</v>
      </c>
      <c r="J4747">
        <v>33.4</v>
      </c>
      <c r="K4747">
        <v>5</v>
      </c>
      <c r="L4747">
        <v>0</v>
      </c>
      <c r="M4747">
        <v>16.032</v>
      </c>
    </row>
    <row r="4748" spans="1:13" x14ac:dyDescent="0.3">
      <c r="A4748" t="s">
        <v>62</v>
      </c>
      <c r="B4748" t="s">
        <v>22</v>
      </c>
      <c r="C4748" t="s">
        <v>15</v>
      </c>
      <c r="D4748" t="s">
        <v>344</v>
      </c>
      <c r="E4748" t="s">
        <v>43</v>
      </c>
      <c r="F4748">
        <v>99207</v>
      </c>
      <c r="G4748" t="s">
        <v>25</v>
      </c>
      <c r="H4748" t="s">
        <v>35</v>
      </c>
      <c r="I4748" t="s">
        <v>123</v>
      </c>
      <c r="J4748">
        <v>837.6</v>
      </c>
      <c r="K4748">
        <v>3</v>
      </c>
      <c r="L4748">
        <v>0.2</v>
      </c>
      <c r="M4748">
        <v>62.82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115</v>
      </c>
      <c r="E4749" t="s">
        <v>86</v>
      </c>
      <c r="F4749">
        <v>37064</v>
      </c>
      <c r="G4749" t="s">
        <v>18</v>
      </c>
      <c r="H4749" t="s">
        <v>35</v>
      </c>
      <c r="I4749" t="s">
        <v>36</v>
      </c>
      <c r="J4749">
        <v>40.68</v>
      </c>
      <c r="K4749">
        <v>3</v>
      </c>
      <c r="L4749">
        <v>0.2</v>
      </c>
      <c r="M4749">
        <v>-9.1530000000000005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84</v>
      </c>
      <c r="E4750" t="s">
        <v>86</v>
      </c>
      <c r="F4750">
        <v>38301</v>
      </c>
      <c r="G4750" t="s">
        <v>18</v>
      </c>
      <c r="H4750" t="s">
        <v>19</v>
      </c>
      <c r="I4750" t="s">
        <v>21</v>
      </c>
      <c r="J4750">
        <v>209.56800000000001</v>
      </c>
      <c r="K4750">
        <v>2</v>
      </c>
      <c r="L4750">
        <v>0.2</v>
      </c>
      <c r="M4750">
        <v>-23.5764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164</v>
      </c>
      <c r="E4751" t="s">
        <v>46</v>
      </c>
      <c r="F4751">
        <v>78745</v>
      </c>
      <c r="G4751" t="s">
        <v>47</v>
      </c>
      <c r="H4751" t="s">
        <v>35</v>
      </c>
      <c r="I4751" t="s">
        <v>59</v>
      </c>
      <c r="J4751">
        <v>22.367999999999999</v>
      </c>
      <c r="K4751">
        <v>4</v>
      </c>
      <c r="L4751">
        <v>0.2</v>
      </c>
      <c r="M4751">
        <v>6.4307999999999996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37</v>
      </c>
      <c r="J4752">
        <v>3.8820000000000001</v>
      </c>
      <c r="K4752">
        <v>2</v>
      </c>
      <c r="L4752">
        <v>0.7</v>
      </c>
      <c r="M4752">
        <v>-2.5880000000000001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173</v>
      </c>
      <c r="E4753" t="s">
        <v>30</v>
      </c>
      <c r="F4753">
        <v>33024</v>
      </c>
      <c r="G4753" t="s">
        <v>18</v>
      </c>
      <c r="H4753" t="s">
        <v>26</v>
      </c>
      <c r="I4753" t="s">
        <v>41</v>
      </c>
      <c r="J4753">
        <v>115.29600000000001</v>
      </c>
      <c r="K4753">
        <v>3</v>
      </c>
      <c r="L4753">
        <v>0.2</v>
      </c>
      <c r="M4753">
        <v>40.3536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55</v>
      </c>
      <c r="E4754" t="s">
        <v>56</v>
      </c>
      <c r="F4754">
        <v>19143</v>
      </c>
      <c r="G4754" t="s">
        <v>57</v>
      </c>
      <c r="H4754" t="s">
        <v>26</v>
      </c>
      <c r="I4754" t="s">
        <v>37</v>
      </c>
      <c r="J4754">
        <v>1.9079999999999999</v>
      </c>
      <c r="K4754">
        <v>2</v>
      </c>
      <c r="L4754">
        <v>0.7</v>
      </c>
      <c r="M4754">
        <v>-1.5264</v>
      </c>
    </row>
    <row r="4755" spans="1:13" x14ac:dyDescent="0.3">
      <c r="A4755" t="s">
        <v>28</v>
      </c>
      <c r="B4755" t="s">
        <v>44</v>
      </c>
      <c r="C4755" t="s">
        <v>15</v>
      </c>
      <c r="D4755" t="s">
        <v>505</v>
      </c>
      <c r="E4755" t="s">
        <v>65</v>
      </c>
      <c r="F4755">
        <v>61832</v>
      </c>
      <c r="G4755" t="s">
        <v>47</v>
      </c>
      <c r="H4755" t="s">
        <v>26</v>
      </c>
      <c r="I4755" t="s">
        <v>37</v>
      </c>
      <c r="J4755">
        <v>43.372</v>
      </c>
      <c r="K4755">
        <v>7</v>
      </c>
      <c r="L4755">
        <v>0.8</v>
      </c>
      <c r="M4755">
        <v>-69.395200000000003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35</v>
      </c>
      <c r="I4756" t="s">
        <v>36</v>
      </c>
      <c r="J4756">
        <v>783.96</v>
      </c>
      <c r="K4756">
        <v>4</v>
      </c>
      <c r="L4756">
        <v>0</v>
      </c>
      <c r="M4756">
        <v>219.50880000000001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48.896000000000001</v>
      </c>
      <c r="K4757">
        <v>2</v>
      </c>
      <c r="L4757">
        <v>0.2</v>
      </c>
      <c r="M4757">
        <v>18.335999999999999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75</v>
      </c>
      <c r="E4758" t="s">
        <v>76</v>
      </c>
      <c r="F4758">
        <v>10009</v>
      </c>
      <c r="G4758" t="s">
        <v>57</v>
      </c>
      <c r="H4758" t="s">
        <v>26</v>
      </c>
      <c r="I4758" t="s">
        <v>37</v>
      </c>
      <c r="J4758">
        <v>7.8559999999999999</v>
      </c>
      <c r="K4758">
        <v>2</v>
      </c>
      <c r="L4758">
        <v>0.2</v>
      </c>
      <c r="M4758">
        <v>2.8477999999999999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27</v>
      </c>
      <c r="J4759">
        <v>5.9039999999999999</v>
      </c>
      <c r="K4759">
        <v>2</v>
      </c>
      <c r="L4759">
        <v>0.2</v>
      </c>
      <c r="M4759">
        <v>1.9925999999999999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103</v>
      </c>
      <c r="E4760" t="s">
        <v>104</v>
      </c>
      <c r="F4760">
        <v>43229</v>
      </c>
      <c r="G4760" t="s">
        <v>57</v>
      </c>
      <c r="H4760" t="s">
        <v>26</v>
      </c>
      <c r="I4760" t="s">
        <v>110</v>
      </c>
      <c r="J4760">
        <v>13.712</v>
      </c>
      <c r="K4760">
        <v>2</v>
      </c>
      <c r="L4760">
        <v>0.2</v>
      </c>
      <c r="M4760">
        <v>1.0284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464</v>
      </c>
      <c r="E4761" t="s">
        <v>24</v>
      </c>
      <c r="F4761">
        <v>91911</v>
      </c>
      <c r="G4761" t="s">
        <v>25</v>
      </c>
      <c r="H4761" t="s">
        <v>26</v>
      </c>
      <c r="I4761" t="s">
        <v>60</v>
      </c>
      <c r="J4761">
        <v>182.94</v>
      </c>
      <c r="K4761">
        <v>3</v>
      </c>
      <c r="L4761">
        <v>0</v>
      </c>
      <c r="M4761">
        <v>85.981800000000007</v>
      </c>
    </row>
    <row r="4762" spans="1:13" x14ac:dyDescent="0.3">
      <c r="A4762" t="s">
        <v>62</v>
      </c>
      <c r="B4762" t="s">
        <v>14</v>
      </c>
      <c r="C4762" t="s">
        <v>15</v>
      </c>
      <c r="D4762" t="s">
        <v>52</v>
      </c>
      <c r="E4762" t="s">
        <v>24</v>
      </c>
      <c r="F4762">
        <v>94110</v>
      </c>
      <c r="G4762" t="s">
        <v>25</v>
      </c>
      <c r="H4762" t="s">
        <v>26</v>
      </c>
      <c r="I4762" t="s">
        <v>34</v>
      </c>
      <c r="J4762">
        <v>27.76</v>
      </c>
      <c r="K4762">
        <v>4</v>
      </c>
      <c r="L4762">
        <v>0</v>
      </c>
      <c r="M4762">
        <v>9.9936000000000007</v>
      </c>
    </row>
    <row r="4763" spans="1:13" x14ac:dyDescent="0.3">
      <c r="A4763" t="s">
        <v>28</v>
      </c>
      <c r="B4763" t="s">
        <v>44</v>
      </c>
      <c r="C4763" t="s">
        <v>15</v>
      </c>
      <c r="D4763" t="s">
        <v>75</v>
      </c>
      <c r="E4763" t="s">
        <v>76</v>
      </c>
      <c r="F4763">
        <v>10009</v>
      </c>
      <c r="G4763" t="s">
        <v>57</v>
      </c>
      <c r="H4763" t="s">
        <v>26</v>
      </c>
      <c r="I4763" t="s">
        <v>34</v>
      </c>
      <c r="J4763">
        <v>25.99</v>
      </c>
      <c r="K4763">
        <v>1</v>
      </c>
      <c r="L4763">
        <v>0</v>
      </c>
      <c r="M4763">
        <v>7.5370999999999997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59</v>
      </c>
      <c r="J4764">
        <v>113.52</v>
      </c>
      <c r="K4764">
        <v>5</v>
      </c>
      <c r="L4764">
        <v>0.2</v>
      </c>
      <c r="M4764">
        <v>29.798999999999999</v>
      </c>
    </row>
    <row r="4765" spans="1:13" x14ac:dyDescent="0.3">
      <c r="A4765" t="s">
        <v>62</v>
      </c>
      <c r="B4765" t="s">
        <v>22</v>
      </c>
      <c r="C4765" t="s">
        <v>15</v>
      </c>
      <c r="D4765" t="s">
        <v>122</v>
      </c>
      <c r="E4765" t="s">
        <v>46</v>
      </c>
      <c r="F4765">
        <v>78207</v>
      </c>
      <c r="G4765" t="s">
        <v>47</v>
      </c>
      <c r="H4765" t="s">
        <v>35</v>
      </c>
      <c r="I4765" t="s">
        <v>36</v>
      </c>
      <c r="J4765">
        <v>359.88</v>
      </c>
      <c r="K4765">
        <v>3</v>
      </c>
      <c r="L4765">
        <v>0.2</v>
      </c>
      <c r="M4765">
        <v>22.4925</v>
      </c>
    </row>
    <row r="4766" spans="1:13" x14ac:dyDescent="0.3">
      <c r="A4766" t="s">
        <v>168</v>
      </c>
      <c r="B4766" t="s">
        <v>14</v>
      </c>
      <c r="C4766" t="s">
        <v>15</v>
      </c>
      <c r="D4766" t="s">
        <v>189</v>
      </c>
      <c r="E4766" t="s">
        <v>40</v>
      </c>
      <c r="F4766">
        <v>28540</v>
      </c>
      <c r="G4766" t="s">
        <v>18</v>
      </c>
      <c r="H4766" t="s">
        <v>26</v>
      </c>
      <c r="I4766" t="s">
        <v>41</v>
      </c>
      <c r="J4766">
        <v>25.344000000000001</v>
      </c>
      <c r="K4766">
        <v>4</v>
      </c>
      <c r="L4766">
        <v>0.2</v>
      </c>
      <c r="M4766">
        <v>9.1872000000000007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37</v>
      </c>
      <c r="J4767">
        <v>11.952</v>
      </c>
      <c r="K4767">
        <v>3</v>
      </c>
      <c r="L4767">
        <v>0.2</v>
      </c>
      <c r="M4767">
        <v>4.1832000000000003</v>
      </c>
    </row>
    <row r="4768" spans="1:13" x14ac:dyDescent="0.3">
      <c r="A4768" t="s">
        <v>13</v>
      </c>
      <c r="B4768" t="s">
        <v>44</v>
      </c>
      <c r="C4768" t="s">
        <v>15</v>
      </c>
      <c r="D4768" t="s">
        <v>52</v>
      </c>
      <c r="E4768" t="s">
        <v>24</v>
      </c>
      <c r="F4768">
        <v>94109</v>
      </c>
      <c r="G4768" t="s">
        <v>25</v>
      </c>
      <c r="H4768" t="s">
        <v>26</v>
      </c>
      <c r="I4768" t="s">
        <v>110</v>
      </c>
      <c r="J4768">
        <v>6.24</v>
      </c>
      <c r="K4768">
        <v>3</v>
      </c>
      <c r="L4768">
        <v>0</v>
      </c>
      <c r="M4768">
        <v>1.8720000000000001</v>
      </c>
    </row>
    <row r="4769" spans="1:13" x14ac:dyDescent="0.3">
      <c r="A4769" t="s">
        <v>13</v>
      </c>
      <c r="B4769" t="s">
        <v>14</v>
      </c>
      <c r="C4769" t="s">
        <v>15</v>
      </c>
      <c r="D4769" t="s">
        <v>509</v>
      </c>
      <c r="E4769" t="s">
        <v>81</v>
      </c>
      <c r="F4769">
        <v>85323</v>
      </c>
      <c r="G4769" t="s">
        <v>25</v>
      </c>
      <c r="H4769" t="s">
        <v>35</v>
      </c>
      <c r="I4769" t="s">
        <v>36</v>
      </c>
      <c r="J4769">
        <v>742.33600000000001</v>
      </c>
      <c r="K4769">
        <v>8</v>
      </c>
      <c r="L4769">
        <v>0.2</v>
      </c>
      <c r="M4769">
        <v>83.512799999999999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19</v>
      </c>
      <c r="I4770" t="s">
        <v>33</v>
      </c>
      <c r="J4770">
        <v>6.4640000000000004</v>
      </c>
      <c r="K4770">
        <v>1</v>
      </c>
      <c r="L4770">
        <v>0.6</v>
      </c>
      <c r="M4770">
        <v>-4.04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26</v>
      </c>
      <c r="I4771" t="s">
        <v>27</v>
      </c>
      <c r="J4771">
        <v>11.52</v>
      </c>
      <c r="K4771">
        <v>5</v>
      </c>
      <c r="L4771">
        <v>0.2</v>
      </c>
      <c r="M4771">
        <v>4.1760000000000002</v>
      </c>
    </row>
    <row r="4772" spans="1:13" x14ac:dyDescent="0.3">
      <c r="A4772" t="s">
        <v>28</v>
      </c>
      <c r="B4772" t="s">
        <v>14</v>
      </c>
      <c r="C4772" t="s">
        <v>15</v>
      </c>
      <c r="D4772" t="s">
        <v>79</v>
      </c>
      <c r="E4772" t="s">
        <v>65</v>
      </c>
      <c r="F4772">
        <v>60610</v>
      </c>
      <c r="G4772" t="s">
        <v>47</v>
      </c>
      <c r="H4772" t="s">
        <v>35</v>
      </c>
      <c r="I4772" t="s">
        <v>36</v>
      </c>
      <c r="J4772">
        <v>222.38399999999999</v>
      </c>
      <c r="K4772">
        <v>2</v>
      </c>
      <c r="L4772">
        <v>0.2</v>
      </c>
      <c r="M4772">
        <v>16.678799999999999</v>
      </c>
    </row>
    <row r="4773" spans="1:13" x14ac:dyDescent="0.3">
      <c r="A4773" t="s">
        <v>28</v>
      </c>
      <c r="B4773" t="s">
        <v>44</v>
      </c>
      <c r="C4773" t="s">
        <v>15</v>
      </c>
      <c r="D4773" t="s">
        <v>279</v>
      </c>
      <c r="E4773" t="s">
        <v>24</v>
      </c>
      <c r="F4773">
        <v>92025</v>
      </c>
      <c r="G4773" t="s">
        <v>25</v>
      </c>
      <c r="H4773" t="s">
        <v>26</v>
      </c>
      <c r="I4773" t="s">
        <v>34</v>
      </c>
      <c r="J4773">
        <v>23.36</v>
      </c>
      <c r="K4773">
        <v>4</v>
      </c>
      <c r="L4773">
        <v>0</v>
      </c>
      <c r="M4773">
        <v>6.0735999999999999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27</v>
      </c>
      <c r="J4774">
        <v>8.67</v>
      </c>
      <c r="K4774">
        <v>3</v>
      </c>
      <c r="L4774">
        <v>0</v>
      </c>
      <c r="M4774">
        <v>4.0749000000000004</v>
      </c>
    </row>
    <row r="4775" spans="1:13" x14ac:dyDescent="0.3">
      <c r="A4775" t="s">
        <v>13</v>
      </c>
      <c r="B4775" t="s">
        <v>22</v>
      </c>
      <c r="C4775" t="s">
        <v>15</v>
      </c>
      <c r="D4775" t="s">
        <v>159</v>
      </c>
      <c r="E4775" t="s">
        <v>76</v>
      </c>
      <c r="F4775">
        <v>11561</v>
      </c>
      <c r="G4775" t="s">
        <v>57</v>
      </c>
      <c r="H4775" t="s">
        <v>26</v>
      </c>
      <c r="I4775" t="s">
        <v>110</v>
      </c>
      <c r="J4775">
        <v>25.71</v>
      </c>
      <c r="K4775">
        <v>3</v>
      </c>
      <c r="L4775">
        <v>0</v>
      </c>
      <c r="M4775">
        <v>6.6845999999999997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114</v>
      </c>
      <c r="E4776" t="s">
        <v>72</v>
      </c>
      <c r="F4776">
        <v>19711</v>
      </c>
      <c r="G4776" t="s">
        <v>57</v>
      </c>
      <c r="H4776" t="s">
        <v>26</v>
      </c>
      <c r="I4776" t="s">
        <v>38</v>
      </c>
      <c r="J4776">
        <v>100.94</v>
      </c>
      <c r="K4776">
        <v>7</v>
      </c>
      <c r="L4776">
        <v>0</v>
      </c>
      <c r="M4776">
        <v>33.310200000000002</v>
      </c>
    </row>
    <row r="4777" spans="1:13" x14ac:dyDescent="0.3">
      <c r="A4777" t="s">
        <v>62</v>
      </c>
      <c r="B4777" t="s">
        <v>14</v>
      </c>
      <c r="C4777" t="s">
        <v>15</v>
      </c>
      <c r="D4777" t="s">
        <v>283</v>
      </c>
      <c r="E4777" t="s">
        <v>76</v>
      </c>
      <c r="F4777">
        <v>14215</v>
      </c>
      <c r="G4777" t="s">
        <v>57</v>
      </c>
      <c r="H4777" t="s">
        <v>19</v>
      </c>
      <c r="I4777" t="s">
        <v>21</v>
      </c>
      <c r="J4777">
        <v>63.881999999999998</v>
      </c>
      <c r="K4777">
        <v>1</v>
      </c>
      <c r="L4777">
        <v>0.1</v>
      </c>
      <c r="M4777">
        <v>10.647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19</v>
      </c>
      <c r="I4778" t="s">
        <v>21</v>
      </c>
      <c r="J4778">
        <v>683.14400000000001</v>
      </c>
      <c r="K4778">
        <v>4</v>
      </c>
      <c r="L4778">
        <v>0.3</v>
      </c>
      <c r="M4778">
        <v>0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37</v>
      </c>
      <c r="J4779">
        <v>1.476</v>
      </c>
      <c r="K4779">
        <v>3</v>
      </c>
      <c r="L4779">
        <v>0.8</v>
      </c>
      <c r="M4779">
        <v>-2.214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61</v>
      </c>
      <c r="E4780" t="s">
        <v>46</v>
      </c>
      <c r="F4780">
        <v>77070</v>
      </c>
      <c r="G4780" t="s">
        <v>47</v>
      </c>
      <c r="H4780" t="s">
        <v>26</v>
      </c>
      <c r="I4780" t="s">
        <v>110</v>
      </c>
      <c r="J4780">
        <v>40.712000000000003</v>
      </c>
      <c r="K4780">
        <v>7</v>
      </c>
      <c r="L4780">
        <v>0.2</v>
      </c>
      <c r="M4780">
        <v>3.5623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481</v>
      </c>
      <c r="E4781" t="s">
        <v>336</v>
      </c>
      <c r="F4781">
        <v>67212</v>
      </c>
      <c r="G4781" t="s">
        <v>47</v>
      </c>
      <c r="H4781" t="s">
        <v>26</v>
      </c>
      <c r="I4781" t="s">
        <v>41</v>
      </c>
      <c r="J4781">
        <v>279.89999999999998</v>
      </c>
      <c r="K4781">
        <v>5</v>
      </c>
      <c r="L4781">
        <v>0</v>
      </c>
      <c r="M4781">
        <v>137.15100000000001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26</v>
      </c>
      <c r="I4782" t="s">
        <v>34</v>
      </c>
      <c r="J4782">
        <v>13.12</v>
      </c>
      <c r="K4782">
        <v>5</v>
      </c>
      <c r="L4782">
        <v>0.2</v>
      </c>
      <c r="M4782">
        <v>1.1479999999999999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19</v>
      </c>
      <c r="I4783" t="s">
        <v>20</v>
      </c>
      <c r="J4783">
        <v>69.575999999999993</v>
      </c>
      <c r="K4783">
        <v>4</v>
      </c>
      <c r="L4783">
        <v>0.7</v>
      </c>
      <c r="M4783">
        <v>-143.79040000000001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26</v>
      </c>
      <c r="I4784" t="s">
        <v>34</v>
      </c>
      <c r="J4784">
        <v>4.2240000000000002</v>
      </c>
      <c r="K4784">
        <v>3</v>
      </c>
      <c r="L4784">
        <v>0.2</v>
      </c>
      <c r="M4784">
        <v>0.47520000000000001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35</v>
      </c>
      <c r="I4785" t="s">
        <v>59</v>
      </c>
      <c r="J4785">
        <v>58.08</v>
      </c>
      <c r="K4785">
        <v>4</v>
      </c>
      <c r="L4785">
        <v>0.2</v>
      </c>
      <c r="M4785">
        <v>-6.5339999999999998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52.415999999999997</v>
      </c>
      <c r="K4786">
        <v>9</v>
      </c>
      <c r="L4786">
        <v>0.2</v>
      </c>
      <c r="M4786">
        <v>15.069599999999999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33</v>
      </c>
      <c r="J4787">
        <v>54.92</v>
      </c>
      <c r="K4787">
        <v>5</v>
      </c>
      <c r="L4787">
        <v>0.2</v>
      </c>
      <c r="M4787">
        <v>10.984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19</v>
      </c>
      <c r="I4788" t="s">
        <v>31</v>
      </c>
      <c r="J4788">
        <v>364.95</v>
      </c>
      <c r="K4788">
        <v>5</v>
      </c>
      <c r="L4788">
        <v>0.5</v>
      </c>
      <c r="M4788">
        <v>-248.166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85.055999999999997</v>
      </c>
      <c r="K4789">
        <v>3</v>
      </c>
      <c r="L4789">
        <v>0.2</v>
      </c>
      <c r="M4789">
        <v>28.706399999999999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26</v>
      </c>
      <c r="I4790" t="s">
        <v>41</v>
      </c>
      <c r="J4790">
        <v>27.696000000000002</v>
      </c>
      <c r="K4790">
        <v>3</v>
      </c>
      <c r="L4790">
        <v>0.2</v>
      </c>
      <c r="M4790">
        <v>9.6936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75</v>
      </c>
      <c r="E4791" t="s">
        <v>76</v>
      </c>
      <c r="F4791">
        <v>10011</v>
      </c>
      <c r="G4791" t="s">
        <v>57</v>
      </c>
      <c r="H4791" t="s">
        <v>26</v>
      </c>
      <c r="I4791" t="s">
        <v>41</v>
      </c>
      <c r="J4791">
        <v>24.96</v>
      </c>
      <c r="K4791">
        <v>4</v>
      </c>
      <c r="L4791">
        <v>0</v>
      </c>
      <c r="M4791">
        <v>11.231999999999999</v>
      </c>
    </row>
    <row r="4792" spans="1:13" x14ac:dyDescent="0.3">
      <c r="A4792" t="s">
        <v>28</v>
      </c>
      <c r="B4792" t="s">
        <v>22</v>
      </c>
      <c r="C4792" t="s">
        <v>15</v>
      </c>
      <c r="D4792" t="s">
        <v>23</v>
      </c>
      <c r="E4792" t="s">
        <v>24</v>
      </c>
      <c r="F4792">
        <v>90036</v>
      </c>
      <c r="G4792" t="s">
        <v>25</v>
      </c>
      <c r="H4792" t="s">
        <v>19</v>
      </c>
      <c r="I4792" t="s">
        <v>33</v>
      </c>
      <c r="J4792">
        <v>43.13</v>
      </c>
      <c r="K4792">
        <v>1</v>
      </c>
      <c r="L4792">
        <v>0</v>
      </c>
      <c r="M4792">
        <v>18.114599999999999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510</v>
      </c>
      <c r="E4793" t="s">
        <v>167</v>
      </c>
      <c r="F4793">
        <v>30062</v>
      </c>
      <c r="G4793" t="s">
        <v>18</v>
      </c>
      <c r="H4793" t="s">
        <v>26</v>
      </c>
      <c r="I4793" t="s">
        <v>37</v>
      </c>
      <c r="J4793">
        <v>5.64</v>
      </c>
      <c r="K4793">
        <v>3</v>
      </c>
      <c r="L4793">
        <v>0</v>
      </c>
      <c r="M4793">
        <v>2.7071999999999998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37</v>
      </c>
      <c r="J4794">
        <v>57.582000000000001</v>
      </c>
      <c r="K4794">
        <v>3</v>
      </c>
      <c r="L4794">
        <v>0.7</v>
      </c>
      <c r="M4794">
        <v>-44.1462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26</v>
      </c>
      <c r="I4795" t="s">
        <v>41</v>
      </c>
      <c r="J4795">
        <v>31.103999999999999</v>
      </c>
      <c r="K4795">
        <v>6</v>
      </c>
      <c r="L4795">
        <v>0.2</v>
      </c>
      <c r="M4795">
        <v>10.8864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19</v>
      </c>
      <c r="I4796" t="s">
        <v>33</v>
      </c>
      <c r="J4796">
        <v>30.192</v>
      </c>
      <c r="K4796">
        <v>3</v>
      </c>
      <c r="L4796">
        <v>0.2</v>
      </c>
      <c r="M4796">
        <v>8.3027999999999995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35</v>
      </c>
      <c r="I4797" t="s">
        <v>36</v>
      </c>
      <c r="J4797">
        <v>43.6</v>
      </c>
      <c r="K4797">
        <v>5</v>
      </c>
      <c r="L4797">
        <v>0.2</v>
      </c>
      <c r="M4797">
        <v>4.3600000000000003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34</v>
      </c>
      <c r="J4798">
        <v>4.7679999999999998</v>
      </c>
      <c r="K4798">
        <v>2</v>
      </c>
      <c r="L4798">
        <v>0.2</v>
      </c>
      <c r="M4798">
        <v>0.41720000000000002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10.38</v>
      </c>
      <c r="K4799">
        <v>2</v>
      </c>
      <c r="L4799">
        <v>0.7</v>
      </c>
      <c r="M4799">
        <v>-7.6120000000000001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26</v>
      </c>
      <c r="I4800" t="s">
        <v>37</v>
      </c>
      <c r="J4800">
        <v>13.391999999999999</v>
      </c>
      <c r="K4800">
        <v>8</v>
      </c>
      <c r="L4800">
        <v>0.7</v>
      </c>
      <c r="M4800">
        <v>-9.8208000000000002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35</v>
      </c>
      <c r="I4801" t="s">
        <v>36</v>
      </c>
      <c r="J4801">
        <v>39.594000000000001</v>
      </c>
      <c r="K4801">
        <v>1</v>
      </c>
      <c r="L4801">
        <v>0.4</v>
      </c>
      <c r="M4801">
        <v>-7.2588999999999997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55</v>
      </c>
      <c r="E4802" t="s">
        <v>56</v>
      </c>
      <c r="F4802">
        <v>19140</v>
      </c>
      <c r="G4802" t="s">
        <v>57</v>
      </c>
      <c r="H4802" t="s">
        <v>19</v>
      </c>
      <c r="I4802" t="s">
        <v>33</v>
      </c>
      <c r="J4802">
        <v>91.007999999999996</v>
      </c>
      <c r="K4802">
        <v>9</v>
      </c>
      <c r="L4802">
        <v>0.2</v>
      </c>
      <c r="M4802">
        <v>19.339200000000002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37.94</v>
      </c>
      <c r="K4803">
        <v>2</v>
      </c>
      <c r="L4803">
        <v>0</v>
      </c>
      <c r="M4803">
        <v>18.211200000000002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41</v>
      </c>
      <c r="J4804">
        <v>42.8</v>
      </c>
      <c r="K4804">
        <v>10</v>
      </c>
      <c r="L4804">
        <v>0</v>
      </c>
      <c r="M4804">
        <v>19.260000000000002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23</v>
      </c>
      <c r="E4805" t="s">
        <v>24</v>
      </c>
      <c r="F4805">
        <v>90008</v>
      </c>
      <c r="G4805" t="s">
        <v>25</v>
      </c>
      <c r="H4805" t="s">
        <v>26</v>
      </c>
      <c r="I4805" t="s">
        <v>32</v>
      </c>
      <c r="J4805">
        <v>33.630000000000003</v>
      </c>
      <c r="K4805">
        <v>3</v>
      </c>
      <c r="L4805">
        <v>0</v>
      </c>
      <c r="M4805">
        <v>10.089</v>
      </c>
    </row>
    <row r="4806" spans="1:13" x14ac:dyDescent="0.3">
      <c r="A4806" t="s">
        <v>28</v>
      </c>
      <c r="B4806" t="s">
        <v>22</v>
      </c>
      <c r="C4806" t="s">
        <v>15</v>
      </c>
      <c r="D4806" t="s">
        <v>55</v>
      </c>
      <c r="E4806" t="s">
        <v>56</v>
      </c>
      <c r="F4806">
        <v>19134</v>
      </c>
      <c r="G4806" t="s">
        <v>57</v>
      </c>
      <c r="H4806" t="s">
        <v>26</v>
      </c>
      <c r="I4806" t="s">
        <v>60</v>
      </c>
      <c r="J4806">
        <v>62.808</v>
      </c>
      <c r="K4806">
        <v>3</v>
      </c>
      <c r="L4806">
        <v>0.2</v>
      </c>
      <c r="M4806">
        <v>21.197700000000001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26</v>
      </c>
      <c r="I4807" t="s">
        <v>41</v>
      </c>
      <c r="J4807">
        <v>195.64</v>
      </c>
      <c r="K4807">
        <v>4</v>
      </c>
      <c r="L4807">
        <v>0</v>
      </c>
      <c r="M4807">
        <v>91.950800000000001</v>
      </c>
    </row>
    <row r="4808" spans="1:13" x14ac:dyDescent="0.3">
      <c r="A4808" t="s">
        <v>62</v>
      </c>
      <c r="B4808" t="s">
        <v>14</v>
      </c>
      <c r="C4808" t="s">
        <v>15</v>
      </c>
      <c r="D4808" t="s">
        <v>431</v>
      </c>
      <c r="E4808" t="s">
        <v>49</v>
      </c>
      <c r="F4808">
        <v>54703</v>
      </c>
      <c r="G4808" t="s">
        <v>47</v>
      </c>
      <c r="H4808" t="s">
        <v>35</v>
      </c>
      <c r="I4808" t="s">
        <v>36</v>
      </c>
      <c r="J4808">
        <v>239.9</v>
      </c>
      <c r="K4808">
        <v>2</v>
      </c>
      <c r="L4808">
        <v>0</v>
      </c>
      <c r="M4808">
        <v>71.97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19</v>
      </c>
      <c r="I4809" t="s">
        <v>21</v>
      </c>
      <c r="J4809">
        <v>380.05799999999999</v>
      </c>
      <c r="K4809">
        <v>3</v>
      </c>
      <c r="L4809">
        <v>0.3</v>
      </c>
      <c r="M4809">
        <v>-21.717600000000001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35</v>
      </c>
      <c r="I4810" t="s">
        <v>162</v>
      </c>
      <c r="J4810">
        <v>1199.9760000000001</v>
      </c>
      <c r="K4810">
        <v>4</v>
      </c>
      <c r="L4810">
        <v>0.4</v>
      </c>
      <c r="M4810">
        <v>179.99639999999999</v>
      </c>
    </row>
    <row r="4811" spans="1:13" x14ac:dyDescent="0.3">
      <c r="A4811" t="s">
        <v>13</v>
      </c>
      <c r="B4811" t="s">
        <v>14</v>
      </c>
      <c r="C4811" t="s">
        <v>15</v>
      </c>
      <c r="D4811" t="s">
        <v>55</v>
      </c>
      <c r="E4811" t="s">
        <v>56</v>
      </c>
      <c r="F4811">
        <v>19134</v>
      </c>
      <c r="G4811" t="s">
        <v>57</v>
      </c>
      <c r="H4811" t="s">
        <v>19</v>
      </c>
      <c r="I4811" t="s">
        <v>33</v>
      </c>
      <c r="J4811">
        <v>48.576000000000001</v>
      </c>
      <c r="K4811">
        <v>3</v>
      </c>
      <c r="L4811">
        <v>0.2</v>
      </c>
      <c r="M4811">
        <v>9.7151999999999994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23</v>
      </c>
      <c r="E4812" t="s">
        <v>24</v>
      </c>
      <c r="F4812">
        <v>90004</v>
      </c>
      <c r="G4812" t="s">
        <v>25</v>
      </c>
      <c r="H4812" t="s">
        <v>26</v>
      </c>
      <c r="I4812" t="s">
        <v>41</v>
      </c>
      <c r="J4812">
        <v>17.940000000000001</v>
      </c>
      <c r="K4812">
        <v>3</v>
      </c>
      <c r="L4812">
        <v>0</v>
      </c>
      <c r="M4812">
        <v>8.0730000000000004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41</v>
      </c>
      <c r="J4813">
        <v>18.263999999999999</v>
      </c>
      <c r="K4813">
        <v>3</v>
      </c>
      <c r="L4813">
        <v>0.2</v>
      </c>
      <c r="M4813">
        <v>6.1641000000000004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34.655999999999999</v>
      </c>
      <c r="K4814">
        <v>2</v>
      </c>
      <c r="L4814">
        <v>0.2</v>
      </c>
      <c r="M4814">
        <v>5.6315999999999997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38</v>
      </c>
      <c r="J4815">
        <v>81.552000000000007</v>
      </c>
      <c r="K4815">
        <v>2</v>
      </c>
      <c r="L4815">
        <v>0.2</v>
      </c>
      <c r="M4815">
        <v>8.1552000000000007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55</v>
      </c>
      <c r="E4816" t="s">
        <v>56</v>
      </c>
      <c r="F4816">
        <v>19134</v>
      </c>
      <c r="G4816" t="s">
        <v>57</v>
      </c>
      <c r="H4816" t="s">
        <v>26</v>
      </c>
      <c r="I4816" t="s">
        <v>32</v>
      </c>
      <c r="J4816">
        <v>227.136</v>
      </c>
      <c r="K4816">
        <v>4</v>
      </c>
      <c r="L4816">
        <v>0.2</v>
      </c>
      <c r="M4816">
        <v>-42.588000000000001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250</v>
      </c>
      <c r="E4817" t="s">
        <v>127</v>
      </c>
      <c r="F4817">
        <v>6360</v>
      </c>
      <c r="G4817" t="s">
        <v>57</v>
      </c>
      <c r="H4817" t="s">
        <v>26</v>
      </c>
      <c r="I4817" t="s">
        <v>37</v>
      </c>
      <c r="J4817">
        <v>10.36</v>
      </c>
      <c r="K4817">
        <v>2</v>
      </c>
      <c r="L4817">
        <v>0</v>
      </c>
      <c r="M4817">
        <v>5.0763999999999996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26</v>
      </c>
      <c r="I4818" t="s">
        <v>38</v>
      </c>
      <c r="J4818">
        <v>463.24799999999999</v>
      </c>
      <c r="K4818">
        <v>8</v>
      </c>
      <c r="L4818">
        <v>0.8</v>
      </c>
      <c r="M4818">
        <v>-1181.2824000000001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122</v>
      </c>
      <c r="E4819" t="s">
        <v>46</v>
      </c>
      <c r="F4819">
        <v>78207</v>
      </c>
      <c r="G4819" t="s">
        <v>47</v>
      </c>
      <c r="H4819" t="s">
        <v>35</v>
      </c>
      <c r="I4819" t="s">
        <v>59</v>
      </c>
      <c r="J4819">
        <v>383.952</v>
      </c>
      <c r="K4819">
        <v>6</v>
      </c>
      <c r="L4819">
        <v>0.2</v>
      </c>
      <c r="M4819">
        <v>47.994</v>
      </c>
    </row>
    <row r="4820" spans="1:13" x14ac:dyDescent="0.3">
      <c r="A4820" t="s">
        <v>168</v>
      </c>
      <c r="B4820" t="s">
        <v>44</v>
      </c>
      <c r="C4820" t="s">
        <v>15</v>
      </c>
      <c r="D4820" t="s">
        <v>511</v>
      </c>
      <c r="E4820" t="s">
        <v>81</v>
      </c>
      <c r="F4820">
        <v>85364</v>
      </c>
      <c r="G4820" t="s">
        <v>25</v>
      </c>
      <c r="H4820" t="s">
        <v>26</v>
      </c>
      <c r="I4820" t="s">
        <v>37</v>
      </c>
      <c r="J4820">
        <v>44.856000000000002</v>
      </c>
      <c r="K4820">
        <v>6</v>
      </c>
      <c r="L4820">
        <v>0.7</v>
      </c>
      <c r="M4820">
        <v>-35.884799999999998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35</v>
      </c>
      <c r="I4821" t="s">
        <v>123</v>
      </c>
      <c r="J4821">
        <v>30.344999999999999</v>
      </c>
      <c r="K4821">
        <v>7</v>
      </c>
      <c r="L4821">
        <v>0.7</v>
      </c>
      <c r="M4821">
        <v>-24.276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21</v>
      </c>
      <c r="J4822">
        <v>127.554</v>
      </c>
      <c r="K4822">
        <v>3</v>
      </c>
      <c r="L4822">
        <v>0.3</v>
      </c>
      <c r="M4822">
        <v>-9.1110000000000007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103</v>
      </c>
      <c r="E4823" t="s">
        <v>104</v>
      </c>
      <c r="F4823">
        <v>43229</v>
      </c>
      <c r="G4823" t="s">
        <v>57</v>
      </c>
      <c r="H4823" t="s">
        <v>19</v>
      </c>
      <c r="I4823" t="s">
        <v>33</v>
      </c>
      <c r="J4823">
        <v>77.951999999999998</v>
      </c>
      <c r="K4823">
        <v>3</v>
      </c>
      <c r="L4823">
        <v>0.2</v>
      </c>
      <c r="M4823">
        <v>15.590400000000001</v>
      </c>
    </row>
    <row r="4824" spans="1:13" x14ac:dyDescent="0.3">
      <c r="A4824" t="s">
        <v>62</v>
      </c>
      <c r="B4824" t="s">
        <v>22</v>
      </c>
      <c r="C4824" t="s">
        <v>15</v>
      </c>
      <c r="D4824" t="s">
        <v>23</v>
      </c>
      <c r="E4824" t="s">
        <v>24</v>
      </c>
      <c r="F4824">
        <v>90036</v>
      </c>
      <c r="G4824" t="s">
        <v>25</v>
      </c>
      <c r="H4824" t="s">
        <v>26</v>
      </c>
      <c r="I4824" t="s">
        <v>37</v>
      </c>
      <c r="J4824">
        <v>14.016</v>
      </c>
      <c r="K4824">
        <v>4</v>
      </c>
      <c r="L4824">
        <v>0.2</v>
      </c>
      <c r="M4824">
        <v>4.9055999999999997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32</v>
      </c>
      <c r="J4825">
        <v>69.52</v>
      </c>
      <c r="K4825">
        <v>2</v>
      </c>
      <c r="L4825">
        <v>0</v>
      </c>
      <c r="M4825">
        <v>19.465599999999998</v>
      </c>
    </row>
    <row r="4826" spans="1:13" x14ac:dyDescent="0.3">
      <c r="A4826" t="s">
        <v>28</v>
      </c>
      <c r="B4826" t="s">
        <v>22</v>
      </c>
      <c r="C4826" t="s">
        <v>15</v>
      </c>
      <c r="D4826" t="s">
        <v>182</v>
      </c>
      <c r="E4826" t="s">
        <v>17</v>
      </c>
      <c r="F4826">
        <v>40475</v>
      </c>
      <c r="G4826" t="s">
        <v>18</v>
      </c>
      <c r="H4826" t="s">
        <v>26</v>
      </c>
      <c r="I4826" t="s">
        <v>34</v>
      </c>
      <c r="J4826">
        <v>5.64</v>
      </c>
      <c r="K4826">
        <v>3</v>
      </c>
      <c r="L4826">
        <v>0</v>
      </c>
      <c r="M4826">
        <v>1.6355999999999999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75</v>
      </c>
      <c r="E4827" t="s">
        <v>76</v>
      </c>
      <c r="F4827">
        <v>10035</v>
      </c>
      <c r="G4827" t="s">
        <v>57</v>
      </c>
      <c r="H4827" t="s">
        <v>26</v>
      </c>
      <c r="I4827" t="s">
        <v>37</v>
      </c>
      <c r="J4827">
        <v>13.776</v>
      </c>
      <c r="K4827">
        <v>3</v>
      </c>
      <c r="L4827">
        <v>0.2</v>
      </c>
      <c r="M4827">
        <v>4.4771999999999998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38</v>
      </c>
      <c r="J4828">
        <v>245.88</v>
      </c>
      <c r="K4828">
        <v>6</v>
      </c>
      <c r="L4828">
        <v>0</v>
      </c>
      <c r="M4828">
        <v>68.846400000000003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36.630000000000003</v>
      </c>
      <c r="K4829">
        <v>3</v>
      </c>
      <c r="L4829">
        <v>0</v>
      </c>
      <c r="M4829">
        <v>9.8901000000000003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32</v>
      </c>
      <c r="J4830">
        <v>22.58</v>
      </c>
      <c r="K4830">
        <v>2</v>
      </c>
      <c r="L4830">
        <v>0</v>
      </c>
      <c r="M4830">
        <v>5.8708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512</v>
      </c>
      <c r="E4831" t="s">
        <v>49</v>
      </c>
      <c r="F4831">
        <v>54401</v>
      </c>
      <c r="G4831" t="s">
        <v>47</v>
      </c>
      <c r="H4831" t="s">
        <v>26</v>
      </c>
      <c r="I4831" t="s">
        <v>37</v>
      </c>
      <c r="J4831">
        <v>12.39</v>
      </c>
      <c r="K4831">
        <v>3</v>
      </c>
      <c r="L4831">
        <v>0</v>
      </c>
      <c r="M4831">
        <v>5.8232999999999997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37</v>
      </c>
      <c r="J4832">
        <v>39.92</v>
      </c>
      <c r="K4832">
        <v>5</v>
      </c>
      <c r="L4832">
        <v>0.2</v>
      </c>
      <c r="M4832">
        <v>13.473000000000001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41</v>
      </c>
      <c r="J4833">
        <v>61.96</v>
      </c>
      <c r="K4833">
        <v>2</v>
      </c>
      <c r="L4833">
        <v>0</v>
      </c>
      <c r="M4833">
        <v>27.882000000000001</v>
      </c>
    </row>
    <row r="4834" spans="1:13" x14ac:dyDescent="0.3">
      <c r="A4834" t="s">
        <v>28</v>
      </c>
      <c r="B4834" t="s">
        <v>44</v>
      </c>
      <c r="C4834" t="s">
        <v>15</v>
      </c>
      <c r="D4834" t="s">
        <v>52</v>
      </c>
      <c r="E4834" t="s">
        <v>24</v>
      </c>
      <c r="F4834">
        <v>94110</v>
      </c>
      <c r="G4834" t="s">
        <v>25</v>
      </c>
      <c r="H4834" t="s">
        <v>26</v>
      </c>
      <c r="I4834" t="s">
        <v>37</v>
      </c>
      <c r="J4834">
        <v>19.936</v>
      </c>
      <c r="K4834">
        <v>4</v>
      </c>
      <c r="L4834">
        <v>0.2</v>
      </c>
      <c r="M4834">
        <v>7.2267999999999999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37</v>
      </c>
      <c r="J4835">
        <v>3.798</v>
      </c>
      <c r="K4835">
        <v>2</v>
      </c>
      <c r="L4835">
        <v>0.7</v>
      </c>
      <c r="M4835">
        <v>-2.6585999999999999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26</v>
      </c>
      <c r="I4836" t="s">
        <v>41</v>
      </c>
      <c r="J4836">
        <v>27.744</v>
      </c>
      <c r="K4836">
        <v>6</v>
      </c>
      <c r="L4836">
        <v>0.2</v>
      </c>
      <c r="M4836">
        <v>10.0572</v>
      </c>
    </row>
    <row r="4837" spans="1:13" x14ac:dyDescent="0.3">
      <c r="A4837" t="s">
        <v>62</v>
      </c>
      <c r="B4837" t="s">
        <v>14</v>
      </c>
      <c r="C4837" t="s">
        <v>15</v>
      </c>
      <c r="D4837" t="s">
        <v>139</v>
      </c>
      <c r="E4837" t="s">
        <v>104</v>
      </c>
      <c r="F4837">
        <v>43017</v>
      </c>
      <c r="G4837" t="s">
        <v>57</v>
      </c>
      <c r="H4837" t="s">
        <v>35</v>
      </c>
      <c r="I4837" t="s">
        <v>36</v>
      </c>
      <c r="J4837">
        <v>158.376</v>
      </c>
      <c r="K4837">
        <v>4</v>
      </c>
      <c r="L4837">
        <v>0.4</v>
      </c>
      <c r="M4837">
        <v>-34.314799999999998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16</v>
      </c>
      <c r="E4838" t="s">
        <v>17</v>
      </c>
      <c r="F4838">
        <v>42420</v>
      </c>
      <c r="G4838" t="s">
        <v>18</v>
      </c>
      <c r="H4838" t="s">
        <v>19</v>
      </c>
      <c r="I4838" t="s">
        <v>33</v>
      </c>
      <c r="J4838">
        <v>27.58</v>
      </c>
      <c r="K4838">
        <v>2</v>
      </c>
      <c r="L4838">
        <v>0</v>
      </c>
      <c r="M4838">
        <v>11.583600000000001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342</v>
      </c>
      <c r="E4839" t="s">
        <v>104</v>
      </c>
      <c r="F4839">
        <v>43402</v>
      </c>
      <c r="G4839" t="s">
        <v>57</v>
      </c>
      <c r="H4839" t="s">
        <v>26</v>
      </c>
      <c r="I4839" t="s">
        <v>37</v>
      </c>
      <c r="J4839">
        <v>5.5529999999999999</v>
      </c>
      <c r="K4839">
        <v>3</v>
      </c>
      <c r="L4839">
        <v>0.7</v>
      </c>
      <c r="M4839">
        <v>-4.0721999999999996</v>
      </c>
    </row>
    <row r="4840" spans="1:13" x14ac:dyDescent="0.3">
      <c r="A4840" t="s">
        <v>28</v>
      </c>
      <c r="B4840" t="s">
        <v>14</v>
      </c>
      <c r="C4840" t="s">
        <v>15</v>
      </c>
      <c r="D4840" t="s">
        <v>85</v>
      </c>
      <c r="E4840" t="s">
        <v>86</v>
      </c>
      <c r="F4840">
        <v>38109</v>
      </c>
      <c r="G4840" t="s">
        <v>18</v>
      </c>
      <c r="H4840" t="s">
        <v>26</v>
      </c>
      <c r="I4840" t="s">
        <v>32</v>
      </c>
      <c r="J4840">
        <v>243.92</v>
      </c>
      <c r="K4840">
        <v>5</v>
      </c>
      <c r="L4840">
        <v>0.2</v>
      </c>
      <c r="M4840">
        <v>-54.881999999999998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154</v>
      </c>
      <c r="E4841" t="s">
        <v>132</v>
      </c>
      <c r="F4841">
        <v>8701</v>
      </c>
      <c r="G4841" t="s">
        <v>57</v>
      </c>
      <c r="H4841" t="s">
        <v>26</v>
      </c>
      <c r="I4841" t="s">
        <v>77</v>
      </c>
      <c r="J4841">
        <v>14.96</v>
      </c>
      <c r="K4841">
        <v>4</v>
      </c>
      <c r="L4841">
        <v>0</v>
      </c>
      <c r="M4841">
        <v>0.29920000000000002</v>
      </c>
    </row>
    <row r="4842" spans="1:13" x14ac:dyDescent="0.3">
      <c r="A4842" t="s">
        <v>62</v>
      </c>
      <c r="B4842" t="s">
        <v>22</v>
      </c>
      <c r="C4842" t="s">
        <v>15</v>
      </c>
      <c r="D4842" t="s">
        <v>23</v>
      </c>
      <c r="E4842" t="s">
        <v>24</v>
      </c>
      <c r="F4842">
        <v>90008</v>
      </c>
      <c r="G4842" t="s">
        <v>25</v>
      </c>
      <c r="H4842" t="s">
        <v>26</v>
      </c>
      <c r="I4842" t="s">
        <v>37</v>
      </c>
      <c r="J4842">
        <v>7.1840000000000002</v>
      </c>
      <c r="K4842">
        <v>2</v>
      </c>
      <c r="L4842">
        <v>0.2</v>
      </c>
      <c r="M4842">
        <v>2.2450000000000001</v>
      </c>
    </row>
    <row r="4843" spans="1:13" x14ac:dyDescent="0.3">
      <c r="A4843" t="s">
        <v>13</v>
      </c>
      <c r="B4843" t="s">
        <v>14</v>
      </c>
      <c r="C4843" t="s">
        <v>15</v>
      </c>
      <c r="D4843" t="s">
        <v>92</v>
      </c>
      <c r="E4843" t="s">
        <v>76</v>
      </c>
      <c r="F4843">
        <v>14609</v>
      </c>
      <c r="G4843" t="s">
        <v>57</v>
      </c>
      <c r="H4843" t="s">
        <v>26</v>
      </c>
      <c r="I4843" t="s">
        <v>37</v>
      </c>
      <c r="J4843">
        <v>10.512</v>
      </c>
      <c r="K4843">
        <v>3</v>
      </c>
      <c r="L4843">
        <v>0.2</v>
      </c>
      <c r="M4843">
        <v>3.6791999999999998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35</v>
      </c>
      <c r="I4844" t="s">
        <v>36</v>
      </c>
      <c r="J4844">
        <v>263.95999999999998</v>
      </c>
      <c r="K4844">
        <v>5</v>
      </c>
      <c r="L4844">
        <v>0.2</v>
      </c>
      <c r="M4844">
        <v>19.797000000000001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71.632000000000005</v>
      </c>
      <c r="K4845">
        <v>11</v>
      </c>
      <c r="L4845">
        <v>0.2</v>
      </c>
      <c r="M4845">
        <v>17.908000000000001</v>
      </c>
    </row>
    <row r="4846" spans="1:13" x14ac:dyDescent="0.3">
      <c r="A4846" t="s">
        <v>13</v>
      </c>
      <c r="B4846" t="s">
        <v>22</v>
      </c>
      <c r="C4846" t="s">
        <v>15</v>
      </c>
      <c r="D4846" t="s">
        <v>210</v>
      </c>
      <c r="E4846" t="s">
        <v>95</v>
      </c>
      <c r="F4846">
        <v>97301</v>
      </c>
      <c r="G4846" t="s">
        <v>25</v>
      </c>
      <c r="H4846" t="s">
        <v>26</v>
      </c>
      <c r="I4846" t="s">
        <v>34</v>
      </c>
      <c r="J4846">
        <v>9.3279999999999994</v>
      </c>
      <c r="K4846">
        <v>1</v>
      </c>
      <c r="L4846">
        <v>0.2</v>
      </c>
      <c r="M4846">
        <v>0.81620000000000004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26</v>
      </c>
      <c r="I4847" t="s">
        <v>34</v>
      </c>
      <c r="J4847">
        <v>5.88</v>
      </c>
      <c r="K4847">
        <v>2</v>
      </c>
      <c r="L4847">
        <v>0</v>
      </c>
      <c r="M4847">
        <v>2.6459999999999999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19</v>
      </c>
      <c r="I4848" t="s">
        <v>21</v>
      </c>
      <c r="J4848">
        <v>975.92</v>
      </c>
      <c r="K4848">
        <v>5</v>
      </c>
      <c r="L4848">
        <v>0.2</v>
      </c>
      <c r="M4848">
        <v>121.99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34</v>
      </c>
      <c r="J4849">
        <v>303.83999999999997</v>
      </c>
      <c r="K4849">
        <v>8</v>
      </c>
      <c r="L4849">
        <v>0</v>
      </c>
      <c r="M4849">
        <v>91.152000000000001</v>
      </c>
    </row>
    <row r="4850" spans="1:13" x14ac:dyDescent="0.3">
      <c r="A4850" t="s">
        <v>28</v>
      </c>
      <c r="B4850" t="s">
        <v>14</v>
      </c>
      <c r="C4850" t="s">
        <v>15</v>
      </c>
      <c r="D4850" t="s">
        <v>513</v>
      </c>
      <c r="E4850" t="s">
        <v>43</v>
      </c>
      <c r="F4850">
        <v>99301</v>
      </c>
      <c r="G4850" t="s">
        <v>25</v>
      </c>
      <c r="H4850" t="s">
        <v>26</v>
      </c>
      <c r="I4850" t="s">
        <v>32</v>
      </c>
      <c r="J4850">
        <v>485.88</v>
      </c>
      <c r="K4850">
        <v>6</v>
      </c>
      <c r="L4850">
        <v>0</v>
      </c>
      <c r="M4850">
        <v>19.435199999999998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19</v>
      </c>
      <c r="I4851" t="s">
        <v>33</v>
      </c>
      <c r="J4851">
        <v>12.54</v>
      </c>
      <c r="K4851">
        <v>3</v>
      </c>
      <c r="L4851">
        <v>0</v>
      </c>
      <c r="M4851">
        <v>4.5144000000000002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26</v>
      </c>
      <c r="I4852" t="s">
        <v>32</v>
      </c>
      <c r="J4852">
        <v>8.94</v>
      </c>
      <c r="K4852">
        <v>3</v>
      </c>
      <c r="L4852">
        <v>0</v>
      </c>
      <c r="M4852">
        <v>0.62580000000000002</v>
      </c>
    </row>
    <row r="4853" spans="1:13" x14ac:dyDescent="0.3">
      <c r="A4853" t="s">
        <v>13</v>
      </c>
      <c r="B4853" t="s">
        <v>14</v>
      </c>
      <c r="C4853" t="s">
        <v>15</v>
      </c>
      <c r="D4853" t="s">
        <v>267</v>
      </c>
      <c r="E4853" t="s">
        <v>24</v>
      </c>
      <c r="F4853">
        <v>94601</v>
      </c>
      <c r="G4853" t="s">
        <v>25</v>
      </c>
      <c r="H4853" t="s">
        <v>19</v>
      </c>
      <c r="I4853" t="s">
        <v>33</v>
      </c>
      <c r="J4853">
        <v>9.24</v>
      </c>
      <c r="K4853">
        <v>3</v>
      </c>
      <c r="L4853">
        <v>0</v>
      </c>
      <c r="M4853">
        <v>4.4352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26</v>
      </c>
      <c r="I4854" t="s">
        <v>37</v>
      </c>
      <c r="J4854">
        <v>70.007999999999996</v>
      </c>
      <c r="K4854">
        <v>3</v>
      </c>
      <c r="L4854">
        <v>0.2</v>
      </c>
      <c r="M4854">
        <v>24.502800000000001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77.599999999999994</v>
      </c>
      <c r="K4855">
        <v>4</v>
      </c>
      <c r="L4855">
        <v>0</v>
      </c>
      <c r="M4855">
        <v>38.024000000000001</v>
      </c>
    </row>
    <row r="4856" spans="1:13" x14ac:dyDescent="0.3">
      <c r="A4856" t="s">
        <v>28</v>
      </c>
      <c r="B4856" t="s">
        <v>14</v>
      </c>
      <c r="C4856" t="s">
        <v>15</v>
      </c>
      <c r="D4856" t="s">
        <v>23</v>
      </c>
      <c r="E4856" t="s">
        <v>24</v>
      </c>
      <c r="F4856">
        <v>90004</v>
      </c>
      <c r="G4856" t="s">
        <v>25</v>
      </c>
      <c r="H4856" t="s">
        <v>19</v>
      </c>
      <c r="I4856" t="s">
        <v>33</v>
      </c>
      <c r="J4856">
        <v>464.85</v>
      </c>
      <c r="K4856">
        <v>9</v>
      </c>
      <c r="L4856">
        <v>0</v>
      </c>
      <c r="M4856">
        <v>92.97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514</v>
      </c>
      <c r="E4857" t="s">
        <v>65</v>
      </c>
      <c r="F4857">
        <v>60302</v>
      </c>
      <c r="G4857" t="s">
        <v>47</v>
      </c>
      <c r="H4857" t="s">
        <v>26</v>
      </c>
      <c r="I4857" t="s">
        <v>34</v>
      </c>
      <c r="J4857">
        <v>10.192</v>
      </c>
      <c r="K4857">
        <v>7</v>
      </c>
      <c r="L4857">
        <v>0.2</v>
      </c>
      <c r="M4857">
        <v>1.0192000000000001</v>
      </c>
    </row>
    <row r="4858" spans="1:13" x14ac:dyDescent="0.3">
      <c r="A4858" t="s">
        <v>28</v>
      </c>
      <c r="B4858" t="s">
        <v>22</v>
      </c>
      <c r="C4858" t="s">
        <v>15</v>
      </c>
      <c r="D4858" t="s">
        <v>147</v>
      </c>
      <c r="E4858" t="s">
        <v>132</v>
      </c>
      <c r="F4858">
        <v>7960</v>
      </c>
      <c r="G4858" t="s">
        <v>57</v>
      </c>
      <c r="H4858" t="s">
        <v>26</v>
      </c>
      <c r="I4858" t="s">
        <v>37</v>
      </c>
      <c r="J4858">
        <v>1793.98</v>
      </c>
      <c r="K4858">
        <v>2</v>
      </c>
      <c r="L4858">
        <v>0</v>
      </c>
      <c r="M4858">
        <v>843.17060000000004</v>
      </c>
    </row>
    <row r="4859" spans="1:13" x14ac:dyDescent="0.3">
      <c r="A4859" t="s">
        <v>13</v>
      </c>
      <c r="B4859" t="s">
        <v>44</v>
      </c>
      <c r="C4859" t="s">
        <v>15</v>
      </c>
      <c r="D4859" t="s">
        <v>164</v>
      </c>
      <c r="E4859" t="s">
        <v>46</v>
      </c>
      <c r="F4859">
        <v>78745</v>
      </c>
      <c r="G4859" t="s">
        <v>47</v>
      </c>
      <c r="H4859" t="s">
        <v>35</v>
      </c>
      <c r="I4859" t="s">
        <v>36</v>
      </c>
      <c r="J4859">
        <v>758.35199999999998</v>
      </c>
      <c r="K4859">
        <v>6</v>
      </c>
      <c r="L4859">
        <v>0.2</v>
      </c>
      <c r="M4859">
        <v>265.42320000000001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20.367999999999999</v>
      </c>
      <c r="K4860">
        <v>1</v>
      </c>
      <c r="L4860">
        <v>0.2</v>
      </c>
      <c r="M4860">
        <v>7.3834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75</v>
      </c>
      <c r="E4861" t="s">
        <v>76</v>
      </c>
      <c r="F4861">
        <v>10011</v>
      </c>
      <c r="G4861" t="s">
        <v>57</v>
      </c>
      <c r="H4861" t="s">
        <v>26</v>
      </c>
      <c r="I4861" t="s">
        <v>37</v>
      </c>
      <c r="J4861">
        <v>49.847999999999999</v>
      </c>
      <c r="K4861">
        <v>3</v>
      </c>
      <c r="L4861">
        <v>0.2</v>
      </c>
      <c r="M4861">
        <v>16.823699999999999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75</v>
      </c>
      <c r="E4862" t="s">
        <v>76</v>
      </c>
      <c r="F4862">
        <v>10024</v>
      </c>
      <c r="G4862" t="s">
        <v>57</v>
      </c>
      <c r="H4862" t="s">
        <v>35</v>
      </c>
      <c r="I4862" t="s">
        <v>36</v>
      </c>
      <c r="J4862">
        <v>239.97</v>
      </c>
      <c r="K4862">
        <v>3</v>
      </c>
      <c r="L4862">
        <v>0</v>
      </c>
      <c r="M4862">
        <v>67.191599999999994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19</v>
      </c>
      <c r="I4863" t="s">
        <v>21</v>
      </c>
      <c r="J4863">
        <v>2404.7040000000002</v>
      </c>
      <c r="K4863">
        <v>6</v>
      </c>
      <c r="L4863">
        <v>0.2</v>
      </c>
      <c r="M4863">
        <v>150.29400000000001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37</v>
      </c>
      <c r="J4864">
        <v>563.024</v>
      </c>
      <c r="K4864">
        <v>11</v>
      </c>
      <c r="L4864">
        <v>0.2</v>
      </c>
      <c r="M4864">
        <v>190.0206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32</v>
      </c>
      <c r="J4865">
        <v>344.91</v>
      </c>
      <c r="K4865">
        <v>3</v>
      </c>
      <c r="L4865">
        <v>0</v>
      </c>
      <c r="M4865">
        <v>10.347300000000001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42</v>
      </c>
      <c r="E4866" t="s">
        <v>43</v>
      </c>
      <c r="F4866">
        <v>98103</v>
      </c>
      <c r="G4866" t="s">
        <v>25</v>
      </c>
      <c r="H4866" t="s">
        <v>26</v>
      </c>
      <c r="I4866" t="s">
        <v>27</v>
      </c>
      <c r="J4866">
        <v>8.64</v>
      </c>
      <c r="K4866">
        <v>3</v>
      </c>
      <c r="L4866">
        <v>0</v>
      </c>
      <c r="M4866">
        <v>4.2336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35</v>
      </c>
      <c r="I4867" t="s">
        <v>36</v>
      </c>
      <c r="J4867">
        <v>89.988</v>
      </c>
      <c r="K4867">
        <v>2</v>
      </c>
      <c r="L4867">
        <v>0.4</v>
      </c>
      <c r="M4867">
        <v>-14.997999999999999</v>
      </c>
    </row>
    <row r="4868" spans="1:13" x14ac:dyDescent="0.3">
      <c r="A4868" t="s">
        <v>28</v>
      </c>
      <c r="B4868" t="s">
        <v>22</v>
      </c>
      <c r="C4868" t="s">
        <v>15</v>
      </c>
      <c r="D4868" t="s">
        <v>235</v>
      </c>
      <c r="E4868" t="s">
        <v>56</v>
      </c>
      <c r="F4868">
        <v>17602</v>
      </c>
      <c r="G4868" t="s">
        <v>57</v>
      </c>
      <c r="H4868" t="s">
        <v>26</v>
      </c>
      <c r="I4868" t="s">
        <v>41</v>
      </c>
      <c r="J4868">
        <v>229.54400000000001</v>
      </c>
      <c r="K4868">
        <v>7</v>
      </c>
      <c r="L4868">
        <v>0.2</v>
      </c>
      <c r="M4868">
        <v>83.209699999999998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77</v>
      </c>
      <c r="J4869">
        <v>1.8240000000000001</v>
      </c>
      <c r="K4869">
        <v>2</v>
      </c>
      <c r="L4869">
        <v>0.2</v>
      </c>
      <c r="M4869">
        <v>0.61560000000000004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38</v>
      </c>
      <c r="J4870">
        <v>18.32</v>
      </c>
      <c r="K4870">
        <v>5</v>
      </c>
      <c r="L4870">
        <v>0.8</v>
      </c>
      <c r="M4870">
        <v>-46.716000000000001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32</v>
      </c>
      <c r="J4871">
        <v>48.816000000000003</v>
      </c>
      <c r="K4871">
        <v>3</v>
      </c>
      <c r="L4871">
        <v>0.2</v>
      </c>
      <c r="M4871">
        <v>-11.5938</v>
      </c>
    </row>
    <row r="4872" spans="1:13" x14ac:dyDescent="0.3">
      <c r="A4872" t="s">
        <v>28</v>
      </c>
      <c r="B4872" t="s">
        <v>14</v>
      </c>
      <c r="C4872" t="s">
        <v>15</v>
      </c>
      <c r="D4872" t="s">
        <v>61</v>
      </c>
      <c r="E4872" t="s">
        <v>46</v>
      </c>
      <c r="F4872">
        <v>77095</v>
      </c>
      <c r="G4872" t="s">
        <v>47</v>
      </c>
      <c r="H4872" t="s">
        <v>26</v>
      </c>
      <c r="I4872" t="s">
        <v>37</v>
      </c>
      <c r="J4872">
        <v>1.1879999999999999</v>
      </c>
      <c r="K4872">
        <v>1</v>
      </c>
      <c r="L4872">
        <v>0.8</v>
      </c>
      <c r="M4872">
        <v>-1.9601999999999999</v>
      </c>
    </row>
    <row r="4873" spans="1:13" x14ac:dyDescent="0.3">
      <c r="A4873" t="s">
        <v>28</v>
      </c>
      <c r="B4873" t="s">
        <v>22</v>
      </c>
      <c r="C4873" t="s">
        <v>15</v>
      </c>
      <c r="D4873" t="s">
        <v>103</v>
      </c>
      <c r="E4873" t="s">
        <v>104</v>
      </c>
      <c r="F4873">
        <v>43229</v>
      </c>
      <c r="G4873" t="s">
        <v>57</v>
      </c>
      <c r="H4873" t="s">
        <v>35</v>
      </c>
      <c r="I4873" t="s">
        <v>59</v>
      </c>
      <c r="J4873">
        <v>119.8</v>
      </c>
      <c r="K4873">
        <v>5</v>
      </c>
      <c r="L4873">
        <v>0.2</v>
      </c>
      <c r="M4873">
        <v>29.95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32</v>
      </c>
      <c r="J4874">
        <v>61.567999999999998</v>
      </c>
      <c r="K4874">
        <v>2</v>
      </c>
      <c r="L4874">
        <v>0.2</v>
      </c>
      <c r="M4874">
        <v>4.6176000000000004</v>
      </c>
    </row>
    <row r="4875" spans="1:13" x14ac:dyDescent="0.3">
      <c r="A4875" t="s">
        <v>28</v>
      </c>
      <c r="B4875" t="s">
        <v>44</v>
      </c>
      <c r="C4875" t="s">
        <v>15</v>
      </c>
      <c r="D4875" t="s">
        <v>89</v>
      </c>
      <c r="E4875" t="s">
        <v>40</v>
      </c>
      <c r="F4875">
        <v>27707</v>
      </c>
      <c r="G4875" t="s">
        <v>18</v>
      </c>
      <c r="H4875" t="s">
        <v>26</v>
      </c>
      <c r="I4875" t="s">
        <v>34</v>
      </c>
      <c r="J4875">
        <v>6.1920000000000002</v>
      </c>
      <c r="K4875">
        <v>3</v>
      </c>
      <c r="L4875">
        <v>0.2</v>
      </c>
      <c r="M4875">
        <v>0.46439999999999998</v>
      </c>
    </row>
    <row r="4876" spans="1:13" x14ac:dyDescent="0.3">
      <c r="A4876" t="s">
        <v>62</v>
      </c>
      <c r="B4876" t="s">
        <v>14</v>
      </c>
      <c r="C4876" t="s">
        <v>15</v>
      </c>
      <c r="D4876" t="s">
        <v>515</v>
      </c>
      <c r="E4876" t="s">
        <v>30</v>
      </c>
      <c r="F4876">
        <v>32503</v>
      </c>
      <c r="G4876" t="s">
        <v>18</v>
      </c>
      <c r="H4876" t="s">
        <v>26</v>
      </c>
      <c r="I4876" t="s">
        <v>37</v>
      </c>
      <c r="J4876">
        <v>2.214</v>
      </c>
      <c r="K4876">
        <v>3</v>
      </c>
      <c r="L4876">
        <v>0.7</v>
      </c>
      <c r="M4876">
        <v>-1.476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26</v>
      </c>
      <c r="I4877" t="s">
        <v>60</v>
      </c>
      <c r="J4877">
        <v>5.32</v>
      </c>
      <c r="K4877">
        <v>2</v>
      </c>
      <c r="L4877">
        <v>0</v>
      </c>
      <c r="M4877">
        <v>2.6067999999999998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19</v>
      </c>
      <c r="I4878" t="s">
        <v>21</v>
      </c>
      <c r="J4878">
        <v>975.92</v>
      </c>
      <c r="K4878">
        <v>4</v>
      </c>
      <c r="L4878">
        <v>0</v>
      </c>
      <c r="M4878">
        <v>292.77600000000001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35</v>
      </c>
      <c r="I4879" t="s">
        <v>59</v>
      </c>
      <c r="J4879">
        <v>2249.91</v>
      </c>
      <c r="K4879">
        <v>9</v>
      </c>
      <c r="L4879">
        <v>0</v>
      </c>
      <c r="M4879">
        <v>517.47929999999997</v>
      </c>
    </row>
    <row r="4880" spans="1:13" x14ac:dyDescent="0.3">
      <c r="A4880" t="s">
        <v>13</v>
      </c>
      <c r="B4880" t="s">
        <v>22</v>
      </c>
      <c r="C4880" t="s">
        <v>15</v>
      </c>
      <c r="D4880" t="s">
        <v>16</v>
      </c>
      <c r="E4880" t="s">
        <v>17</v>
      </c>
      <c r="F4880">
        <v>42420</v>
      </c>
      <c r="G4880" t="s">
        <v>18</v>
      </c>
      <c r="H4880" t="s">
        <v>26</v>
      </c>
      <c r="I4880" t="s">
        <v>32</v>
      </c>
      <c r="J4880">
        <v>59.92</v>
      </c>
      <c r="K4880">
        <v>4</v>
      </c>
      <c r="L4880">
        <v>0</v>
      </c>
      <c r="M4880">
        <v>16.7776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37</v>
      </c>
      <c r="J4881">
        <v>171.2</v>
      </c>
      <c r="K4881">
        <v>5</v>
      </c>
      <c r="L4881">
        <v>0.2</v>
      </c>
      <c r="M4881">
        <v>64.2</v>
      </c>
    </row>
    <row r="4882" spans="1:13" x14ac:dyDescent="0.3">
      <c r="A4882" t="s">
        <v>28</v>
      </c>
      <c r="B4882" t="s">
        <v>14</v>
      </c>
      <c r="C4882" t="s">
        <v>15</v>
      </c>
      <c r="D4882" t="s">
        <v>208</v>
      </c>
      <c r="E4882" t="s">
        <v>24</v>
      </c>
      <c r="F4882">
        <v>92804</v>
      </c>
      <c r="G4882" t="s">
        <v>25</v>
      </c>
      <c r="H4882" t="s">
        <v>26</v>
      </c>
      <c r="I4882" t="s">
        <v>34</v>
      </c>
      <c r="J4882">
        <v>3.36</v>
      </c>
      <c r="K4882">
        <v>2</v>
      </c>
      <c r="L4882">
        <v>0</v>
      </c>
      <c r="M4882">
        <v>0.87360000000000004</v>
      </c>
    </row>
    <row r="4883" spans="1:13" x14ac:dyDescent="0.3">
      <c r="A4883" t="s">
        <v>28</v>
      </c>
      <c r="B4883" t="s">
        <v>22</v>
      </c>
      <c r="C4883" t="s">
        <v>15</v>
      </c>
      <c r="D4883" t="s">
        <v>140</v>
      </c>
      <c r="E4883" t="s">
        <v>70</v>
      </c>
      <c r="F4883">
        <v>48227</v>
      </c>
      <c r="G4883" t="s">
        <v>47</v>
      </c>
      <c r="H4883" t="s">
        <v>26</v>
      </c>
      <c r="I4883" t="s">
        <v>41</v>
      </c>
      <c r="J4883">
        <v>114.2</v>
      </c>
      <c r="K4883">
        <v>5</v>
      </c>
      <c r="L4883">
        <v>0</v>
      </c>
      <c r="M4883">
        <v>52.531999999999996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19</v>
      </c>
      <c r="I4884" t="s">
        <v>21</v>
      </c>
      <c r="J4884">
        <v>182.67</v>
      </c>
      <c r="K4884">
        <v>3</v>
      </c>
      <c r="L4884">
        <v>0</v>
      </c>
      <c r="M4884">
        <v>52.974299999999999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35</v>
      </c>
      <c r="I4885" t="s">
        <v>59</v>
      </c>
      <c r="J4885">
        <v>101.7</v>
      </c>
      <c r="K4885">
        <v>6</v>
      </c>
      <c r="L4885">
        <v>0</v>
      </c>
      <c r="M4885">
        <v>6.1020000000000003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1126.02</v>
      </c>
      <c r="K4886">
        <v>3</v>
      </c>
      <c r="L4886">
        <v>0</v>
      </c>
      <c r="M4886">
        <v>56.301000000000002</v>
      </c>
    </row>
    <row r="4887" spans="1:13" x14ac:dyDescent="0.3">
      <c r="A4887" t="s">
        <v>13</v>
      </c>
      <c r="B4887" t="s">
        <v>22</v>
      </c>
      <c r="C4887" t="s">
        <v>15</v>
      </c>
      <c r="D4887" t="s">
        <v>510</v>
      </c>
      <c r="E4887" t="s">
        <v>167</v>
      </c>
      <c r="F4887">
        <v>30062</v>
      </c>
      <c r="G4887" t="s">
        <v>18</v>
      </c>
      <c r="H4887" t="s">
        <v>26</v>
      </c>
      <c r="I4887" t="s">
        <v>32</v>
      </c>
      <c r="J4887">
        <v>1263.3</v>
      </c>
      <c r="K4887">
        <v>6</v>
      </c>
      <c r="L4887">
        <v>0</v>
      </c>
      <c r="M4887">
        <v>315.82499999999999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34</v>
      </c>
      <c r="J4888">
        <v>8.82</v>
      </c>
      <c r="K4888">
        <v>3</v>
      </c>
      <c r="L4888">
        <v>0</v>
      </c>
      <c r="M4888">
        <v>2.5577999999999999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41</v>
      </c>
      <c r="J4889">
        <v>37.94</v>
      </c>
      <c r="K4889">
        <v>2</v>
      </c>
      <c r="L4889">
        <v>0</v>
      </c>
      <c r="M4889">
        <v>18.211200000000002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34</v>
      </c>
      <c r="J4890">
        <v>4.2</v>
      </c>
      <c r="K4890">
        <v>2</v>
      </c>
      <c r="L4890">
        <v>0</v>
      </c>
      <c r="M4890">
        <v>1.1759999999999999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32</v>
      </c>
      <c r="J4891">
        <v>227.28</v>
      </c>
      <c r="K4891">
        <v>2</v>
      </c>
      <c r="L4891">
        <v>0</v>
      </c>
      <c r="M4891">
        <v>2.2728000000000002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41</v>
      </c>
      <c r="J4892">
        <v>47.9</v>
      </c>
      <c r="K4892">
        <v>1</v>
      </c>
      <c r="L4892">
        <v>0</v>
      </c>
      <c r="M4892">
        <v>22.992000000000001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60</v>
      </c>
      <c r="J4893">
        <v>61.96</v>
      </c>
      <c r="K4893">
        <v>2</v>
      </c>
      <c r="L4893">
        <v>0</v>
      </c>
      <c r="M4893">
        <v>30.360399999999998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32</v>
      </c>
      <c r="J4894">
        <v>1117.92</v>
      </c>
      <c r="K4894">
        <v>4</v>
      </c>
      <c r="L4894">
        <v>0</v>
      </c>
      <c r="M4894">
        <v>55.896000000000001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19</v>
      </c>
      <c r="I4895" t="s">
        <v>21</v>
      </c>
      <c r="J4895">
        <v>183.37200000000001</v>
      </c>
      <c r="K4895">
        <v>2</v>
      </c>
      <c r="L4895">
        <v>0.3</v>
      </c>
      <c r="M4895">
        <v>-7.8587999999999996</v>
      </c>
    </row>
    <row r="4896" spans="1:13" x14ac:dyDescent="0.3">
      <c r="A4896" t="s">
        <v>62</v>
      </c>
      <c r="B4896" t="s">
        <v>14</v>
      </c>
      <c r="C4896" t="s">
        <v>15</v>
      </c>
      <c r="D4896" t="s">
        <v>300</v>
      </c>
      <c r="E4896" t="s">
        <v>104</v>
      </c>
      <c r="F4896">
        <v>44134</v>
      </c>
      <c r="G4896" t="s">
        <v>57</v>
      </c>
      <c r="H4896" t="s">
        <v>26</v>
      </c>
      <c r="I4896" t="s">
        <v>41</v>
      </c>
      <c r="J4896">
        <v>7.968</v>
      </c>
      <c r="K4896">
        <v>2</v>
      </c>
      <c r="L4896">
        <v>0.2</v>
      </c>
      <c r="M4896">
        <v>2.8883999999999999</v>
      </c>
    </row>
    <row r="4897" spans="1:13" x14ac:dyDescent="0.3">
      <c r="A4897" t="s">
        <v>28</v>
      </c>
      <c r="B4897" t="s">
        <v>14</v>
      </c>
      <c r="C4897" t="s">
        <v>15</v>
      </c>
      <c r="D4897" t="s">
        <v>434</v>
      </c>
      <c r="E4897" t="s">
        <v>95</v>
      </c>
      <c r="F4897">
        <v>97030</v>
      </c>
      <c r="G4897" t="s">
        <v>25</v>
      </c>
      <c r="H4897" t="s">
        <v>26</v>
      </c>
      <c r="I4897" t="s">
        <v>37</v>
      </c>
      <c r="J4897">
        <v>26.352</v>
      </c>
      <c r="K4897">
        <v>8</v>
      </c>
      <c r="L4897">
        <v>0.7</v>
      </c>
      <c r="M4897">
        <v>-18.446400000000001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32</v>
      </c>
      <c r="J4898">
        <v>481.32</v>
      </c>
      <c r="K4898">
        <v>4</v>
      </c>
      <c r="L4898">
        <v>0</v>
      </c>
      <c r="M4898">
        <v>125.14319999999999</v>
      </c>
    </row>
    <row r="4899" spans="1:13" x14ac:dyDescent="0.3">
      <c r="A4899" t="s">
        <v>28</v>
      </c>
      <c r="B4899" t="s">
        <v>22</v>
      </c>
      <c r="C4899" t="s">
        <v>15</v>
      </c>
      <c r="D4899" t="s">
        <v>208</v>
      </c>
      <c r="E4899" t="s">
        <v>24</v>
      </c>
      <c r="F4899">
        <v>92804</v>
      </c>
      <c r="G4899" t="s">
        <v>25</v>
      </c>
      <c r="H4899" t="s">
        <v>26</v>
      </c>
      <c r="I4899" t="s">
        <v>110</v>
      </c>
      <c r="J4899">
        <v>13.98</v>
      </c>
      <c r="K4899">
        <v>1</v>
      </c>
      <c r="L4899">
        <v>0</v>
      </c>
      <c r="M4899">
        <v>3.6347999999999998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37</v>
      </c>
      <c r="J4900">
        <v>25.92</v>
      </c>
      <c r="K4900">
        <v>6</v>
      </c>
      <c r="L4900">
        <v>0.2</v>
      </c>
      <c r="M4900">
        <v>9.0719999999999992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75</v>
      </c>
      <c r="E4901" t="s">
        <v>76</v>
      </c>
      <c r="F4901">
        <v>10035</v>
      </c>
      <c r="G4901" t="s">
        <v>57</v>
      </c>
      <c r="H4901" t="s">
        <v>26</v>
      </c>
      <c r="I4901" t="s">
        <v>27</v>
      </c>
      <c r="J4901">
        <v>91.59</v>
      </c>
      <c r="K4901">
        <v>3</v>
      </c>
      <c r="L4901">
        <v>0</v>
      </c>
      <c r="M4901">
        <v>42.131399999999999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61</v>
      </c>
      <c r="E4902" t="s">
        <v>46</v>
      </c>
      <c r="F4902">
        <v>77070</v>
      </c>
      <c r="G4902" t="s">
        <v>47</v>
      </c>
      <c r="H4902" t="s">
        <v>19</v>
      </c>
      <c r="I4902" t="s">
        <v>21</v>
      </c>
      <c r="J4902">
        <v>674.05799999999999</v>
      </c>
      <c r="K4902">
        <v>3</v>
      </c>
      <c r="L4902">
        <v>0.3</v>
      </c>
      <c r="M4902">
        <v>-19.258800000000001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37</v>
      </c>
      <c r="J4903">
        <v>22.92</v>
      </c>
      <c r="K4903">
        <v>4</v>
      </c>
      <c r="L4903">
        <v>0</v>
      </c>
      <c r="M4903">
        <v>11.0016</v>
      </c>
    </row>
    <row r="4904" spans="1:13" x14ac:dyDescent="0.3">
      <c r="A4904" t="s">
        <v>13</v>
      </c>
      <c r="B4904" t="s">
        <v>22</v>
      </c>
      <c r="C4904" t="s">
        <v>15</v>
      </c>
      <c r="D4904" t="s">
        <v>39</v>
      </c>
      <c r="E4904" t="s">
        <v>247</v>
      </c>
      <c r="F4904">
        <v>3301</v>
      </c>
      <c r="G4904" t="s">
        <v>57</v>
      </c>
      <c r="H4904" t="s">
        <v>26</v>
      </c>
      <c r="I4904" t="s">
        <v>32</v>
      </c>
      <c r="J4904">
        <v>269.89999999999998</v>
      </c>
      <c r="K4904">
        <v>5</v>
      </c>
      <c r="L4904">
        <v>0</v>
      </c>
      <c r="M4904">
        <v>16.193999999999999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26</v>
      </c>
      <c r="I4905" t="s">
        <v>37</v>
      </c>
      <c r="J4905">
        <v>11.808</v>
      </c>
      <c r="K4905">
        <v>8</v>
      </c>
      <c r="L4905">
        <v>0.7</v>
      </c>
      <c r="M4905">
        <v>-8.6592000000000002</v>
      </c>
    </row>
    <row r="4906" spans="1:13" x14ac:dyDescent="0.3">
      <c r="A4906" t="s">
        <v>13</v>
      </c>
      <c r="B4906" t="s">
        <v>14</v>
      </c>
      <c r="C4906" t="s">
        <v>15</v>
      </c>
      <c r="D4906" t="s">
        <v>126</v>
      </c>
      <c r="E4906" t="s">
        <v>104</v>
      </c>
      <c r="F4906">
        <v>45014</v>
      </c>
      <c r="G4906" t="s">
        <v>57</v>
      </c>
      <c r="H4906" t="s">
        <v>35</v>
      </c>
      <c r="I4906" t="s">
        <v>36</v>
      </c>
      <c r="J4906">
        <v>9.5879999999999992</v>
      </c>
      <c r="K4906">
        <v>2</v>
      </c>
      <c r="L4906">
        <v>0.4</v>
      </c>
      <c r="M4906">
        <v>-2.0773999999999999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60</v>
      </c>
      <c r="J4907">
        <v>18.335999999999999</v>
      </c>
      <c r="K4907">
        <v>3</v>
      </c>
      <c r="L4907">
        <v>0.2</v>
      </c>
      <c r="M4907">
        <v>6.6467999999999998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26</v>
      </c>
      <c r="I4908" t="s">
        <v>41</v>
      </c>
      <c r="J4908">
        <v>36.287999999999997</v>
      </c>
      <c r="K4908">
        <v>7</v>
      </c>
      <c r="L4908">
        <v>0.2</v>
      </c>
      <c r="M4908">
        <v>12.700799999999999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35</v>
      </c>
      <c r="I4909" t="s">
        <v>36</v>
      </c>
      <c r="J4909">
        <v>111.98399999999999</v>
      </c>
      <c r="K4909">
        <v>2</v>
      </c>
      <c r="L4909">
        <v>0.2</v>
      </c>
      <c r="M4909">
        <v>6.9989999999999997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5.97</v>
      </c>
      <c r="K4910">
        <v>5</v>
      </c>
      <c r="L4910">
        <v>0.7</v>
      </c>
      <c r="M4910">
        <v>-4.577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37</v>
      </c>
      <c r="J4911">
        <v>2.508</v>
      </c>
      <c r="K4911">
        <v>2</v>
      </c>
      <c r="L4911">
        <v>0.7</v>
      </c>
      <c r="M4911">
        <v>-1.8391999999999999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34</v>
      </c>
      <c r="J4912">
        <v>35.96</v>
      </c>
      <c r="K4912">
        <v>2</v>
      </c>
      <c r="L4912">
        <v>0</v>
      </c>
      <c r="M4912">
        <v>10.4284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42</v>
      </c>
      <c r="E4913" t="s">
        <v>43</v>
      </c>
      <c r="F4913">
        <v>98105</v>
      </c>
      <c r="G4913" t="s">
        <v>25</v>
      </c>
      <c r="H4913" t="s">
        <v>26</v>
      </c>
      <c r="I4913" t="s">
        <v>37</v>
      </c>
      <c r="J4913">
        <v>14.952</v>
      </c>
      <c r="K4913">
        <v>3</v>
      </c>
      <c r="L4913">
        <v>0.2</v>
      </c>
      <c r="M4913">
        <v>5.4200999999999997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26</v>
      </c>
      <c r="I4914" t="s">
        <v>34</v>
      </c>
      <c r="J4914">
        <v>67.144000000000005</v>
      </c>
      <c r="K4914">
        <v>7</v>
      </c>
      <c r="L4914">
        <v>0.2</v>
      </c>
      <c r="M4914">
        <v>5.8750999999999998</v>
      </c>
    </row>
    <row r="4915" spans="1:13" x14ac:dyDescent="0.3">
      <c r="A4915" t="s">
        <v>13</v>
      </c>
      <c r="B4915" t="s">
        <v>14</v>
      </c>
      <c r="C4915" t="s">
        <v>15</v>
      </c>
      <c r="D4915" t="s">
        <v>516</v>
      </c>
      <c r="E4915" t="s">
        <v>46</v>
      </c>
      <c r="F4915">
        <v>77573</v>
      </c>
      <c r="G4915" t="s">
        <v>47</v>
      </c>
      <c r="H4915" t="s">
        <v>19</v>
      </c>
      <c r="I4915" t="s">
        <v>21</v>
      </c>
      <c r="J4915">
        <v>254.05799999999999</v>
      </c>
      <c r="K4915">
        <v>3</v>
      </c>
      <c r="L4915">
        <v>0.3</v>
      </c>
      <c r="M4915">
        <v>-32.6646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19</v>
      </c>
      <c r="I4916" t="s">
        <v>20</v>
      </c>
      <c r="J4916">
        <v>173.94</v>
      </c>
      <c r="K4916">
        <v>3</v>
      </c>
      <c r="L4916">
        <v>0</v>
      </c>
      <c r="M4916">
        <v>38.266800000000003</v>
      </c>
    </row>
    <row r="4917" spans="1:13" x14ac:dyDescent="0.3">
      <c r="A4917" t="s">
        <v>28</v>
      </c>
      <c r="B4917" t="s">
        <v>22</v>
      </c>
      <c r="C4917" t="s">
        <v>15</v>
      </c>
      <c r="D4917" t="s">
        <v>517</v>
      </c>
      <c r="E4917" t="s">
        <v>248</v>
      </c>
      <c r="F4917">
        <v>20877</v>
      </c>
      <c r="G4917" t="s">
        <v>57</v>
      </c>
      <c r="H4917" t="s">
        <v>35</v>
      </c>
      <c r="I4917" t="s">
        <v>36</v>
      </c>
      <c r="J4917">
        <v>231.98</v>
      </c>
      <c r="K4917">
        <v>2</v>
      </c>
      <c r="L4917">
        <v>0</v>
      </c>
      <c r="M4917">
        <v>67.274199999999993</v>
      </c>
    </row>
    <row r="4918" spans="1:13" x14ac:dyDescent="0.3">
      <c r="A4918" t="s">
        <v>28</v>
      </c>
      <c r="B4918" t="s">
        <v>14</v>
      </c>
      <c r="C4918" t="s">
        <v>15</v>
      </c>
      <c r="D4918" t="s">
        <v>79</v>
      </c>
      <c r="E4918" t="s">
        <v>65</v>
      </c>
      <c r="F4918">
        <v>60653</v>
      </c>
      <c r="G4918" t="s">
        <v>47</v>
      </c>
      <c r="H4918" t="s">
        <v>26</v>
      </c>
      <c r="I4918" t="s">
        <v>37</v>
      </c>
      <c r="J4918">
        <v>2.2959999999999998</v>
      </c>
      <c r="K4918">
        <v>2</v>
      </c>
      <c r="L4918">
        <v>0.8</v>
      </c>
      <c r="M4918">
        <v>-3.9032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41</v>
      </c>
      <c r="J4919">
        <v>96.08</v>
      </c>
      <c r="K4919">
        <v>2</v>
      </c>
      <c r="L4919">
        <v>0</v>
      </c>
      <c r="M4919">
        <v>46.118400000000001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77</v>
      </c>
      <c r="J4920">
        <v>3.62</v>
      </c>
      <c r="K4920">
        <v>2</v>
      </c>
      <c r="L4920">
        <v>0</v>
      </c>
      <c r="M4920">
        <v>1.1946000000000001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26</v>
      </c>
      <c r="I4921" t="s">
        <v>41</v>
      </c>
      <c r="J4921">
        <v>629.1</v>
      </c>
      <c r="K4921">
        <v>6</v>
      </c>
      <c r="L4921">
        <v>0</v>
      </c>
      <c r="M4921">
        <v>301.96800000000002</v>
      </c>
    </row>
    <row r="4922" spans="1:13" x14ac:dyDescent="0.3">
      <c r="A4922" t="s">
        <v>13</v>
      </c>
      <c r="B4922" t="s">
        <v>44</v>
      </c>
      <c r="C4922" t="s">
        <v>15</v>
      </c>
      <c r="D4922" t="s">
        <v>195</v>
      </c>
      <c r="E4922" t="s">
        <v>88</v>
      </c>
      <c r="F4922">
        <v>35810</v>
      </c>
      <c r="G4922" t="s">
        <v>18</v>
      </c>
      <c r="H4922" t="s">
        <v>35</v>
      </c>
      <c r="I4922" t="s">
        <v>36</v>
      </c>
      <c r="J4922">
        <v>90.48</v>
      </c>
      <c r="K4922">
        <v>2</v>
      </c>
      <c r="L4922">
        <v>0</v>
      </c>
      <c r="M4922">
        <v>23.524799999999999</v>
      </c>
    </row>
    <row r="4923" spans="1:13" x14ac:dyDescent="0.3">
      <c r="A4923" t="s">
        <v>62</v>
      </c>
      <c r="B4923" t="s">
        <v>22</v>
      </c>
      <c r="C4923" t="s">
        <v>15</v>
      </c>
      <c r="D4923" t="s">
        <v>184</v>
      </c>
      <c r="E4923" t="s">
        <v>166</v>
      </c>
      <c r="F4923">
        <v>1841</v>
      </c>
      <c r="G4923" t="s">
        <v>57</v>
      </c>
      <c r="H4923" t="s">
        <v>26</v>
      </c>
      <c r="I4923" t="s">
        <v>34</v>
      </c>
      <c r="J4923">
        <v>14.88</v>
      </c>
      <c r="K4923">
        <v>2</v>
      </c>
      <c r="L4923">
        <v>0</v>
      </c>
      <c r="M4923">
        <v>3.72</v>
      </c>
    </row>
    <row r="4924" spans="1:13" x14ac:dyDescent="0.3">
      <c r="A4924" t="s">
        <v>28</v>
      </c>
      <c r="B4924" t="s">
        <v>14</v>
      </c>
      <c r="C4924" t="s">
        <v>15</v>
      </c>
      <c r="D4924" t="s">
        <v>79</v>
      </c>
      <c r="E4924" t="s">
        <v>65</v>
      </c>
      <c r="F4924">
        <v>60623</v>
      </c>
      <c r="G4924" t="s">
        <v>47</v>
      </c>
      <c r="H4924" t="s">
        <v>19</v>
      </c>
      <c r="I4924" t="s">
        <v>31</v>
      </c>
      <c r="J4924">
        <v>91.275000000000006</v>
      </c>
      <c r="K4924">
        <v>1</v>
      </c>
      <c r="L4924">
        <v>0.5</v>
      </c>
      <c r="M4924">
        <v>-67.543499999999995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26</v>
      </c>
      <c r="I4925" t="s">
        <v>41</v>
      </c>
      <c r="J4925">
        <v>19.440000000000001</v>
      </c>
      <c r="K4925">
        <v>3</v>
      </c>
      <c r="L4925">
        <v>0</v>
      </c>
      <c r="M4925">
        <v>9.3312000000000008</v>
      </c>
    </row>
    <row r="4926" spans="1:13" x14ac:dyDescent="0.3">
      <c r="A4926" t="s">
        <v>28</v>
      </c>
      <c r="B4926" t="s">
        <v>44</v>
      </c>
      <c r="C4926" t="s">
        <v>15</v>
      </c>
      <c r="D4926" t="s">
        <v>126</v>
      </c>
      <c r="E4926" t="s">
        <v>127</v>
      </c>
      <c r="F4926">
        <v>6824</v>
      </c>
      <c r="G4926" t="s">
        <v>57</v>
      </c>
      <c r="H4926" t="s">
        <v>19</v>
      </c>
      <c r="I4926" t="s">
        <v>21</v>
      </c>
      <c r="J4926">
        <v>897.15</v>
      </c>
      <c r="K4926">
        <v>3</v>
      </c>
      <c r="L4926">
        <v>0</v>
      </c>
      <c r="M4926">
        <v>251.202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34</v>
      </c>
      <c r="J4927">
        <v>57.75</v>
      </c>
      <c r="K4927">
        <v>5</v>
      </c>
      <c r="L4927">
        <v>0</v>
      </c>
      <c r="M4927">
        <v>16.170000000000002</v>
      </c>
    </row>
    <row r="4928" spans="1:13" x14ac:dyDescent="0.3">
      <c r="A4928" t="s">
        <v>62</v>
      </c>
      <c r="B4928" t="s">
        <v>14</v>
      </c>
      <c r="C4928" t="s">
        <v>15</v>
      </c>
      <c r="D4928" t="s">
        <v>75</v>
      </c>
      <c r="E4928" t="s">
        <v>76</v>
      </c>
      <c r="F4928">
        <v>10009</v>
      </c>
      <c r="G4928" t="s">
        <v>57</v>
      </c>
      <c r="H4928" t="s">
        <v>26</v>
      </c>
      <c r="I4928" t="s">
        <v>41</v>
      </c>
      <c r="J4928">
        <v>14.94</v>
      </c>
      <c r="K4928">
        <v>3</v>
      </c>
      <c r="L4928">
        <v>0</v>
      </c>
      <c r="M4928">
        <v>7.0217999999999998</v>
      </c>
    </row>
    <row r="4929" spans="1:13" x14ac:dyDescent="0.3">
      <c r="A4929" t="s">
        <v>28</v>
      </c>
      <c r="B4929" t="s">
        <v>22</v>
      </c>
      <c r="C4929" t="s">
        <v>15</v>
      </c>
      <c r="D4929" t="s">
        <v>42</v>
      </c>
      <c r="E4929" t="s">
        <v>43</v>
      </c>
      <c r="F4929">
        <v>98103</v>
      </c>
      <c r="G4929" t="s">
        <v>25</v>
      </c>
      <c r="H4929" t="s">
        <v>26</v>
      </c>
      <c r="I4929" t="s">
        <v>34</v>
      </c>
      <c r="J4929">
        <v>23.1</v>
      </c>
      <c r="K4929">
        <v>2</v>
      </c>
      <c r="L4929">
        <v>0</v>
      </c>
      <c r="M4929">
        <v>6.93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60</v>
      </c>
      <c r="J4930">
        <v>12.536</v>
      </c>
      <c r="K4930">
        <v>1</v>
      </c>
      <c r="L4930">
        <v>0.2</v>
      </c>
      <c r="M4930">
        <v>4.2309000000000001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37</v>
      </c>
      <c r="J4931">
        <v>1.08</v>
      </c>
      <c r="K4931">
        <v>2</v>
      </c>
      <c r="L4931">
        <v>0.7</v>
      </c>
      <c r="M4931">
        <v>-0.79200000000000004</v>
      </c>
    </row>
    <row r="4932" spans="1:13" x14ac:dyDescent="0.3">
      <c r="A4932" t="s">
        <v>28</v>
      </c>
      <c r="B4932" t="s">
        <v>14</v>
      </c>
      <c r="C4932" t="s">
        <v>15</v>
      </c>
      <c r="D4932" t="s">
        <v>97</v>
      </c>
      <c r="E4932" t="s">
        <v>98</v>
      </c>
      <c r="F4932">
        <v>80013</v>
      </c>
      <c r="G4932" t="s">
        <v>25</v>
      </c>
      <c r="H4932" t="s">
        <v>26</v>
      </c>
      <c r="I4932" t="s">
        <v>77</v>
      </c>
      <c r="J4932">
        <v>4.5119999999999996</v>
      </c>
      <c r="K4932">
        <v>3</v>
      </c>
      <c r="L4932">
        <v>0.2</v>
      </c>
      <c r="M4932">
        <v>0.84599999999999997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518</v>
      </c>
      <c r="E4933" t="s">
        <v>51</v>
      </c>
      <c r="F4933">
        <v>84043</v>
      </c>
      <c r="G4933" t="s">
        <v>25</v>
      </c>
      <c r="H4933" t="s">
        <v>35</v>
      </c>
      <c r="I4933" t="s">
        <v>36</v>
      </c>
      <c r="J4933">
        <v>16.776</v>
      </c>
      <c r="K4933">
        <v>3</v>
      </c>
      <c r="L4933">
        <v>0.2</v>
      </c>
      <c r="M4933">
        <v>1.6776</v>
      </c>
    </row>
    <row r="4934" spans="1:13" x14ac:dyDescent="0.3">
      <c r="A4934" t="s">
        <v>28</v>
      </c>
      <c r="B4934" t="s">
        <v>44</v>
      </c>
      <c r="C4934" t="s">
        <v>15</v>
      </c>
      <c r="D4934" t="s">
        <v>519</v>
      </c>
      <c r="E4934" t="s">
        <v>88</v>
      </c>
      <c r="F4934">
        <v>35401</v>
      </c>
      <c r="G4934" t="s">
        <v>18</v>
      </c>
      <c r="H4934" t="s">
        <v>26</v>
      </c>
      <c r="I4934" t="s">
        <v>37</v>
      </c>
      <c r="J4934">
        <v>33.74</v>
      </c>
      <c r="K4934">
        <v>7</v>
      </c>
      <c r="L4934">
        <v>0</v>
      </c>
      <c r="M4934">
        <v>15.5204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26</v>
      </c>
      <c r="I4935" t="s">
        <v>32</v>
      </c>
      <c r="J4935">
        <v>1325.85</v>
      </c>
      <c r="K4935">
        <v>5</v>
      </c>
      <c r="L4935">
        <v>0</v>
      </c>
      <c r="M4935">
        <v>238.65299999999999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19</v>
      </c>
      <c r="I4936" t="s">
        <v>20</v>
      </c>
      <c r="J4936">
        <v>333.99900000000002</v>
      </c>
      <c r="K4936">
        <v>3</v>
      </c>
      <c r="L4936">
        <v>0.15</v>
      </c>
      <c r="M4936">
        <v>3.9293999999999998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52</v>
      </c>
      <c r="E4937" t="s">
        <v>24</v>
      </c>
      <c r="F4937">
        <v>94109</v>
      </c>
      <c r="G4937" t="s">
        <v>25</v>
      </c>
      <c r="H4937" t="s">
        <v>26</v>
      </c>
      <c r="I4937" t="s">
        <v>34</v>
      </c>
      <c r="J4937">
        <v>19.899999999999999</v>
      </c>
      <c r="K4937">
        <v>5</v>
      </c>
      <c r="L4937">
        <v>0</v>
      </c>
      <c r="M4937">
        <v>6.5670000000000002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21</v>
      </c>
      <c r="J4938">
        <v>1268.82</v>
      </c>
      <c r="K4938">
        <v>9</v>
      </c>
      <c r="L4938">
        <v>0</v>
      </c>
      <c r="M4938">
        <v>266.4522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19</v>
      </c>
      <c r="I4939" t="s">
        <v>20</v>
      </c>
      <c r="J4939">
        <v>283.92</v>
      </c>
      <c r="K4939">
        <v>4</v>
      </c>
      <c r="L4939">
        <v>0</v>
      </c>
      <c r="M4939">
        <v>82.336799999999997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106</v>
      </c>
      <c r="E4940" t="s">
        <v>72</v>
      </c>
      <c r="F4940">
        <v>19805</v>
      </c>
      <c r="G4940" t="s">
        <v>57</v>
      </c>
      <c r="H4940" t="s">
        <v>26</v>
      </c>
      <c r="I4940" t="s">
        <v>34</v>
      </c>
      <c r="J4940">
        <v>5.68</v>
      </c>
      <c r="K4940">
        <v>2</v>
      </c>
      <c r="L4940">
        <v>0</v>
      </c>
      <c r="M4940">
        <v>1.7607999999999999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325</v>
      </c>
      <c r="E4941" t="s">
        <v>74</v>
      </c>
      <c r="F4941">
        <v>47905</v>
      </c>
      <c r="G4941" t="s">
        <v>47</v>
      </c>
      <c r="H4941" t="s">
        <v>26</v>
      </c>
      <c r="I4941" t="s">
        <v>32</v>
      </c>
      <c r="J4941">
        <v>375.34</v>
      </c>
      <c r="K4941">
        <v>1</v>
      </c>
      <c r="L4941">
        <v>0</v>
      </c>
      <c r="M4941">
        <v>18.766999999999999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41</v>
      </c>
      <c r="J4942">
        <v>96.08</v>
      </c>
      <c r="K4942">
        <v>2</v>
      </c>
      <c r="L4942">
        <v>0</v>
      </c>
      <c r="M4942">
        <v>46.118400000000001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37</v>
      </c>
      <c r="J4943">
        <v>11.68</v>
      </c>
      <c r="K4943">
        <v>2</v>
      </c>
      <c r="L4943">
        <v>0.2</v>
      </c>
      <c r="M4943">
        <v>3.9420000000000002</v>
      </c>
    </row>
    <row r="4944" spans="1:13" x14ac:dyDescent="0.3">
      <c r="A4944" t="s">
        <v>62</v>
      </c>
      <c r="B4944" t="s">
        <v>14</v>
      </c>
      <c r="C4944" t="s">
        <v>15</v>
      </c>
      <c r="D4944" t="s">
        <v>421</v>
      </c>
      <c r="E4944" t="s">
        <v>24</v>
      </c>
      <c r="F4944">
        <v>90278</v>
      </c>
      <c r="G4944" t="s">
        <v>25</v>
      </c>
      <c r="H4944" t="s">
        <v>26</v>
      </c>
      <c r="I4944" t="s">
        <v>77</v>
      </c>
      <c r="J4944">
        <v>4.3600000000000003</v>
      </c>
      <c r="K4944">
        <v>2</v>
      </c>
      <c r="L4944">
        <v>0</v>
      </c>
      <c r="M4944">
        <v>1.7876000000000001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42</v>
      </c>
      <c r="E4945" t="s">
        <v>43</v>
      </c>
      <c r="F4945">
        <v>98115</v>
      </c>
      <c r="G4945" t="s">
        <v>25</v>
      </c>
      <c r="H4945" t="s">
        <v>26</v>
      </c>
      <c r="I4945" t="s">
        <v>27</v>
      </c>
      <c r="J4945">
        <v>29.24</v>
      </c>
      <c r="K4945">
        <v>4</v>
      </c>
      <c r="L4945">
        <v>0</v>
      </c>
      <c r="M4945">
        <v>13.742800000000001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26</v>
      </c>
      <c r="I4946" t="s">
        <v>37</v>
      </c>
      <c r="J4946">
        <v>117.488</v>
      </c>
      <c r="K4946">
        <v>7</v>
      </c>
      <c r="L4946">
        <v>0.2</v>
      </c>
      <c r="M4946">
        <v>41.120800000000003</v>
      </c>
    </row>
    <row r="4947" spans="1:13" x14ac:dyDescent="0.3">
      <c r="A4947" t="s">
        <v>28</v>
      </c>
      <c r="B4947" t="s">
        <v>14</v>
      </c>
      <c r="C4947" t="s">
        <v>15</v>
      </c>
      <c r="D4947" t="s">
        <v>23</v>
      </c>
      <c r="E4947" t="s">
        <v>24</v>
      </c>
      <c r="F4947">
        <v>90045</v>
      </c>
      <c r="G4947" t="s">
        <v>25</v>
      </c>
      <c r="H4947" t="s">
        <v>19</v>
      </c>
      <c r="I4947" t="s">
        <v>33</v>
      </c>
      <c r="J4947">
        <v>18.84</v>
      </c>
      <c r="K4947">
        <v>3</v>
      </c>
      <c r="L4947">
        <v>0</v>
      </c>
      <c r="M4947">
        <v>6.0288000000000004</v>
      </c>
    </row>
    <row r="4948" spans="1:13" x14ac:dyDescent="0.3">
      <c r="A4948" t="s">
        <v>13</v>
      </c>
      <c r="B4948" t="s">
        <v>14</v>
      </c>
      <c r="C4948" t="s">
        <v>15</v>
      </c>
      <c r="D4948" t="s">
        <v>75</v>
      </c>
      <c r="E4948" t="s">
        <v>76</v>
      </c>
      <c r="F4948">
        <v>10009</v>
      </c>
      <c r="G4948" t="s">
        <v>57</v>
      </c>
      <c r="H4948" t="s">
        <v>26</v>
      </c>
      <c r="I4948" t="s">
        <v>34</v>
      </c>
      <c r="J4948">
        <v>12.42</v>
      </c>
      <c r="K4948">
        <v>3</v>
      </c>
      <c r="L4948">
        <v>0</v>
      </c>
      <c r="M4948">
        <v>5.2164000000000001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280</v>
      </c>
      <c r="E4949" t="s">
        <v>70</v>
      </c>
      <c r="F4949">
        <v>48073</v>
      </c>
      <c r="G4949" t="s">
        <v>47</v>
      </c>
      <c r="H4949" t="s">
        <v>26</v>
      </c>
      <c r="I4949" t="s">
        <v>41</v>
      </c>
      <c r="J4949">
        <v>12.96</v>
      </c>
      <c r="K4949">
        <v>2</v>
      </c>
      <c r="L4949">
        <v>0</v>
      </c>
      <c r="M4949">
        <v>6.2207999999999997</v>
      </c>
    </row>
    <row r="4950" spans="1:13" x14ac:dyDescent="0.3">
      <c r="A4950" t="s">
        <v>13</v>
      </c>
      <c r="B4950" t="s">
        <v>22</v>
      </c>
      <c r="C4950" t="s">
        <v>15</v>
      </c>
      <c r="D4950" t="s">
        <v>52</v>
      </c>
      <c r="E4950" t="s">
        <v>24</v>
      </c>
      <c r="F4950">
        <v>94109</v>
      </c>
      <c r="G4950" t="s">
        <v>25</v>
      </c>
      <c r="H4950" t="s">
        <v>26</v>
      </c>
      <c r="I4950" t="s">
        <v>38</v>
      </c>
      <c r="J4950">
        <v>69.48</v>
      </c>
      <c r="K4950">
        <v>1</v>
      </c>
      <c r="L4950">
        <v>0</v>
      </c>
      <c r="M4950">
        <v>20.844000000000001</v>
      </c>
    </row>
    <row r="4951" spans="1:13" x14ac:dyDescent="0.3">
      <c r="A4951" t="s">
        <v>28</v>
      </c>
      <c r="B4951" t="s">
        <v>22</v>
      </c>
      <c r="C4951" t="s">
        <v>15</v>
      </c>
      <c r="D4951" t="s">
        <v>75</v>
      </c>
      <c r="E4951" t="s">
        <v>76</v>
      </c>
      <c r="F4951">
        <v>10009</v>
      </c>
      <c r="G4951" t="s">
        <v>57</v>
      </c>
      <c r="H4951" t="s">
        <v>35</v>
      </c>
      <c r="I4951" t="s">
        <v>36</v>
      </c>
      <c r="J4951">
        <v>85.9</v>
      </c>
      <c r="K4951">
        <v>2</v>
      </c>
      <c r="L4951">
        <v>0</v>
      </c>
      <c r="M4951">
        <v>2.577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34</v>
      </c>
      <c r="J4952">
        <v>18.059999999999999</v>
      </c>
      <c r="K4952">
        <v>7</v>
      </c>
      <c r="L4952">
        <v>0</v>
      </c>
      <c r="M4952">
        <v>4.6955999999999998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26</v>
      </c>
      <c r="I4953" t="s">
        <v>41</v>
      </c>
      <c r="J4953">
        <v>79.14</v>
      </c>
      <c r="K4953">
        <v>3</v>
      </c>
      <c r="L4953">
        <v>0</v>
      </c>
      <c r="M4953">
        <v>36.404400000000003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311</v>
      </c>
      <c r="E4954" t="s">
        <v>177</v>
      </c>
      <c r="F4954">
        <v>89031</v>
      </c>
      <c r="G4954" t="s">
        <v>25</v>
      </c>
      <c r="H4954" t="s">
        <v>19</v>
      </c>
      <c r="I4954" t="s">
        <v>33</v>
      </c>
      <c r="J4954">
        <v>37.4</v>
      </c>
      <c r="K4954">
        <v>2</v>
      </c>
      <c r="L4954">
        <v>0</v>
      </c>
      <c r="M4954">
        <v>14.212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37</v>
      </c>
      <c r="J4955">
        <v>2.512</v>
      </c>
      <c r="K4955">
        <v>2</v>
      </c>
      <c r="L4955">
        <v>0.8</v>
      </c>
      <c r="M4955">
        <v>-4.3959999999999999</v>
      </c>
    </row>
    <row r="4956" spans="1:13" x14ac:dyDescent="0.3">
      <c r="A4956" t="s">
        <v>28</v>
      </c>
      <c r="B4956" t="s">
        <v>14</v>
      </c>
      <c r="C4956" t="s">
        <v>15</v>
      </c>
      <c r="D4956" t="s">
        <v>323</v>
      </c>
      <c r="E4956" t="s">
        <v>46</v>
      </c>
      <c r="F4956">
        <v>75007</v>
      </c>
      <c r="G4956" t="s">
        <v>47</v>
      </c>
      <c r="H4956" t="s">
        <v>26</v>
      </c>
      <c r="I4956" t="s">
        <v>77</v>
      </c>
      <c r="J4956">
        <v>18.864000000000001</v>
      </c>
      <c r="K4956">
        <v>9</v>
      </c>
      <c r="L4956">
        <v>0.2</v>
      </c>
      <c r="M4956">
        <v>6.1307999999999998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35</v>
      </c>
      <c r="I4957" t="s">
        <v>36</v>
      </c>
      <c r="J4957">
        <v>61.192</v>
      </c>
      <c r="K4957">
        <v>1</v>
      </c>
      <c r="L4957">
        <v>0.2</v>
      </c>
      <c r="M4957">
        <v>6.1192000000000002</v>
      </c>
    </row>
    <row r="4958" spans="1:13" x14ac:dyDescent="0.3">
      <c r="A4958" t="s">
        <v>28</v>
      </c>
      <c r="B4958" t="s">
        <v>44</v>
      </c>
      <c r="C4958" t="s">
        <v>15</v>
      </c>
      <c r="D4958" t="s">
        <v>23</v>
      </c>
      <c r="E4958" t="s">
        <v>24</v>
      </c>
      <c r="F4958">
        <v>90008</v>
      </c>
      <c r="G4958" t="s">
        <v>25</v>
      </c>
      <c r="H4958" t="s">
        <v>26</v>
      </c>
      <c r="I4958" t="s">
        <v>38</v>
      </c>
      <c r="J4958">
        <v>67.84</v>
      </c>
      <c r="K4958">
        <v>1</v>
      </c>
      <c r="L4958">
        <v>0</v>
      </c>
      <c r="M4958">
        <v>18.316800000000001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19</v>
      </c>
      <c r="I4959" t="s">
        <v>21</v>
      </c>
      <c r="J4959">
        <v>48.712000000000003</v>
      </c>
      <c r="K4959">
        <v>1</v>
      </c>
      <c r="L4959">
        <v>0.2</v>
      </c>
      <c r="M4959">
        <v>5.4801000000000002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34</v>
      </c>
      <c r="J4960">
        <v>17.940000000000001</v>
      </c>
      <c r="K4960">
        <v>3</v>
      </c>
      <c r="L4960">
        <v>0</v>
      </c>
      <c r="M4960">
        <v>4.6643999999999997</v>
      </c>
    </row>
    <row r="4961" spans="1:13" x14ac:dyDescent="0.3">
      <c r="A4961" t="s">
        <v>62</v>
      </c>
      <c r="B4961" t="s">
        <v>14</v>
      </c>
      <c r="C4961" t="s">
        <v>15</v>
      </c>
      <c r="D4961" t="s">
        <v>42</v>
      </c>
      <c r="E4961" t="s">
        <v>43</v>
      </c>
      <c r="F4961">
        <v>98103</v>
      </c>
      <c r="G4961" t="s">
        <v>25</v>
      </c>
      <c r="H4961" t="s">
        <v>26</v>
      </c>
      <c r="I4961" t="s">
        <v>32</v>
      </c>
      <c r="J4961">
        <v>242.94</v>
      </c>
      <c r="K4961">
        <v>3</v>
      </c>
      <c r="L4961">
        <v>0</v>
      </c>
      <c r="M4961">
        <v>4.8587999999999996</v>
      </c>
    </row>
    <row r="4962" spans="1:13" x14ac:dyDescent="0.3">
      <c r="A4962" t="s">
        <v>13</v>
      </c>
      <c r="B4962" t="s">
        <v>14</v>
      </c>
      <c r="C4962" t="s">
        <v>15</v>
      </c>
      <c r="D4962" t="s">
        <v>29</v>
      </c>
      <c r="E4962" t="s">
        <v>30</v>
      </c>
      <c r="F4962">
        <v>33311</v>
      </c>
      <c r="G4962" t="s">
        <v>18</v>
      </c>
      <c r="H4962" t="s">
        <v>26</v>
      </c>
      <c r="I4962" t="s">
        <v>37</v>
      </c>
      <c r="J4962">
        <v>7.7640000000000002</v>
      </c>
      <c r="K4962">
        <v>4</v>
      </c>
      <c r="L4962">
        <v>0.7</v>
      </c>
      <c r="M4962">
        <v>-5.1760000000000002</v>
      </c>
    </row>
    <row r="4963" spans="1:13" x14ac:dyDescent="0.3">
      <c r="A4963" t="s">
        <v>13</v>
      </c>
      <c r="B4963" t="s">
        <v>22</v>
      </c>
      <c r="C4963" t="s">
        <v>15</v>
      </c>
      <c r="D4963" t="s">
        <v>90</v>
      </c>
      <c r="E4963" t="s">
        <v>86</v>
      </c>
      <c r="F4963">
        <v>38401</v>
      </c>
      <c r="G4963" t="s">
        <v>18</v>
      </c>
      <c r="H4963" t="s">
        <v>35</v>
      </c>
      <c r="I4963" t="s">
        <v>36</v>
      </c>
      <c r="J4963">
        <v>467.04</v>
      </c>
      <c r="K4963">
        <v>4</v>
      </c>
      <c r="L4963">
        <v>0.2</v>
      </c>
      <c r="M4963">
        <v>58.38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35</v>
      </c>
      <c r="I4964" t="s">
        <v>36</v>
      </c>
      <c r="J4964">
        <v>128.85</v>
      </c>
      <c r="K4964">
        <v>3</v>
      </c>
      <c r="L4964">
        <v>0</v>
      </c>
      <c r="M4964">
        <v>3.8654999999999999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26</v>
      </c>
      <c r="I4965" t="s">
        <v>41</v>
      </c>
      <c r="J4965">
        <v>8.4</v>
      </c>
      <c r="K4965">
        <v>2</v>
      </c>
      <c r="L4965">
        <v>0</v>
      </c>
      <c r="M4965">
        <v>4.1159999999999997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35</v>
      </c>
      <c r="I4966" t="s">
        <v>59</v>
      </c>
      <c r="J4966">
        <v>199.98</v>
      </c>
      <c r="K4966">
        <v>2</v>
      </c>
      <c r="L4966">
        <v>0</v>
      </c>
      <c r="M4966">
        <v>83.991600000000005</v>
      </c>
    </row>
    <row r="4967" spans="1:13" x14ac:dyDescent="0.3">
      <c r="A4967" t="s">
        <v>13</v>
      </c>
      <c r="B4967" t="s">
        <v>44</v>
      </c>
      <c r="C4967" t="s">
        <v>15</v>
      </c>
      <c r="D4967" t="s">
        <v>290</v>
      </c>
      <c r="E4967" t="s">
        <v>179</v>
      </c>
      <c r="F4967">
        <v>2908</v>
      </c>
      <c r="G4967" t="s">
        <v>57</v>
      </c>
      <c r="H4967" t="s">
        <v>19</v>
      </c>
      <c r="I4967" t="s">
        <v>21</v>
      </c>
      <c r="J4967">
        <v>110.98</v>
      </c>
      <c r="K4967">
        <v>1</v>
      </c>
      <c r="L4967">
        <v>0</v>
      </c>
      <c r="M4967">
        <v>15.5372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19</v>
      </c>
      <c r="I4968" t="s">
        <v>21</v>
      </c>
      <c r="J4968">
        <v>207.98400000000001</v>
      </c>
      <c r="K4968">
        <v>2</v>
      </c>
      <c r="L4968">
        <v>0.2</v>
      </c>
      <c r="M4968">
        <v>-28.597799999999999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26</v>
      </c>
      <c r="I4969" t="s">
        <v>41</v>
      </c>
      <c r="J4969">
        <v>36.112000000000002</v>
      </c>
      <c r="K4969">
        <v>2</v>
      </c>
      <c r="L4969">
        <v>0.2</v>
      </c>
      <c r="M4969">
        <v>12.639200000000001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19</v>
      </c>
      <c r="I4970" t="s">
        <v>33</v>
      </c>
      <c r="J4970">
        <v>35.567999999999998</v>
      </c>
      <c r="K4970">
        <v>2</v>
      </c>
      <c r="L4970">
        <v>0.2</v>
      </c>
      <c r="M4970">
        <v>5.7797999999999998</v>
      </c>
    </row>
    <row r="4971" spans="1:13" x14ac:dyDescent="0.3">
      <c r="A4971" t="s">
        <v>62</v>
      </c>
      <c r="B4971" t="s">
        <v>22</v>
      </c>
      <c r="C4971" t="s">
        <v>15</v>
      </c>
      <c r="D4971" t="s">
        <v>189</v>
      </c>
      <c r="E4971" t="s">
        <v>30</v>
      </c>
      <c r="F4971">
        <v>32216</v>
      </c>
      <c r="G4971" t="s">
        <v>18</v>
      </c>
      <c r="H4971" t="s">
        <v>26</v>
      </c>
      <c r="I4971" t="s">
        <v>41</v>
      </c>
      <c r="J4971">
        <v>88.768000000000001</v>
      </c>
      <c r="K4971">
        <v>2</v>
      </c>
      <c r="L4971">
        <v>0.2</v>
      </c>
      <c r="M4971">
        <v>31.0688</v>
      </c>
    </row>
    <row r="4972" spans="1:13" x14ac:dyDescent="0.3">
      <c r="A4972" t="s">
        <v>28</v>
      </c>
      <c r="B4972" t="s">
        <v>44</v>
      </c>
      <c r="C4972" t="s">
        <v>15</v>
      </c>
      <c r="D4972" t="s">
        <v>230</v>
      </c>
      <c r="E4972" t="s">
        <v>24</v>
      </c>
      <c r="F4972">
        <v>92054</v>
      </c>
      <c r="G4972" t="s">
        <v>25</v>
      </c>
      <c r="H4972" t="s">
        <v>26</v>
      </c>
      <c r="I4972" t="s">
        <v>41</v>
      </c>
      <c r="J4972">
        <v>12.9</v>
      </c>
      <c r="K4972">
        <v>2</v>
      </c>
      <c r="L4972">
        <v>0</v>
      </c>
      <c r="M4972">
        <v>6.3209999999999997</v>
      </c>
    </row>
    <row r="4973" spans="1:13" x14ac:dyDescent="0.3">
      <c r="A4973" t="s">
        <v>13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35</v>
      </c>
      <c r="I4973" t="s">
        <v>59</v>
      </c>
      <c r="J4973">
        <v>717.12</v>
      </c>
      <c r="K4973">
        <v>9</v>
      </c>
      <c r="L4973">
        <v>0.2</v>
      </c>
      <c r="M4973">
        <v>152.38800000000001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21.36</v>
      </c>
      <c r="K4974">
        <v>5</v>
      </c>
      <c r="L4974">
        <v>0.2</v>
      </c>
      <c r="M4974">
        <v>7.2089999999999996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26</v>
      </c>
      <c r="I4975" t="s">
        <v>37</v>
      </c>
      <c r="J4975">
        <v>6.6879999999999997</v>
      </c>
      <c r="K4975">
        <v>2</v>
      </c>
      <c r="L4975">
        <v>0.2</v>
      </c>
      <c r="M4975">
        <v>2.3408000000000002</v>
      </c>
    </row>
    <row r="4976" spans="1:13" x14ac:dyDescent="0.3">
      <c r="A4976" t="s">
        <v>62</v>
      </c>
      <c r="B4976" t="s">
        <v>14</v>
      </c>
      <c r="C4976" t="s">
        <v>15</v>
      </c>
      <c r="D4976" t="s">
        <v>75</v>
      </c>
      <c r="E4976" t="s">
        <v>76</v>
      </c>
      <c r="F4976">
        <v>10024</v>
      </c>
      <c r="G4976" t="s">
        <v>57</v>
      </c>
      <c r="H4976" t="s">
        <v>35</v>
      </c>
      <c r="I4976" t="s">
        <v>36</v>
      </c>
      <c r="J4976">
        <v>773.94</v>
      </c>
      <c r="K4976">
        <v>6</v>
      </c>
      <c r="L4976">
        <v>0</v>
      </c>
      <c r="M4976">
        <v>224.4426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110</v>
      </c>
      <c r="J4977">
        <v>20.568000000000001</v>
      </c>
      <c r="K4977">
        <v>3</v>
      </c>
      <c r="L4977">
        <v>0.2</v>
      </c>
      <c r="M4977">
        <v>1.5426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26</v>
      </c>
      <c r="I4978" t="s">
        <v>38</v>
      </c>
      <c r="J4978">
        <v>4.3559999999999999</v>
      </c>
      <c r="K4978">
        <v>2</v>
      </c>
      <c r="L4978">
        <v>0.8</v>
      </c>
      <c r="M4978">
        <v>-11.761200000000001</v>
      </c>
    </row>
    <row r="4979" spans="1:13" x14ac:dyDescent="0.3">
      <c r="A4979" t="s">
        <v>13</v>
      </c>
      <c r="B4979" t="s">
        <v>22</v>
      </c>
      <c r="C4979" t="s">
        <v>15</v>
      </c>
      <c r="D4979" t="s">
        <v>79</v>
      </c>
      <c r="E4979" t="s">
        <v>65</v>
      </c>
      <c r="F4979">
        <v>60610</v>
      </c>
      <c r="G4979" t="s">
        <v>47</v>
      </c>
      <c r="H4979" t="s">
        <v>35</v>
      </c>
      <c r="I4979" t="s">
        <v>59</v>
      </c>
      <c r="J4979">
        <v>19.04</v>
      </c>
      <c r="K4979">
        <v>4</v>
      </c>
      <c r="L4979">
        <v>0.2</v>
      </c>
      <c r="M4979">
        <v>-1.4279999999999999</v>
      </c>
    </row>
    <row r="4980" spans="1:13" x14ac:dyDescent="0.3">
      <c r="A4980" t="s">
        <v>28</v>
      </c>
      <c r="B4980" t="s">
        <v>22</v>
      </c>
      <c r="C4980" t="s">
        <v>15</v>
      </c>
      <c r="D4980" t="s">
        <v>181</v>
      </c>
      <c r="E4980" t="s">
        <v>24</v>
      </c>
      <c r="F4980">
        <v>92646</v>
      </c>
      <c r="G4980" t="s">
        <v>25</v>
      </c>
      <c r="H4980" t="s">
        <v>26</v>
      </c>
      <c r="I4980" t="s">
        <v>27</v>
      </c>
      <c r="J4980">
        <v>5.22</v>
      </c>
      <c r="K4980">
        <v>2</v>
      </c>
      <c r="L4980">
        <v>0</v>
      </c>
      <c r="M4980">
        <v>2.4011999999999998</v>
      </c>
    </row>
    <row r="4981" spans="1:13" x14ac:dyDescent="0.3">
      <c r="A4981" t="s">
        <v>13</v>
      </c>
      <c r="B4981" t="s">
        <v>14</v>
      </c>
      <c r="C4981" t="s">
        <v>15</v>
      </c>
      <c r="D4981" t="s">
        <v>144</v>
      </c>
      <c r="E4981" t="s">
        <v>24</v>
      </c>
      <c r="F4981">
        <v>92105</v>
      </c>
      <c r="G4981" t="s">
        <v>25</v>
      </c>
      <c r="H4981" t="s">
        <v>26</v>
      </c>
      <c r="I4981" t="s">
        <v>32</v>
      </c>
      <c r="J4981">
        <v>84.84</v>
      </c>
      <c r="K4981">
        <v>3</v>
      </c>
      <c r="L4981">
        <v>0</v>
      </c>
      <c r="M4981">
        <v>22.9068</v>
      </c>
    </row>
    <row r="4982" spans="1:13" x14ac:dyDescent="0.3">
      <c r="A4982" t="s">
        <v>28</v>
      </c>
      <c r="B4982" t="s">
        <v>22</v>
      </c>
      <c r="C4982" t="s">
        <v>15</v>
      </c>
      <c r="D4982" t="s">
        <v>405</v>
      </c>
      <c r="E4982" t="s">
        <v>86</v>
      </c>
      <c r="F4982">
        <v>37211</v>
      </c>
      <c r="G4982" t="s">
        <v>18</v>
      </c>
      <c r="H4982" t="s">
        <v>26</v>
      </c>
      <c r="I4982" t="s">
        <v>77</v>
      </c>
      <c r="J4982">
        <v>7.24</v>
      </c>
      <c r="K4982">
        <v>5</v>
      </c>
      <c r="L4982">
        <v>0.2</v>
      </c>
      <c r="M4982">
        <v>1.1765000000000001</v>
      </c>
    </row>
    <row r="4983" spans="1:13" x14ac:dyDescent="0.3">
      <c r="A4983" t="s">
        <v>168</v>
      </c>
      <c r="B4983" t="s">
        <v>14</v>
      </c>
      <c r="C4983" t="s">
        <v>15</v>
      </c>
      <c r="D4983" t="s">
        <v>75</v>
      </c>
      <c r="E4983" t="s">
        <v>76</v>
      </c>
      <c r="F4983">
        <v>10009</v>
      </c>
      <c r="G4983" t="s">
        <v>57</v>
      </c>
      <c r="H4983" t="s">
        <v>26</v>
      </c>
      <c r="I4983" t="s">
        <v>27</v>
      </c>
      <c r="J4983">
        <v>14.4</v>
      </c>
      <c r="K4983">
        <v>5</v>
      </c>
      <c r="L4983">
        <v>0</v>
      </c>
      <c r="M4983">
        <v>7.056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26</v>
      </c>
      <c r="I4984" t="s">
        <v>41</v>
      </c>
      <c r="J4984">
        <v>15.552</v>
      </c>
      <c r="K4984">
        <v>3</v>
      </c>
      <c r="L4984">
        <v>0.2</v>
      </c>
      <c r="M4984">
        <v>5.4432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19</v>
      </c>
      <c r="I4985" t="s">
        <v>21</v>
      </c>
      <c r="J4985">
        <v>1325.76</v>
      </c>
      <c r="K4985">
        <v>6</v>
      </c>
      <c r="L4985">
        <v>0.2</v>
      </c>
      <c r="M4985">
        <v>149.148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151</v>
      </c>
      <c r="E4986" t="s">
        <v>98</v>
      </c>
      <c r="F4986">
        <v>80906</v>
      </c>
      <c r="G4986" t="s">
        <v>25</v>
      </c>
      <c r="H4986" t="s">
        <v>26</v>
      </c>
      <c r="I4986" t="s">
        <v>37</v>
      </c>
      <c r="J4986">
        <v>3.1080000000000001</v>
      </c>
      <c r="K4986">
        <v>2</v>
      </c>
      <c r="L4986">
        <v>0.7</v>
      </c>
      <c r="M4986">
        <v>-2.1756000000000002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26</v>
      </c>
      <c r="I4987" t="s">
        <v>37</v>
      </c>
      <c r="J4987">
        <v>6.6719999999999997</v>
      </c>
      <c r="K4987">
        <v>3</v>
      </c>
      <c r="L4987">
        <v>0.2</v>
      </c>
      <c r="M4987">
        <v>2.1684000000000001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52</v>
      </c>
      <c r="E4988" t="s">
        <v>24</v>
      </c>
      <c r="F4988">
        <v>94110</v>
      </c>
      <c r="G4988" t="s">
        <v>25</v>
      </c>
      <c r="H4988" t="s">
        <v>35</v>
      </c>
      <c r="I4988" t="s">
        <v>36</v>
      </c>
      <c r="J4988">
        <v>689.40800000000002</v>
      </c>
      <c r="K4988">
        <v>4</v>
      </c>
      <c r="L4988">
        <v>0.2</v>
      </c>
      <c r="M4988">
        <v>77.558400000000006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79</v>
      </c>
      <c r="E4989" t="s">
        <v>65</v>
      </c>
      <c r="F4989">
        <v>60653</v>
      </c>
      <c r="G4989" t="s">
        <v>47</v>
      </c>
      <c r="H4989" t="s">
        <v>26</v>
      </c>
      <c r="I4989" t="s">
        <v>37</v>
      </c>
      <c r="J4989">
        <v>1889.99</v>
      </c>
      <c r="K4989">
        <v>5</v>
      </c>
      <c r="L4989">
        <v>0.8</v>
      </c>
      <c r="M4989">
        <v>-2929.4845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60</v>
      </c>
      <c r="J4990">
        <v>55.936</v>
      </c>
      <c r="K4990">
        <v>8</v>
      </c>
      <c r="L4990">
        <v>0.2</v>
      </c>
      <c r="M4990">
        <v>18.878399999999999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26</v>
      </c>
      <c r="I4991" t="s">
        <v>27</v>
      </c>
      <c r="J4991">
        <v>18.431999999999999</v>
      </c>
      <c r="K4991">
        <v>8</v>
      </c>
      <c r="L4991">
        <v>0.2</v>
      </c>
      <c r="M4991">
        <v>5.9904000000000002</v>
      </c>
    </row>
    <row r="4992" spans="1:13" x14ac:dyDescent="0.3">
      <c r="A4992" t="s">
        <v>28</v>
      </c>
      <c r="B4992" t="s">
        <v>22</v>
      </c>
      <c r="C4992" t="s">
        <v>15</v>
      </c>
      <c r="D4992" t="s">
        <v>85</v>
      </c>
      <c r="E4992" t="s">
        <v>86</v>
      </c>
      <c r="F4992">
        <v>38109</v>
      </c>
      <c r="G4992" t="s">
        <v>18</v>
      </c>
      <c r="H4992" t="s">
        <v>19</v>
      </c>
      <c r="I4992" t="s">
        <v>33</v>
      </c>
      <c r="J4992">
        <v>20.32</v>
      </c>
      <c r="K4992">
        <v>5</v>
      </c>
      <c r="L4992">
        <v>0.2</v>
      </c>
      <c r="M4992">
        <v>3.556</v>
      </c>
    </row>
    <row r="4993" spans="1:13" x14ac:dyDescent="0.3">
      <c r="A4993" t="s">
        <v>28</v>
      </c>
      <c r="B4993" t="s">
        <v>44</v>
      </c>
      <c r="C4993" t="s">
        <v>15</v>
      </c>
      <c r="D4993" t="s">
        <v>75</v>
      </c>
      <c r="E4993" t="s">
        <v>76</v>
      </c>
      <c r="F4993">
        <v>10011</v>
      </c>
      <c r="G4993" t="s">
        <v>57</v>
      </c>
      <c r="H4993" t="s">
        <v>26</v>
      </c>
      <c r="I4993" t="s">
        <v>37</v>
      </c>
      <c r="J4993">
        <v>52.064</v>
      </c>
      <c r="K4993">
        <v>4</v>
      </c>
      <c r="L4993">
        <v>0.2</v>
      </c>
      <c r="M4993">
        <v>18.873200000000001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38</v>
      </c>
      <c r="J4994">
        <v>48.783999999999999</v>
      </c>
      <c r="K4994">
        <v>1</v>
      </c>
      <c r="L4994">
        <v>0.2</v>
      </c>
      <c r="M4994">
        <v>3.6587999999999998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339</v>
      </c>
      <c r="E4995" t="s">
        <v>40</v>
      </c>
      <c r="F4995">
        <v>27604</v>
      </c>
      <c r="G4995" t="s">
        <v>18</v>
      </c>
      <c r="H4995" t="s">
        <v>26</v>
      </c>
      <c r="I4995" t="s">
        <v>37</v>
      </c>
      <c r="J4995">
        <v>13.092000000000001</v>
      </c>
      <c r="K4995">
        <v>4</v>
      </c>
      <c r="L4995">
        <v>0.7</v>
      </c>
      <c r="M4995">
        <v>-10.0372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35</v>
      </c>
      <c r="I4996" t="s">
        <v>36</v>
      </c>
      <c r="J4996">
        <v>109.592</v>
      </c>
      <c r="K4996">
        <v>1</v>
      </c>
      <c r="L4996">
        <v>0.2</v>
      </c>
      <c r="M4996">
        <v>8.2194000000000003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90045</v>
      </c>
      <c r="G4997" t="s">
        <v>25</v>
      </c>
      <c r="H4997" t="s">
        <v>26</v>
      </c>
      <c r="I4997" t="s">
        <v>41</v>
      </c>
      <c r="J4997">
        <v>56.7</v>
      </c>
      <c r="K4997">
        <v>5</v>
      </c>
      <c r="L4997">
        <v>0</v>
      </c>
      <c r="M4997">
        <v>27.783000000000001</v>
      </c>
    </row>
    <row r="4998" spans="1:13" x14ac:dyDescent="0.3">
      <c r="A4998" t="s">
        <v>28</v>
      </c>
      <c r="B4998" t="s">
        <v>44</v>
      </c>
      <c r="C4998" t="s">
        <v>15</v>
      </c>
      <c r="D4998" t="s">
        <v>23</v>
      </c>
      <c r="E4998" t="s">
        <v>24</v>
      </c>
      <c r="F4998">
        <v>90004</v>
      </c>
      <c r="G4998" t="s">
        <v>25</v>
      </c>
      <c r="H4998" t="s">
        <v>35</v>
      </c>
      <c r="I4998" t="s">
        <v>59</v>
      </c>
      <c r="J4998">
        <v>79.989999999999995</v>
      </c>
      <c r="K4998">
        <v>1</v>
      </c>
      <c r="L4998">
        <v>0</v>
      </c>
      <c r="M4998">
        <v>28.796399999999998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110</v>
      </c>
      <c r="J4999">
        <v>69.5</v>
      </c>
      <c r="K4999">
        <v>5</v>
      </c>
      <c r="L4999">
        <v>0</v>
      </c>
      <c r="M4999">
        <v>20.155000000000001</v>
      </c>
    </row>
    <row r="5000" spans="1:13" x14ac:dyDescent="0.3">
      <c r="A5000" t="s">
        <v>168</v>
      </c>
      <c r="B5000" t="s">
        <v>44</v>
      </c>
      <c r="C5000" t="s">
        <v>15</v>
      </c>
      <c r="D5000" t="s">
        <v>400</v>
      </c>
      <c r="E5000" t="s">
        <v>83</v>
      </c>
      <c r="F5000">
        <v>23602</v>
      </c>
      <c r="G5000" t="s">
        <v>18</v>
      </c>
      <c r="H5000" t="s">
        <v>26</v>
      </c>
      <c r="I5000" t="s">
        <v>41</v>
      </c>
      <c r="J5000">
        <v>191.6</v>
      </c>
      <c r="K5000">
        <v>4</v>
      </c>
      <c r="L5000">
        <v>0</v>
      </c>
      <c r="M5000">
        <v>91.968000000000004</v>
      </c>
    </row>
    <row r="5001" spans="1:13" x14ac:dyDescent="0.3">
      <c r="A5001" t="s">
        <v>28</v>
      </c>
      <c r="B5001" t="s">
        <v>14</v>
      </c>
      <c r="C5001" t="s">
        <v>15</v>
      </c>
      <c r="D5001" t="s">
        <v>23</v>
      </c>
      <c r="E5001" t="s">
        <v>24</v>
      </c>
      <c r="F5001">
        <v>90032</v>
      </c>
      <c r="G5001" t="s">
        <v>25</v>
      </c>
      <c r="H5001" t="s">
        <v>26</v>
      </c>
      <c r="I5001" t="s">
        <v>41</v>
      </c>
      <c r="J5001">
        <v>10.56</v>
      </c>
      <c r="K5001">
        <v>2</v>
      </c>
      <c r="L5001">
        <v>0</v>
      </c>
      <c r="M5001">
        <v>5.0688000000000004</v>
      </c>
    </row>
    <row r="5002" spans="1:13" x14ac:dyDescent="0.3">
      <c r="A5002" t="s">
        <v>13</v>
      </c>
      <c r="B5002" t="s">
        <v>14</v>
      </c>
      <c r="C5002" t="s">
        <v>15</v>
      </c>
      <c r="D5002" t="s">
        <v>84</v>
      </c>
      <c r="E5002" t="s">
        <v>185</v>
      </c>
      <c r="F5002">
        <v>39212</v>
      </c>
      <c r="G5002" t="s">
        <v>18</v>
      </c>
      <c r="H5002" t="s">
        <v>35</v>
      </c>
      <c r="I5002" t="s">
        <v>59</v>
      </c>
      <c r="J5002">
        <v>47.79</v>
      </c>
      <c r="K5002">
        <v>3</v>
      </c>
      <c r="L5002">
        <v>0</v>
      </c>
      <c r="M5002">
        <v>16.2486</v>
      </c>
    </row>
    <row r="5003" spans="1:13" x14ac:dyDescent="0.3">
      <c r="A5003" t="s">
        <v>13</v>
      </c>
      <c r="B5003" t="s">
        <v>22</v>
      </c>
      <c r="C5003" t="s">
        <v>15</v>
      </c>
      <c r="D5003" t="s">
        <v>182</v>
      </c>
      <c r="E5003" t="s">
        <v>74</v>
      </c>
      <c r="F5003">
        <v>47374</v>
      </c>
      <c r="G5003" t="s">
        <v>47</v>
      </c>
      <c r="H5003" t="s">
        <v>26</v>
      </c>
      <c r="I5003" t="s">
        <v>32</v>
      </c>
      <c r="J5003">
        <v>714.3</v>
      </c>
      <c r="K5003">
        <v>5</v>
      </c>
      <c r="L5003">
        <v>0</v>
      </c>
      <c r="M5003">
        <v>207.14699999999999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35</v>
      </c>
      <c r="I5004" t="s">
        <v>123</v>
      </c>
      <c r="J5004">
        <v>2321.9</v>
      </c>
      <c r="K5004">
        <v>2</v>
      </c>
      <c r="L5004">
        <v>0</v>
      </c>
      <c r="M5004">
        <v>1114.5119999999999</v>
      </c>
    </row>
    <row r="5005" spans="1:13" x14ac:dyDescent="0.3">
      <c r="A5005" t="s">
        <v>28</v>
      </c>
      <c r="B5005" t="s">
        <v>44</v>
      </c>
      <c r="C5005" t="s">
        <v>15</v>
      </c>
      <c r="D5005" t="s">
        <v>75</v>
      </c>
      <c r="E5005" t="s">
        <v>76</v>
      </c>
      <c r="F5005">
        <v>10035</v>
      </c>
      <c r="G5005" t="s">
        <v>57</v>
      </c>
      <c r="H5005" t="s">
        <v>26</v>
      </c>
      <c r="I5005" t="s">
        <v>32</v>
      </c>
      <c r="J5005">
        <v>17.940000000000001</v>
      </c>
      <c r="K5005">
        <v>3</v>
      </c>
      <c r="L5005">
        <v>0</v>
      </c>
      <c r="M5005">
        <v>3.0497999999999998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26</v>
      </c>
      <c r="I5006" t="s">
        <v>37</v>
      </c>
      <c r="J5006">
        <v>9.5220000000000002</v>
      </c>
      <c r="K5006">
        <v>1</v>
      </c>
      <c r="L5006">
        <v>0.7</v>
      </c>
      <c r="M5006">
        <v>-6.9828000000000001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35</v>
      </c>
      <c r="I5007" t="s">
        <v>36</v>
      </c>
      <c r="J5007">
        <v>791.96400000000006</v>
      </c>
      <c r="K5007">
        <v>6</v>
      </c>
      <c r="L5007">
        <v>0.4</v>
      </c>
      <c r="M5007">
        <v>-131.994</v>
      </c>
    </row>
    <row r="5008" spans="1:13" x14ac:dyDescent="0.3">
      <c r="A5008" t="s">
        <v>28</v>
      </c>
      <c r="B5008" t="s">
        <v>22</v>
      </c>
      <c r="C5008" t="s">
        <v>15</v>
      </c>
      <c r="D5008" t="s">
        <v>55</v>
      </c>
      <c r="E5008" t="s">
        <v>56</v>
      </c>
      <c r="F5008">
        <v>19134</v>
      </c>
      <c r="G5008" t="s">
        <v>57</v>
      </c>
      <c r="H5008" t="s">
        <v>26</v>
      </c>
      <c r="I5008" t="s">
        <v>37</v>
      </c>
      <c r="J5008">
        <v>4.923</v>
      </c>
      <c r="K5008">
        <v>3</v>
      </c>
      <c r="L5008">
        <v>0.7</v>
      </c>
      <c r="M5008">
        <v>-3.9384000000000001</v>
      </c>
    </row>
    <row r="5009" spans="1:13" x14ac:dyDescent="0.3">
      <c r="A5009" t="s">
        <v>62</v>
      </c>
      <c r="B5009" t="s">
        <v>22</v>
      </c>
      <c r="C5009" t="s">
        <v>15</v>
      </c>
      <c r="D5009" t="s">
        <v>108</v>
      </c>
      <c r="E5009" t="s">
        <v>81</v>
      </c>
      <c r="F5009">
        <v>85023</v>
      </c>
      <c r="G5009" t="s">
        <v>25</v>
      </c>
      <c r="H5009" t="s">
        <v>19</v>
      </c>
      <c r="I5009" t="s">
        <v>20</v>
      </c>
      <c r="J5009">
        <v>209.97900000000001</v>
      </c>
      <c r="K5009">
        <v>7</v>
      </c>
      <c r="L5009">
        <v>0.7</v>
      </c>
      <c r="M5009">
        <v>-356.96429999999998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37</v>
      </c>
      <c r="J5010">
        <v>33.93</v>
      </c>
      <c r="K5010">
        <v>3</v>
      </c>
      <c r="L5010">
        <v>0.7</v>
      </c>
      <c r="M5010">
        <v>-22.62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26</v>
      </c>
      <c r="I5011" t="s">
        <v>32</v>
      </c>
      <c r="J5011">
        <v>222.32</v>
      </c>
      <c r="K5011">
        <v>7</v>
      </c>
      <c r="L5011">
        <v>0.2</v>
      </c>
      <c r="M5011">
        <v>25.010999999999999</v>
      </c>
    </row>
    <row r="5012" spans="1:13" x14ac:dyDescent="0.3">
      <c r="A5012" t="s">
        <v>28</v>
      </c>
      <c r="B5012" t="s">
        <v>44</v>
      </c>
      <c r="C5012" t="s">
        <v>15</v>
      </c>
      <c r="D5012" t="s">
        <v>221</v>
      </c>
      <c r="E5012" t="s">
        <v>104</v>
      </c>
      <c r="F5012">
        <v>44105</v>
      </c>
      <c r="G5012" t="s">
        <v>57</v>
      </c>
      <c r="H5012" t="s">
        <v>35</v>
      </c>
      <c r="I5012" t="s">
        <v>36</v>
      </c>
      <c r="J5012">
        <v>210.56399999999999</v>
      </c>
      <c r="K5012">
        <v>6</v>
      </c>
      <c r="L5012">
        <v>0.4</v>
      </c>
      <c r="M5012">
        <v>-52.640999999999998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19</v>
      </c>
      <c r="I5013" t="s">
        <v>33</v>
      </c>
      <c r="J5013">
        <v>35.167999999999999</v>
      </c>
      <c r="K5013">
        <v>7</v>
      </c>
      <c r="L5013">
        <v>0.2</v>
      </c>
      <c r="M5013">
        <v>9.6712000000000007</v>
      </c>
    </row>
    <row r="5014" spans="1:13" x14ac:dyDescent="0.3">
      <c r="A5014" t="s">
        <v>28</v>
      </c>
      <c r="B5014" t="s">
        <v>14</v>
      </c>
      <c r="C5014" t="s">
        <v>15</v>
      </c>
      <c r="D5014" t="s">
        <v>252</v>
      </c>
      <c r="E5014" t="s">
        <v>104</v>
      </c>
      <c r="F5014">
        <v>43615</v>
      </c>
      <c r="G5014" t="s">
        <v>57</v>
      </c>
      <c r="H5014" t="s">
        <v>35</v>
      </c>
      <c r="I5014" t="s">
        <v>36</v>
      </c>
      <c r="J5014">
        <v>1502.376</v>
      </c>
      <c r="K5014">
        <v>4</v>
      </c>
      <c r="L5014">
        <v>0.4</v>
      </c>
      <c r="M5014">
        <v>-250.39599999999999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19</v>
      </c>
      <c r="I5015" t="s">
        <v>33</v>
      </c>
      <c r="J5015">
        <v>10.11</v>
      </c>
      <c r="K5015">
        <v>3</v>
      </c>
      <c r="L5015">
        <v>0</v>
      </c>
      <c r="M5015">
        <v>3.2351999999999999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35</v>
      </c>
      <c r="I5016" t="s">
        <v>59</v>
      </c>
      <c r="J5016">
        <v>772.47</v>
      </c>
      <c r="K5016">
        <v>3</v>
      </c>
      <c r="L5016">
        <v>0</v>
      </c>
      <c r="M5016">
        <v>146.76929999999999</v>
      </c>
    </row>
    <row r="5017" spans="1:13" x14ac:dyDescent="0.3">
      <c r="A5017" t="s">
        <v>62</v>
      </c>
      <c r="B5017" t="s">
        <v>14</v>
      </c>
      <c r="C5017" t="s">
        <v>15</v>
      </c>
      <c r="D5017" t="s">
        <v>23</v>
      </c>
      <c r="E5017" t="s">
        <v>24</v>
      </c>
      <c r="F5017">
        <v>90008</v>
      </c>
      <c r="G5017" t="s">
        <v>25</v>
      </c>
      <c r="H5017" t="s">
        <v>26</v>
      </c>
      <c r="I5017" t="s">
        <v>110</v>
      </c>
      <c r="J5017">
        <v>20.46</v>
      </c>
      <c r="K5017">
        <v>2</v>
      </c>
      <c r="L5017">
        <v>0</v>
      </c>
      <c r="M5017">
        <v>5.3196000000000003</v>
      </c>
    </row>
    <row r="5018" spans="1:13" x14ac:dyDescent="0.3">
      <c r="A5018" t="s">
        <v>13</v>
      </c>
      <c r="B5018" t="s">
        <v>22</v>
      </c>
      <c r="C5018" t="s">
        <v>15</v>
      </c>
      <c r="D5018" t="s">
        <v>75</v>
      </c>
      <c r="E5018" t="s">
        <v>76</v>
      </c>
      <c r="F5018">
        <v>10011</v>
      </c>
      <c r="G5018" t="s">
        <v>57</v>
      </c>
      <c r="H5018" t="s">
        <v>26</v>
      </c>
      <c r="I5018" t="s">
        <v>110</v>
      </c>
      <c r="J5018">
        <v>347.58</v>
      </c>
      <c r="K5018">
        <v>3</v>
      </c>
      <c r="L5018">
        <v>0</v>
      </c>
      <c r="M5018">
        <v>17.379000000000001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72.64</v>
      </c>
      <c r="K5019">
        <v>2</v>
      </c>
      <c r="L5019">
        <v>0</v>
      </c>
      <c r="M5019">
        <v>21.792000000000002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144</v>
      </c>
      <c r="E5021" t="s">
        <v>24</v>
      </c>
      <c r="F5021">
        <v>92037</v>
      </c>
      <c r="G5021" t="s">
        <v>25</v>
      </c>
      <c r="H5021" t="s">
        <v>19</v>
      </c>
      <c r="I5021" t="s">
        <v>33</v>
      </c>
      <c r="J5021">
        <v>39.92</v>
      </c>
      <c r="K5021">
        <v>4</v>
      </c>
      <c r="L5021">
        <v>0</v>
      </c>
      <c r="M5021">
        <v>11.1776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26</v>
      </c>
      <c r="I5022" t="s">
        <v>37</v>
      </c>
      <c r="J5022">
        <v>33.479999999999997</v>
      </c>
      <c r="K5022">
        <v>2</v>
      </c>
      <c r="L5022">
        <v>0</v>
      </c>
      <c r="M5022">
        <v>16.405200000000001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35</v>
      </c>
      <c r="I5023" t="s">
        <v>36</v>
      </c>
      <c r="J5023">
        <v>461.97</v>
      </c>
      <c r="K5023">
        <v>3</v>
      </c>
      <c r="L5023">
        <v>0</v>
      </c>
      <c r="M5023">
        <v>133.97130000000001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26</v>
      </c>
      <c r="I5024" t="s">
        <v>38</v>
      </c>
      <c r="J5024">
        <v>137.62</v>
      </c>
      <c r="K5024">
        <v>2</v>
      </c>
      <c r="L5024">
        <v>0</v>
      </c>
      <c r="M5024">
        <v>60.552799999999998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354</v>
      </c>
      <c r="E5025" t="s">
        <v>119</v>
      </c>
      <c r="F5025">
        <v>73120</v>
      </c>
      <c r="G5025" t="s">
        <v>47</v>
      </c>
      <c r="H5025" t="s">
        <v>19</v>
      </c>
      <c r="I5025" t="s">
        <v>21</v>
      </c>
      <c r="J5025">
        <v>302.67</v>
      </c>
      <c r="K5025">
        <v>3</v>
      </c>
      <c r="L5025">
        <v>0</v>
      </c>
      <c r="M5025">
        <v>72.640799999999999</v>
      </c>
    </row>
    <row r="5026" spans="1:13" x14ac:dyDescent="0.3">
      <c r="A5026" t="s">
        <v>13</v>
      </c>
      <c r="B5026" t="s">
        <v>14</v>
      </c>
      <c r="C5026" t="s">
        <v>15</v>
      </c>
      <c r="D5026" t="s">
        <v>79</v>
      </c>
      <c r="E5026" t="s">
        <v>65</v>
      </c>
      <c r="F5026">
        <v>60653</v>
      </c>
      <c r="G5026" t="s">
        <v>47</v>
      </c>
      <c r="H5026" t="s">
        <v>35</v>
      </c>
      <c r="I5026" t="s">
        <v>59</v>
      </c>
      <c r="J5026">
        <v>239.976</v>
      </c>
      <c r="K5026">
        <v>3</v>
      </c>
      <c r="L5026">
        <v>0.2</v>
      </c>
      <c r="M5026">
        <v>53.994599999999998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34</v>
      </c>
      <c r="J5027">
        <v>8.34</v>
      </c>
      <c r="K5027">
        <v>3</v>
      </c>
      <c r="L5027">
        <v>0</v>
      </c>
      <c r="M5027">
        <v>2.1684000000000001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110</v>
      </c>
      <c r="J5028">
        <v>8.57</v>
      </c>
      <c r="K5028">
        <v>1</v>
      </c>
      <c r="L5028">
        <v>0</v>
      </c>
      <c r="M5028">
        <v>2.2282000000000002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52</v>
      </c>
      <c r="E5029" t="s">
        <v>24</v>
      </c>
      <c r="F5029">
        <v>94109</v>
      </c>
      <c r="G5029" t="s">
        <v>25</v>
      </c>
      <c r="H5029" t="s">
        <v>26</v>
      </c>
      <c r="I5029" t="s">
        <v>37</v>
      </c>
      <c r="J5029">
        <v>119.616</v>
      </c>
      <c r="K5029">
        <v>8</v>
      </c>
      <c r="L5029">
        <v>0.2</v>
      </c>
      <c r="M5029">
        <v>40.370399999999997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19</v>
      </c>
      <c r="I5030" t="s">
        <v>21</v>
      </c>
      <c r="J5030">
        <v>212.94</v>
      </c>
      <c r="K5030">
        <v>3</v>
      </c>
      <c r="L5030">
        <v>0</v>
      </c>
      <c r="M5030">
        <v>25.552800000000001</v>
      </c>
    </row>
    <row r="5031" spans="1:13" x14ac:dyDescent="0.3">
      <c r="A5031" t="s">
        <v>28</v>
      </c>
      <c r="B5031" t="s">
        <v>22</v>
      </c>
      <c r="C5031" t="s">
        <v>15</v>
      </c>
      <c r="D5031" t="s">
        <v>304</v>
      </c>
      <c r="E5031" t="s">
        <v>132</v>
      </c>
      <c r="F5031">
        <v>8360</v>
      </c>
      <c r="G5031" t="s">
        <v>57</v>
      </c>
      <c r="H5031" t="s">
        <v>26</v>
      </c>
      <c r="I5031" t="s">
        <v>38</v>
      </c>
      <c r="J5031">
        <v>26.49</v>
      </c>
      <c r="K5031">
        <v>1</v>
      </c>
      <c r="L5031">
        <v>0</v>
      </c>
      <c r="M5031">
        <v>7.4172000000000002</v>
      </c>
    </row>
    <row r="5032" spans="1:13" x14ac:dyDescent="0.3">
      <c r="A5032" t="s">
        <v>13</v>
      </c>
      <c r="B5032" t="s">
        <v>44</v>
      </c>
      <c r="C5032" t="s">
        <v>15</v>
      </c>
      <c r="D5032" t="s">
        <v>241</v>
      </c>
      <c r="E5032" t="s">
        <v>49</v>
      </c>
      <c r="F5032">
        <v>53209</v>
      </c>
      <c r="G5032" t="s">
        <v>47</v>
      </c>
      <c r="H5032" t="s">
        <v>19</v>
      </c>
      <c r="I5032" t="s">
        <v>20</v>
      </c>
      <c r="J5032">
        <v>687.4</v>
      </c>
      <c r="K5032">
        <v>5</v>
      </c>
      <c r="L5032">
        <v>0</v>
      </c>
      <c r="M5032">
        <v>48.118000000000002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19</v>
      </c>
      <c r="I5033" t="s">
        <v>31</v>
      </c>
      <c r="J5033">
        <v>653.54999999999995</v>
      </c>
      <c r="K5033">
        <v>3</v>
      </c>
      <c r="L5033">
        <v>0</v>
      </c>
      <c r="M5033">
        <v>111.1035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42</v>
      </c>
      <c r="E5034" t="s">
        <v>43</v>
      </c>
      <c r="F5034">
        <v>98115</v>
      </c>
      <c r="G5034" t="s">
        <v>25</v>
      </c>
      <c r="H5034" t="s">
        <v>35</v>
      </c>
      <c r="I5034" t="s">
        <v>59</v>
      </c>
      <c r="J5034">
        <v>33.9</v>
      </c>
      <c r="K5034">
        <v>2</v>
      </c>
      <c r="L5034">
        <v>0</v>
      </c>
      <c r="M5034">
        <v>2.0339999999999998</v>
      </c>
    </row>
    <row r="5035" spans="1:13" x14ac:dyDescent="0.3">
      <c r="A5035" t="s">
        <v>13</v>
      </c>
      <c r="B5035" t="s">
        <v>14</v>
      </c>
      <c r="C5035" t="s">
        <v>15</v>
      </c>
      <c r="D5035" t="s">
        <v>64</v>
      </c>
      <c r="E5035" t="s">
        <v>65</v>
      </c>
      <c r="F5035">
        <v>60540</v>
      </c>
      <c r="G5035" t="s">
        <v>47</v>
      </c>
      <c r="H5035" t="s">
        <v>35</v>
      </c>
      <c r="I5035" t="s">
        <v>59</v>
      </c>
      <c r="J5035">
        <v>239.96</v>
      </c>
      <c r="K5035">
        <v>5</v>
      </c>
      <c r="L5035">
        <v>0.2</v>
      </c>
      <c r="M5035">
        <v>83.986000000000004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19</v>
      </c>
      <c r="I5036" t="s">
        <v>31</v>
      </c>
      <c r="J5036">
        <v>199.83600000000001</v>
      </c>
      <c r="K5036">
        <v>4</v>
      </c>
      <c r="L5036">
        <v>0.3</v>
      </c>
      <c r="M5036">
        <v>-37.112400000000001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35</v>
      </c>
      <c r="I5037" t="s">
        <v>36</v>
      </c>
      <c r="J5037">
        <v>716</v>
      </c>
      <c r="K5037">
        <v>2</v>
      </c>
      <c r="L5037">
        <v>0</v>
      </c>
      <c r="M5037">
        <v>193.32</v>
      </c>
    </row>
    <row r="5038" spans="1:13" x14ac:dyDescent="0.3">
      <c r="A5038" t="s">
        <v>62</v>
      </c>
      <c r="B5038" t="s">
        <v>22</v>
      </c>
      <c r="C5038" t="s">
        <v>15</v>
      </c>
      <c r="D5038" t="s">
        <v>106</v>
      </c>
      <c r="E5038" t="s">
        <v>72</v>
      </c>
      <c r="F5038">
        <v>19805</v>
      </c>
      <c r="G5038" t="s">
        <v>57</v>
      </c>
      <c r="H5038" t="s">
        <v>26</v>
      </c>
      <c r="I5038" t="s">
        <v>37</v>
      </c>
      <c r="J5038">
        <v>221.06</v>
      </c>
      <c r="K5038">
        <v>7</v>
      </c>
      <c r="L5038">
        <v>0</v>
      </c>
      <c r="M5038">
        <v>103.8982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41</v>
      </c>
      <c r="J5039">
        <v>67.709999999999994</v>
      </c>
      <c r="K5039">
        <v>3</v>
      </c>
      <c r="L5039">
        <v>0</v>
      </c>
      <c r="M5039">
        <v>32.500799999999998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26</v>
      </c>
      <c r="I5040" t="s">
        <v>38</v>
      </c>
      <c r="J5040">
        <v>129.91999999999999</v>
      </c>
      <c r="K5040">
        <v>4</v>
      </c>
      <c r="L5040">
        <v>0</v>
      </c>
      <c r="M5040">
        <v>38.975999999999999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19</v>
      </c>
      <c r="I5041" t="s">
        <v>33</v>
      </c>
      <c r="J5041">
        <v>467.46</v>
      </c>
      <c r="K5041">
        <v>9</v>
      </c>
      <c r="L5041">
        <v>0</v>
      </c>
      <c r="M5041">
        <v>191.65860000000001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41</v>
      </c>
      <c r="J5042">
        <v>61.4</v>
      </c>
      <c r="K5042">
        <v>5</v>
      </c>
      <c r="L5042">
        <v>0</v>
      </c>
      <c r="M5042">
        <v>28.858000000000001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32</v>
      </c>
      <c r="J5043">
        <v>720.76</v>
      </c>
      <c r="K5043">
        <v>4</v>
      </c>
      <c r="L5043">
        <v>0</v>
      </c>
      <c r="M5043">
        <v>187.39760000000001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37</v>
      </c>
      <c r="J5044">
        <v>5.1840000000000002</v>
      </c>
      <c r="K5044">
        <v>3</v>
      </c>
      <c r="L5044">
        <v>0.2</v>
      </c>
      <c r="M5044">
        <v>1.8144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26</v>
      </c>
      <c r="I5045" t="s">
        <v>34</v>
      </c>
      <c r="J5045">
        <v>14.7</v>
      </c>
      <c r="K5045">
        <v>5</v>
      </c>
      <c r="L5045">
        <v>0</v>
      </c>
      <c r="M5045">
        <v>3.9689999999999999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26</v>
      </c>
      <c r="I5046" t="s">
        <v>37</v>
      </c>
      <c r="J5046">
        <v>8.1340000000000003</v>
      </c>
      <c r="K5046">
        <v>7</v>
      </c>
      <c r="L5046">
        <v>0.8</v>
      </c>
      <c r="M5046">
        <v>-13.8278</v>
      </c>
    </row>
    <row r="5047" spans="1:13" x14ac:dyDescent="0.3">
      <c r="A5047" t="s">
        <v>28</v>
      </c>
      <c r="B5047" t="s">
        <v>14</v>
      </c>
      <c r="C5047" t="s">
        <v>15</v>
      </c>
      <c r="D5047" t="s">
        <v>79</v>
      </c>
      <c r="E5047" t="s">
        <v>65</v>
      </c>
      <c r="F5047">
        <v>60610</v>
      </c>
      <c r="G5047" t="s">
        <v>47</v>
      </c>
      <c r="H5047" t="s">
        <v>35</v>
      </c>
      <c r="I5047" t="s">
        <v>59</v>
      </c>
      <c r="J5047">
        <v>79.983999999999995</v>
      </c>
      <c r="K5047">
        <v>2</v>
      </c>
      <c r="L5047">
        <v>0.2</v>
      </c>
      <c r="M5047">
        <v>13.997199999999999</v>
      </c>
    </row>
    <row r="5048" spans="1:13" x14ac:dyDescent="0.3">
      <c r="A5048" t="s">
        <v>28</v>
      </c>
      <c r="B5048" t="s">
        <v>44</v>
      </c>
      <c r="C5048" t="s">
        <v>15</v>
      </c>
      <c r="D5048" t="s">
        <v>174</v>
      </c>
      <c r="E5048" t="s">
        <v>43</v>
      </c>
      <c r="F5048">
        <v>98198</v>
      </c>
      <c r="G5048" t="s">
        <v>25</v>
      </c>
      <c r="H5048" t="s">
        <v>26</v>
      </c>
      <c r="I5048" t="s">
        <v>41</v>
      </c>
      <c r="J5048">
        <v>18.54</v>
      </c>
      <c r="K5048">
        <v>2</v>
      </c>
      <c r="L5048">
        <v>0</v>
      </c>
      <c r="M5048">
        <v>8.7138000000000009</v>
      </c>
    </row>
    <row r="5049" spans="1:13" x14ac:dyDescent="0.3">
      <c r="A5049" t="s">
        <v>28</v>
      </c>
      <c r="B5049" t="s">
        <v>22</v>
      </c>
      <c r="C5049" t="s">
        <v>15</v>
      </c>
      <c r="D5049" t="s">
        <v>55</v>
      </c>
      <c r="E5049" t="s">
        <v>56</v>
      </c>
      <c r="F5049">
        <v>19140</v>
      </c>
      <c r="G5049" t="s">
        <v>57</v>
      </c>
      <c r="H5049" t="s">
        <v>26</v>
      </c>
      <c r="I5049" t="s">
        <v>60</v>
      </c>
      <c r="J5049">
        <v>24.4</v>
      </c>
      <c r="K5049">
        <v>2</v>
      </c>
      <c r="L5049">
        <v>0.2</v>
      </c>
      <c r="M5049">
        <v>7.93</v>
      </c>
    </row>
    <row r="5050" spans="1:13" x14ac:dyDescent="0.3">
      <c r="A5050" t="s">
        <v>168</v>
      </c>
      <c r="B5050" t="s">
        <v>14</v>
      </c>
      <c r="C5050" t="s">
        <v>15</v>
      </c>
      <c r="D5050" t="s">
        <v>200</v>
      </c>
      <c r="E5050" t="s">
        <v>167</v>
      </c>
      <c r="F5050">
        <v>30318</v>
      </c>
      <c r="G5050" t="s">
        <v>18</v>
      </c>
      <c r="H5050" t="s">
        <v>26</v>
      </c>
      <c r="I5050" t="s">
        <v>41</v>
      </c>
      <c r="J5050">
        <v>195.64</v>
      </c>
      <c r="K5050">
        <v>4</v>
      </c>
      <c r="L5050">
        <v>0</v>
      </c>
      <c r="M5050">
        <v>91.950800000000001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35</v>
      </c>
      <c r="I5051" t="s">
        <v>59</v>
      </c>
      <c r="J5051">
        <v>398.4</v>
      </c>
      <c r="K5051">
        <v>5</v>
      </c>
      <c r="L5051">
        <v>0.2</v>
      </c>
      <c r="M5051">
        <v>84.66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26</v>
      </c>
      <c r="I5052" t="s">
        <v>34</v>
      </c>
      <c r="J5052">
        <v>7.056</v>
      </c>
      <c r="K5052">
        <v>3</v>
      </c>
      <c r="L5052">
        <v>0.2</v>
      </c>
      <c r="M5052">
        <v>0.79379999999999995</v>
      </c>
    </row>
    <row r="5053" spans="1:13" x14ac:dyDescent="0.3">
      <c r="A5053" t="s">
        <v>13</v>
      </c>
      <c r="B5053" t="s">
        <v>14</v>
      </c>
      <c r="C5053" t="s">
        <v>15</v>
      </c>
      <c r="D5053" t="s">
        <v>135</v>
      </c>
      <c r="E5053" t="s">
        <v>46</v>
      </c>
      <c r="F5053">
        <v>75217</v>
      </c>
      <c r="G5053" t="s">
        <v>47</v>
      </c>
      <c r="H5053" t="s">
        <v>19</v>
      </c>
      <c r="I5053" t="s">
        <v>20</v>
      </c>
      <c r="J5053">
        <v>1352.3976</v>
      </c>
      <c r="K5053">
        <v>9</v>
      </c>
      <c r="L5053">
        <v>0.32</v>
      </c>
      <c r="M5053">
        <v>-437.54039999999998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41</v>
      </c>
      <c r="J5054">
        <v>26.4</v>
      </c>
      <c r="K5054">
        <v>5</v>
      </c>
      <c r="L5054">
        <v>0</v>
      </c>
      <c r="M5054">
        <v>11.88</v>
      </c>
    </row>
    <row r="5055" spans="1:13" x14ac:dyDescent="0.3">
      <c r="A5055" t="s">
        <v>62</v>
      </c>
      <c r="B5055" t="s">
        <v>14</v>
      </c>
      <c r="C5055" t="s">
        <v>15</v>
      </c>
      <c r="D5055" t="s">
        <v>520</v>
      </c>
      <c r="E5055" t="s">
        <v>24</v>
      </c>
      <c r="F5055">
        <v>92553</v>
      </c>
      <c r="G5055" t="s">
        <v>25</v>
      </c>
      <c r="H5055" t="s">
        <v>26</v>
      </c>
      <c r="I5055" t="s">
        <v>32</v>
      </c>
      <c r="J5055">
        <v>41.88</v>
      </c>
      <c r="K5055">
        <v>6</v>
      </c>
      <c r="L5055">
        <v>0</v>
      </c>
      <c r="M5055">
        <v>0.83760000000000001</v>
      </c>
    </row>
    <row r="5056" spans="1:13" x14ac:dyDescent="0.3">
      <c r="A5056" t="s">
        <v>28</v>
      </c>
      <c r="B5056" t="s">
        <v>14</v>
      </c>
      <c r="C5056" t="s">
        <v>15</v>
      </c>
      <c r="D5056" t="s">
        <v>55</v>
      </c>
      <c r="E5056" t="s">
        <v>56</v>
      </c>
      <c r="F5056">
        <v>19140</v>
      </c>
      <c r="G5056" t="s">
        <v>57</v>
      </c>
      <c r="H5056" t="s">
        <v>26</v>
      </c>
      <c r="I5056" t="s">
        <v>37</v>
      </c>
      <c r="J5056">
        <v>99.846000000000004</v>
      </c>
      <c r="K5056">
        <v>9</v>
      </c>
      <c r="L5056">
        <v>0.7</v>
      </c>
      <c r="M5056">
        <v>-83.204999999999998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35</v>
      </c>
      <c r="I5057" t="s">
        <v>36</v>
      </c>
      <c r="J5057">
        <v>699.98</v>
      </c>
      <c r="K5057">
        <v>2</v>
      </c>
      <c r="L5057">
        <v>0</v>
      </c>
      <c r="M5057">
        <v>195.99440000000001</v>
      </c>
    </row>
    <row r="5058" spans="1:13" x14ac:dyDescent="0.3">
      <c r="A5058" t="s">
        <v>13</v>
      </c>
      <c r="B5058" t="s">
        <v>14</v>
      </c>
      <c r="C5058" t="s">
        <v>15</v>
      </c>
      <c r="D5058" t="s">
        <v>521</v>
      </c>
      <c r="E5058" t="s">
        <v>17</v>
      </c>
      <c r="F5058">
        <v>40324</v>
      </c>
      <c r="G5058" t="s">
        <v>18</v>
      </c>
      <c r="H5058" t="s">
        <v>26</v>
      </c>
      <c r="I5058" t="s">
        <v>32</v>
      </c>
      <c r="J5058">
        <v>584.82000000000005</v>
      </c>
      <c r="K5058">
        <v>9</v>
      </c>
      <c r="L5058">
        <v>0</v>
      </c>
      <c r="M5058">
        <v>70.178399999999996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26</v>
      </c>
      <c r="I5059" t="s">
        <v>37</v>
      </c>
      <c r="J5059">
        <v>43.98</v>
      </c>
      <c r="K5059">
        <v>2</v>
      </c>
      <c r="L5059">
        <v>0</v>
      </c>
      <c r="M5059">
        <v>21.99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35</v>
      </c>
      <c r="I5060" t="s">
        <v>36</v>
      </c>
      <c r="J5060">
        <v>377.97</v>
      </c>
      <c r="K5060">
        <v>3</v>
      </c>
      <c r="L5060">
        <v>0</v>
      </c>
      <c r="M5060">
        <v>105.83159999999999</v>
      </c>
    </row>
    <row r="5061" spans="1:13" x14ac:dyDescent="0.3">
      <c r="A5061" t="s">
        <v>28</v>
      </c>
      <c r="B5061" t="s">
        <v>14</v>
      </c>
      <c r="C5061" t="s">
        <v>15</v>
      </c>
      <c r="D5061" t="s">
        <v>93</v>
      </c>
      <c r="E5061" t="s">
        <v>68</v>
      </c>
      <c r="F5061">
        <v>55407</v>
      </c>
      <c r="G5061" t="s">
        <v>47</v>
      </c>
      <c r="H5061" t="s">
        <v>19</v>
      </c>
      <c r="I5061" t="s">
        <v>33</v>
      </c>
      <c r="J5061">
        <v>123.96</v>
      </c>
      <c r="K5061">
        <v>3</v>
      </c>
      <c r="L5061">
        <v>0</v>
      </c>
      <c r="M5061">
        <v>11.1564</v>
      </c>
    </row>
    <row r="5062" spans="1:13" x14ac:dyDescent="0.3">
      <c r="A5062" t="s">
        <v>62</v>
      </c>
      <c r="B5062" t="s">
        <v>14</v>
      </c>
      <c r="C5062" t="s">
        <v>15</v>
      </c>
      <c r="D5062" t="s">
        <v>106</v>
      </c>
      <c r="E5062" t="s">
        <v>72</v>
      </c>
      <c r="F5062">
        <v>19805</v>
      </c>
      <c r="G5062" t="s">
        <v>57</v>
      </c>
      <c r="H5062" t="s">
        <v>35</v>
      </c>
      <c r="I5062" t="s">
        <v>36</v>
      </c>
      <c r="J5062">
        <v>391.98</v>
      </c>
      <c r="K5062">
        <v>2</v>
      </c>
      <c r="L5062">
        <v>0</v>
      </c>
      <c r="M5062">
        <v>113.6742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35</v>
      </c>
      <c r="I5063" t="s">
        <v>59</v>
      </c>
      <c r="J5063">
        <v>383.976</v>
      </c>
      <c r="K5063">
        <v>3</v>
      </c>
      <c r="L5063">
        <v>0.2</v>
      </c>
      <c r="M5063">
        <v>81.594899999999996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223</v>
      </c>
      <c r="E5064" t="s">
        <v>40</v>
      </c>
      <c r="F5064">
        <v>27217</v>
      </c>
      <c r="G5064" t="s">
        <v>18</v>
      </c>
      <c r="H5064" t="s">
        <v>19</v>
      </c>
      <c r="I5064" t="s">
        <v>31</v>
      </c>
      <c r="J5064">
        <v>1781.682</v>
      </c>
      <c r="K5064">
        <v>7</v>
      </c>
      <c r="L5064">
        <v>0.4</v>
      </c>
      <c r="M5064">
        <v>-653.28340000000003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</v>
      </c>
      <c r="E5065" t="s">
        <v>24</v>
      </c>
      <c r="F5065">
        <v>90008</v>
      </c>
      <c r="G5065" t="s">
        <v>25</v>
      </c>
      <c r="H5065" t="s">
        <v>26</v>
      </c>
      <c r="I5065" t="s">
        <v>34</v>
      </c>
      <c r="J5065">
        <v>21.4</v>
      </c>
      <c r="K5065">
        <v>5</v>
      </c>
      <c r="L5065">
        <v>0</v>
      </c>
      <c r="M5065">
        <v>6.2060000000000004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35</v>
      </c>
      <c r="I5066" t="s">
        <v>162</v>
      </c>
      <c r="J5066">
        <v>549.99</v>
      </c>
      <c r="K5066">
        <v>1</v>
      </c>
      <c r="L5066">
        <v>0</v>
      </c>
      <c r="M5066">
        <v>274.995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38</v>
      </c>
      <c r="J5067">
        <v>167.535</v>
      </c>
      <c r="K5067">
        <v>3</v>
      </c>
      <c r="L5067">
        <v>0.1</v>
      </c>
      <c r="M5067">
        <v>37.229999999999997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26</v>
      </c>
      <c r="I5068" t="s">
        <v>60</v>
      </c>
      <c r="J5068">
        <v>38.340000000000003</v>
      </c>
      <c r="K5068">
        <v>3</v>
      </c>
      <c r="L5068">
        <v>0</v>
      </c>
      <c r="M5068">
        <v>17.253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19</v>
      </c>
      <c r="I5069" t="s">
        <v>33</v>
      </c>
      <c r="J5069">
        <v>53.88</v>
      </c>
      <c r="K5069">
        <v>6</v>
      </c>
      <c r="L5069">
        <v>0</v>
      </c>
      <c r="M5069">
        <v>22.6296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36</v>
      </c>
      <c r="J5070">
        <v>299.98</v>
      </c>
      <c r="K5070">
        <v>2</v>
      </c>
      <c r="L5070">
        <v>0</v>
      </c>
      <c r="M5070">
        <v>83.994399999999999</v>
      </c>
    </row>
    <row r="5071" spans="1:13" x14ac:dyDescent="0.3">
      <c r="A5071" t="s">
        <v>168</v>
      </c>
      <c r="B5071" t="s">
        <v>14</v>
      </c>
      <c r="C5071" t="s">
        <v>15</v>
      </c>
      <c r="D5071" t="s">
        <v>52</v>
      </c>
      <c r="E5071" t="s">
        <v>24</v>
      </c>
      <c r="F5071">
        <v>94109</v>
      </c>
      <c r="G5071" t="s">
        <v>25</v>
      </c>
      <c r="H5071" t="s">
        <v>26</v>
      </c>
      <c r="I5071" t="s">
        <v>32</v>
      </c>
      <c r="J5071">
        <v>62.8</v>
      </c>
      <c r="K5071">
        <v>4</v>
      </c>
      <c r="L5071">
        <v>0</v>
      </c>
      <c r="M5071">
        <v>15.7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23</v>
      </c>
      <c r="E5072" t="s">
        <v>24</v>
      </c>
      <c r="F5072">
        <v>90049</v>
      </c>
      <c r="G5072" t="s">
        <v>25</v>
      </c>
      <c r="H5072" t="s">
        <v>26</v>
      </c>
      <c r="I5072" t="s">
        <v>37</v>
      </c>
      <c r="J5072">
        <v>13.904</v>
      </c>
      <c r="K5072">
        <v>2</v>
      </c>
      <c r="L5072">
        <v>0.2</v>
      </c>
      <c r="M5072">
        <v>4.5187999999999997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19</v>
      </c>
      <c r="I5073" t="s">
        <v>31</v>
      </c>
      <c r="J5073">
        <v>744.1</v>
      </c>
      <c r="K5073">
        <v>5</v>
      </c>
      <c r="L5073">
        <v>0.3</v>
      </c>
      <c r="M5073">
        <v>-95.67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26</v>
      </c>
      <c r="I5074" t="s">
        <v>32</v>
      </c>
      <c r="J5074">
        <v>44.84</v>
      </c>
      <c r="K5074">
        <v>5</v>
      </c>
      <c r="L5074">
        <v>0.2</v>
      </c>
      <c r="M5074">
        <v>5.6050000000000004</v>
      </c>
    </row>
    <row r="5075" spans="1:13" x14ac:dyDescent="0.3">
      <c r="A5075" t="s">
        <v>13</v>
      </c>
      <c r="B5075" t="s">
        <v>14</v>
      </c>
      <c r="C5075" t="s">
        <v>15</v>
      </c>
      <c r="D5075" t="s">
        <v>61</v>
      </c>
      <c r="E5075" t="s">
        <v>46</v>
      </c>
      <c r="F5075">
        <v>77070</v>
      </c>
      <c r="G5075" t="s">
        <v>47</v>
      </c>
      <c r="H5075" t="s">
        <v>19</v>
      </c>
      <c r="I5075" t="s">
        <v>31</v>
      </c>
      <c r="J5075">
        <v>401.59</v>
      </c>
      <c r="K5075">
        <v>2</v>
      </c>
      <c r="L5075">
        <v>0.3</v>
      </c>
      <c r="M5075">
        <v>-131.95099999999999</v>
      </c>
    </row>
    <row r="5076" spans="1:13" x14ac:dyDescent="0.3">
      <c r="A5076" t="s">
        <v>28</v>
      </c>
      <c r="B5076" t="s">
        <v>44</v>
      </c>
      <c r="C5076" t="s">
        <v>15</v>
      </c>
      <c r="D5076" t="s">
        <v>241</v>
      </c>
      <c r="E5076" t="s">
        <v>49</v>
      </c>
      <c r="F5076">
        <v>53209</v>
      </c>
      <c r="G5076" t="s">
        <v>47</v>
      </c>
      <c r="H5076" t="s">
        <v>26</v>
      </c>
      <c r="I5076" t="s">
        <v>37</v>
      </c>
      <c r="J5076">
        <v>18.239999999999998</v>
      </c>
      <c r="K5076">
        <v>3</v>
      </c>
      <c r="L5076">
        <v>0</v>
      </c>
      <c r="M5076">
        <v>8.5728000000000009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19</v>
      </c>
      <c r="I5077" t="s">
        <v>20</v>
      </c>
      <c r="J5077">
        <v>359.49900000000002</v>
      </c>
      <c r="K5077">
        <v>3</v>
      </c>
      <c r="L5077">
        <v>0.15</v>
      </c>
      <c r="M5077">
        <v>-29.605799999999999</v>
      </c>
    </row>
    <row r="5078" spans="1:13" x14ac:dyDescent="0.3">
      <c r="A5078" t="s">
        <v>28</v>
      </c>
      <c r="B5078" t="s">
        <v>14</v>
      </c>
      <c r="C5078" t="s">
        <v>15</v>
      </c>
      <c r="D5078" t="s">
        <v>52</v>
      </c>
      <c r="E5078" t="s">
        <v>24</v>
      </c>
      <c r="F5078">
        <v>94122</v>
      </c>
      <c r="G5078" t="s">
        <v>25</v>
      </c>
      <c r="H5078" t="s">
        <v>26</v>
      </c>
      <c r="I5078" t="s">
        <v>32</v>
      </c>
      <c r="J5078">
        <v>10.48</v>
      </c>
      <c r="K5078">
        <v>1</v>
      </c>
      <c r="L5078">
        <v>0</v>
      </c>
      <c r="M5078">
        <v>2.8296000000000001</v>
      </c>
    </row>
    <row r="5079" spans="1:13" x14ac:dyDescent="0.3">
      <c r="A5079" t="s">
        <v>168</v>
      </c>
      <c r="B5079" t="s">
        <v>44</v>
      </c>
      <c r="C5079" t="s">
        <v>15</v>
      </c>
      <c r="D5079" t="s">
        <v>221</v>
      </c>
      <c r="E5079" t="s">
        <v>104</v>
      </c>
      <c r="F5079">
        <v>44105</v>
      </c>
      <c r="G5079" t="s">
        <v>57</v>
      </c>
      <c r="H5079" t="s">
        <v>26</v>
      </c>
      <c r="I5079" t="s">
        <v>41</v>
      </c>
      <c r="J5079">
        <v>20.736000000000001</v>
      </c>
      <c r="K5079">
        <v>4</v>
      </c>
      <c r="L5079">
        <v>0.2</v>
      </c>
      <c r="M5079">
        <v>7.2576000000000001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35</v>
      </c>
      <c r="I5080" t="s">
        <v>59</v>
      </c>
      <c r="J5080">
        <v>35.167999999999999</v>
      </c>
      <c r="K5080">
        <v>4</v>
      </c>
      <c r="L5080">
        <v>0.2</v>
      </c>
      <c r="M5080">
        <v>8.3523999999999994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124</v>
      </c>
      <c r="E5081" t="s">
        <v>40</v>
      </c>
      <c r="F5081">
        <v>28110</v>
      </c>
      <c r="G5081" t="s">
        <v>18</v>
      </c>
      <c r="H5081" t="s">
        <v>26</v>
      </c>
      <c r="I5081" t="s">
        <v>41</v>
      </c>
      <c r="J5081">
        <v>64.703999999999994</v>
      </c>
      <c r="K5081">
        <v>3</v>
      </c>
      <c r="L5081">
        <v>0.2</v>
      </c>
      <c r="M5081">
        <v>23.455200000000001</v>
      </c>
    </row>
    <row r="5082" spans="1:13" x14ac:dyDescent="0.3">
      <c r="A5082" t="s">
        <v>13</v>
      </c>
      <c r="B5082" t="s">
        <v>22</v>
      </c>
      <c r="C5082" t="s">
        <v>15</v>
      </c>
      <c r="D5082" t="s">
        <v>165</v>
      </c>
      <c r="E5082" t="s">
        <v>166</v>
      </c>
      <c r="F5082">
        <v>1852</v>
      </c>
      <c r="G5082" t="s">
        <v>57</v>
      </c>
      <c r="H5082" t="s">
        <v>26</v>
      </c>
      <c r="I5082" t="s">
        <v>41</v>
      </c>
      <c r="J5082">
        <v>105.52</v>
      </c>
      <c r="K5082">
        <v>4</v>
      </c>
      <c r="L5082">
        <v>0</v>
      </c>
      <c r="M5082">
        <v>48.539200000000001</v>
      </c>
    </row>
    <row r="5083" spans="1:13" x14ac:dyDescent="0.3">
      <c r="A5083" t="s">
        <v>28</v>
      </c>
      <c r="B5083" t="s">
        <v>44</v>
      </c>
      <c r="C5083" t="s">
        <v>15</v>
      </c>
      <c r="D5083" t="s">
        <v>135</v>
      </c>
      <c r="E5083" t="s">
        <v>46</v>
      </c>
      <c r="F5083">
        <v>75081</v>
      </c>
      <c r="G5083" t="s">
        <v>47</v>
      </c>
      <c r="H5083" t="s">
        <v>26</v>
      </c>
      <c r="I5083" t="s">
        <v>37</v>
      </c>
      <c r="J5083">
        <v>5.7919999999999998</v>
      </c>
      <c r="K5083">
        <v>2</v>
      </c>
      <c r="L5083">
        <v>0.8</v>
      </c>
      <c r="M5083">
        <v>-9.5568000000000008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36</v>
      </c>
      <c r="J5084">
        <v>466.15800000000002</v>
      </c>
      <c r="K5084">
        <v>7</v>
      </c>
      <c r="L5084">
        <v>0.4</v>
      </c>
      <c r="M5084">
        <v>-93.2316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35</v>
      </c>
      <c r="I5085" t="s">
        <v>59</v>
      </c>
      <c r="J5085">
        <v>10.311999999999999</v>
      </c>
      <c r="K5085">
        <v>1</v>
      </c>
      <c r="L5085">
        <v>0.2</v>
      </c>
      <c r="M5085">
        <v>-1.2889999999999999</v>
      </c>
    </row>
    <row r="5086" spans="1:13" x14ac:dyDescent="0.3">
      <c r="A5086" t="s">
        <v>28</v>
      </c>
      <c r="B5086" t="s">
        <v>22</v>
      </c>
      <c r="C5086" t="s">
        <v>15</v>
      </c>
      <c r="D5086" t="s">
        <v>55</v>
      </c>
      <c r="E5086" t="s">
        <v>56</v>
      </c>
      <c r="F5086">
        <v>19120</v>
      </c>
      <c r="G5086" t="s">
        <v>57</v>
      </c>
      <c r="H5086" t="s">
        <v>26</v>
      </c>
      <c r="I5086" t="s">
        <v>37</v>
      </c>
      <c r="J5086">
        <v>2.556</v>
      </c>
      <c r="K5086">
        <v>3</v>
      </c>
      <c r="L5086">
        <v>0.7</v>
      </c>
      <c r="M5086">
        <v>-1.7891999999999999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41</v>
      </c>
      <c r="J5087">
        <v>7.968</v>
      </c>
      <c r="K5087">
        <v>2</v>
      </c>
      <c r="L5087">
        <v>0.2</v>
      </c>
      <c r="M5087">
        <v>2.8883999999999999</v>
      </c>
    </row>
    <row r="5088" spans="1:13" x14ac:dyDescent="0.3">
      <c r="A5088" t="s">
        <v>62</v>
      </c>
      <c r="B5088" t="s">
        <v>22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60</v>
      </c>
      <c r="J5088">
        <v>8.7840000000000007</v>
      </c>
      <c r="K5088">
        <v>1</v>
      </c>
      <c r="L5088">
        <v>0.2</v>
      </c>
      <c r="M5088">
        <v>3.1842000000000001</v>
      </c>
    </row>
    <row r="5089" spans="1:13" x14ac:dyDescent="0.3">
      <c r="A5089" t="s">
        <v>28</v>
      </c>
      <c r="B5089" t="s">
        <v>14</v>
      </c>
      <c r="C5089" t="s">
        <v>15</v>
      </c>
      <c r="D5089" t="s">
        <v>522</v>
      </c>
      <c r="E5089" t="s">
        <v>98</v>
      </c>
      <c r="F5089">
        <v>80538</v>
      </c>
      <c r="G5089" t="s">
        <v>25</v>
      </c>
      <c r="H5089" t="s">
        <v>26</v>
      </c>
      <c r="I5089" t="s">
        <v>77</v>
      </c>
      <c r="J5089">
        <v>3.024</v>
      </c>
      <c r="K5089">
        <v>3</v>
      </c>
      <c r="L5089">
        <v>0.2</v>
      </c>
      <c r="M5089">
        <v>-0.6048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473</v>
      </c>
      <c r="E5090" t="s">
        <v>179</v>
      </c>
      <c r="F5090">
        <v>2895</v>
      </c>
      <c r="G5090" t="s">
        <v>57</v>
      </c>
      <c r="H5090" t="s">
        <v>26</v>
      </c>
      <c r="I5090" t="s">
        <v>32</v>
      </c>
      <c r="J5090">
        <v>51.45</v>
      </c>
      <c r="K5090">
        <v>3</v>
      </c>
      <c r="L5090">
        <v>0</v>
      </c>
      <c r="M5090">
        <v>13.891500000000001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26</v>
      </c>
      <c r="I5091" t="s">
        <v>38</v>
      </c>
      <c r="J5091">
        <v>14.016</v>
      </c>
      <c r="K5091">
        <v>4</v>
      </c>
      <c r="L5091">
        <v>0.8</v>
      </c>
      <c r="M5091">
        <v>-31.536000000000001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19</v>
      </c>
      <c r="I5092" t="s">
        <v>31</v>
      </c>
      <c r="J5092">
        <v>214.95</v>
      </c>
      <c r="K5092">
        <v>5</v>
      </c>
      <c r="L5092">
        <v>0.5</v>
      </c>
      <c r="M5092">
        <v>-120.372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35</v>
      </c>
      <c r="I5093" t="s">
        <v>36</v>
      </c>
      <c r="J5093">
        <v>35.04</v>
      </c>
      <c r="K5093">
        <v>4</v>
      </c>
      <c r="L5093">
        <v>0.2</v>
      </c>
      <c r="M5093">
        <v>-7.008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19</v>
      </c>
      <c r="I5094" t="s">
        <v>33</v>
      </c>
      <c r="J5094">
        <v>10.776</v>
      </c>
      <c r="K5094">
        <v>3</v>
      </c>
      <c r="L5094">
        <v>0.6</v>
      </c>
      <c r="M5094">
        <v>-4.8491999999999997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37</v>
      </c>
      <c r="J5095">
        <v>4.5999999999999996</v>
      </c>
      <c r="K5095">
        <v>2</v>
      </c>
      <c r="L5095">
        <v>0.8</v>
      </c>
      <c r="M5095">
        <v>-8.0500000000000007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26</v>
      </c>
      <c r="I5096" t="s">
        <v>32</v>
      </c>
      <c r="J5096">
        <v>35.167999999999999</v>
      </c>
      <c r="K5096">
        <v>2</v>
      </c>
      <c r="L5096">
        <v>0.2</v>
      </c>
      <c r="M5096">
        <v>-8.3523999999999994</v>
      </c>
    </row>
    <row r="5097" spans="1:13" x14ac:dyDescent="0.3">
      <c r="A5097" t="s">
        <v>28</v>
      </c>
      <c r="B5097" t="s">
        <v>44</v>
      </c>
      <c r="C5097" t="s">
        <v>15</v>
      </c>
      <c r="D5097" t="s">
        <v>418</v>
      </c>
      <c r="E5097" t="s">
        <v>24</v>
      </c>
      <c r="F5097">
        <v>93309</v>
      </c>
      <c r="G5097" t="s">
        <v>25</v>
      </c>
      <c r="H5097" t="s">
        <v>26</v>
      </c>
      <c r="I5097" t="s">
        <v>37</v>
      </c>
      <c r="J5097">
        <v>19.152000000000001</v>
      </c>
      <c r="K5097">
        <v>3</v>
      </c>
      <c r="L5097">
        <v>0.2</v>
      </c>
      <c r="M5097">
        <v>6.4638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34</v>
      </c>
      <c r="J5098">
        <v>4.4480000000000004</v>
      </c>
      <c r="K5098">
        <v>2</v>
      </c>
      <c r="L5098">
        <v>0.2</v>
      </c>
      <c r="M5098">
        <v>0.33360000000000001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5.1840000000000002</v>
      </c>
      <c r="K5099">
        <v>1</v>
      </c>
      <c r="L5099">
        <v>0.2</v>
      </c>
      <c r="M5099">
        <v>1.8792</v>
      </c>
    </row>
    <row r="5100" spans="1:13" x14ac:dyDescent="0.3">
      <c r="A5100" t="s">
        <v>168</v>
      </c>
      <c r="B5100" t="s">
        <v>14</v>
      </c>
      <c r="C5100" t="s">
        <v>15</v>
      </c>
      <c r="D5100" t="s">
        <v>135</v>
      </c>
      <c r="E5100" t="s">
        <v>46</v>
      </c>
      <c r="F5100">
        <v>75217</v>
      </c>
      <c r="G5100" t="s">
        <v>47</v>
      </c>
      <c r="H5100" t="s">
        <v>26</v>
      </c>
      <c r="I5100" t="s">
        <v>41</v>
      </c>
      <c r="J5100">
        <v>15.552</v>
      </c>
      <c r="K5100">
        <v>3</v>
      </c>
      <c r="L5100">
        <v>0.2</v>
      </c>
      <c r="M5100">
        <v>5.4432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26</v>
      </c>
      <c r="I5101" t="s">
        <v>41</v>
      </c>
      <c r="J5101">
        <v>40.031999999999996</v>
      </c>
      <c r="K5101">
        <v>6</v>
      </c>
      <c r="L5101">
        <v>0.2</v>
      </c>
      <c r="M5101">
        <v>12.51</v>
      </c>
    </row>
    <row r="5102" spans="1:13" x14ac:dyDescent="0.3">
      <c r="A5102" t="s">
        <v>13</v>
      </c>
      <c r="B5102" t="s">
        <v>14</v>
      </c>
      <c r="C5102" t="s">
        <v>15</v>
      </c>
      <c r="D5102" t="s">
        <v>55</v>
      </c>
      <c r="E5102" t="s">
        <v>56</v>
      </c>
      <c r="F5102">
        <v>19140</v>
      </c>
      <c r="G5102" t="s">
        <v>57</v>
      </c>
      <c r="H5102" t="s">
        <v>35</v>
      </c>
      <c r="I5102" t="s">
        <v>59</v>
      </c>
      <c r="J5102">
        <v>16.776</v>
      </c>
      <c r="K5102">
        <v>3</v>
      </c>
      <c r="L5102">
        <v>0.2</v>
      </c>
      <c r="M5102">
        <v>5.0327999999999999</v>
      </c>
    </row>
    <row r="5103" spans="1:13" x14ac:dyDescent="0.3">
      <c r="A5103" t="s">
        <v>28</v>
      </c>
      <c r="B5103" t="s">
        <v>14</v>
      </c>
      <c r="C5103" t="s">
        <v>15</v>
      </c>
      <c r="D5103" t="s">
        <v>292</v>
      </c>
      <c r="E5103" t="s">
        <v>30</v>
      </c>
      <c r="F5103">
        <v>32725</v>
      </c>
      <c r="G5103" t="s">
        <v>18</v>
      </c>
      <c r="H5103" t="s">
        <v>19</v>
      </c>
      <c r="I5103" t="s">
        <v>21</v>
      </c>
      <c r="J5103">
        <v>186.304</v>
      </c>
      <c r="K5103">
        <v>4</v>
      </c>
      <c r="L5103">
        <v>0.2</v>
      </c>
      <c r="M5103">
        <v>13.972799999999999</v>
      </c>
    </row>
    <row r="5104" spans="1:13" x14ac:dyDescent="0.3">
      <c r="A5104" t="s">
        <v>28</v>
      </c>
      <c r="B5104" t="s">
        <v>22</v>
      </c>
      <c r="C5104" t="s">
        <v>15</v>
      </c>
      <c r="D5104" t="s">
        <v>103</v>
      </c>
      <c r="E5104" t="s">
        <v>167</v>
      </c>
      <c r="F5104">
        <v>31907</v>
      </c>
      <c r="G5104" t="s">
        <v>18</v>
      </c>
      <c r="H5104" t="s">
        <v>35</v>
      </c>
      <c r="I5104" t="s">
        <v>59</v>
      </c>
      <c r="J5104">
        <v>66.36</v>
      </c>
      <c r="K5104">
        <v>4</v>
      </c>
      <c r="L5104">
        <v>0</v>
      </c>
      <c r="M5104">
        <v>23.225999999999999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42.048000000000002</v>
      </c>
      <c r="K5105">
        <v>9</v>
      </c>
      <c r="L5105">
        <v>0.2</v>
      </c>
      <c r="M5105">
        <v>5.2560000000000002</v>
      </c>
    </row>
    <row r="5106" spans="1:13" x14ac:dyDescent="0.3">
      <c r="A5106" t="s">
        <v>62</v>
      </c>
      <c r="B5106" t="s">
        <v>44</v>
      </c>
      <c r="C5106" t="s">
        <v>15</v>
      </c>
      <c r="D5106" t="s">
        <v>405</v>
      </c>
      <c r="E5106" t="s">
        <v>86</v>
      </c>
      <c r="F5106">
        <v>37211</v>
      </c>
      <c r="G5106" t="s">
        <v>18</v>
      </c>
      <c r="H5106" t="s">
        <v>26</v>
      </c>
      <c r="I5106" t="s">
        <v>34</v>
      </c>
      <c r="J5106">
        <v>67.92</v>
      </c>
      <c r="K5106">
        <v>5</v>
      </c>
      <c r="L5106">
        <v>0.2</v>
      </c>
      <c r="M5106">
        <v>6.7919999999999998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60</v>
      </c>
      <c r="J5107">
        <v>52.512</v>
      </c>
      <c r="K5107">
        <v>6</v>
      </c>
      <c r="L5107">
        <v>0.2</v>
      </c>
      <c r="M5107">
        <v>19.692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32</v>
      </c>
      <c r="J5108">
        <v>186.91200000000001</v>
      </c>
      <c r="K5108">
        <v>6</v>
      </c>
      <c r="L5108">
        <v>0.2</v>
      </c>
      <c r="M5108">
        <v>-35.045999999999999</v>
      </c>
    </row>
    <row r="5109" spans="1:13" x14ac:dyDescent="0.3">
      <c r="A5109" t="s">
        <v>28</v>
      </c>
      <c r="B5109" t="s">
        <v>22</v>
      </c>
      <c r="C5109" t="s">
        <v>15</v>
      </c>
      <c r="D5109" t="s">
        <v>55</v>
      </c>
      <c r="E5109" t="s">
        <v>56</v>
      </c>
      <c r="F5109">
        <v>19134</v>
      </c>
      <c r="G5109" t="s">
        <v>57</v>
      </c>
      <c r="H5109" t="s">
        <v>26</v>
      </c>
      <c r="I5109" t="s">
        <v>41</v>
      </c>
      <c r="J5109">
        <v>10.048</v>
      </c>
      <c r="K5109">
        <v>4</v>
      </c>
      <c r="L5109">
        <v>0.2</v>
      </c>
      <c r="M5109">
        <v>3.14</v>
      </c>
    </row>
    <row r="5110" spans="1:13" x14ac:dyDescent="0.3">
      <c r="A5110" t="s">
        <v>168</v>
      </c>
      <c r="B5110" t="s">
        <v>14</v>
      </c>
      <c r="C5110" t="s">
        <v>15</v>
      </c>
      <c r="D5110" t="s">
        <v>79</v>
      </c>
      <c r="E5110" t="s">
        <v>65</v>
      </c>
      <c r="F5110">
        <v>60610</v>
      </c>
      <c r="G5110" t="s">
        <v>47</v>
      </c>
      <c r="H5110" t="s">
        <v>19</v>
      </c>
      <c r="I5110" t="s">
        <v>33</v>
      </c>
      <c r="J5110">
        <v>17.495999999999999</v>
      </c>
      <c r="K5110">
        <v>9</v>
      </c>
      <c r="L5110">
        <v>0.6</v>
      </c>
      <c r="M5110">
        <v>-7.4358000000000004</v>
      </c>
    </row>
    <row r="5111" spans="1:13" x14ac:dyDescent="0.3">
      <c r="A5111" t="s">
        <v>13</v>
      </c>
      <c r="B5111" t="s">
        <v>14</v>
      </c>
      <c r="C5111" t="s">
        <v>15</v>
      </c>
      <c r="D5111" t="s">
        <v>135</v>
      </c>
      <c r="E5111" t="s">
        <v>46</v>
      </c>
      <c r="F5111">
        <v>75220</v>
      </c>
      <c r="G5111" t="s">
        <v>47</v>
      </c>
      <c r="H5111" t="s">
        <v>26</v>
      </c>
      <c r="I5111" t="s">
        <v>41</v>
      </c>
      <c r="J5111">
        <v>15.552</v>
      </c>
      <c r="K5111">
        <v>3</v>
      </c>
      <c r="L5111">
        <v>0.2</v>
      </c>
      <c r="M5111">
        <v>5.4432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120</v>
      </c>
      <c r="E5112" t="s">
        <v>121</v>
      </c>
      <c r="F5112">
        <v>88220</v>
      </c>
      <c r="G5112" t="s">
        <v>25</v>
      </c>
      <c r="H5112" t="s">
        <v>26</v>
      </c>
      <c r="I5112" t="s">
        <v>37</v>
      </c>
      <c r="J5112">
        <v>10.776</v>
      </c>
      <c r="K5112">
        <v>3</v>
      </c>
      <c r="L5112">
        <v>0.2</v>
      </c>
      <c r="M5112">
        <v>3.3675000000000002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27</v>
      </c>
      <c r="J5113">
        <v>3.3039999999999998</v>
      </c>
      <c r="K5113">
        <v>1</v>
      </c>
      <c r="L5113">
        <v>0.2</v>
      </c>
      <c r="M5113">
        <v>1.0738000000000001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75</v>
      </c>
      <c r="E5114" t="s">
        <v>76</v>
      </c>
      <c r="F5114">
        <v>10009</v>
      </c>
      <c r="G5114" t="s">
        <v>57</v>
      </c>
      <c r="H5114" t="s">
        <v>26</v>
      </c>
      <c r="I5114" t="s">
        <v>32</v>
      </c>
      <c r="J5114">
        <v>35.479999999999997</v>
      </c>
      <c r="K5114">
        <v>1</v>
      </c>
      <c r="L5114">
        <v>0</v>
      </c>
      <c r="M5114">
        <v>0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26</v>
      </c>
      <c r="I5115" t="s">
        <v>77</v>
      </c>
      <c r="J5115">
        <v>34.44</v>
      </c>
      <c r="K5115">
        <v>3</v>
      </c>
      <c r="L5115">
        <v>0</v>
      </c>
      <c r="M5115">
        <v>16.186800000000002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35</v>
      </c>
      <c r="I5116" t="s">
        <v>123</v>
      </c>
      <c r="J5116">
        <v>629.92999999999995</v>
      </c>
      <c r="K5116">
        <v>7</v>
      </c>
      <c r="L5116">
        <v>0</v>
      </c>
      <c r="M5116">
        <v>296.06709999999998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230</v>
      </c>
      <c r="E5117" t="s">
        <v>76</v>
      </c>
      <c r="F5117">
        <v>11572</v>
      </c>
      <c r="G5117" t="s">
        <v>57</v>
      </c>
      <c r="H5117" t="s">
        <v>26</v>
      </c>
      <c r="I5117" t="s">
        <v>37</v>
      </c>
      <c r="J5117">
        <v>79.055999999999997</v>
      </c>
      <c r="K5117">
        <v>9</v>
      </c>
      <c r="L5117">
        <v>0.2</v>
      </c>
      <c r="M5117">
        <v>28.657800000000002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26</v>
      </c>
      <c r="I5118" t="s">
        <v>32</v>
      </c>
      <c r="J5118">
        <v>232.55</v>
      </c>
      <c r="K5118">
        <v>5</v>
      </c>
      <c r="L5118">
        <v>0</v>
      </c>
      <c r="M5118">
        <v>9.3019999999999996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35</v>
      </c>
      <c r="I5119" t="s">
        <v>59</v>
      </c>
      <c r="J5119">
        <v>99.98</v>
      </c>
      <c r="K5119">
        <v>2</v>
      </c>
      <c r="L5119">
        <v>0</v>
      </c>
      <c r="M5119">
        <v>42.991399999999999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19.440000000000001</v>
      </c>
      <c r="K5120">
        <v>3</v>
      </c>
      <c r="L5120">
        <v>0</v>
      </c>
      <c r="M5120">
        <v>9.3312000000000008</v>
      </c>
    </row>
    <row r="5121" spans="1:13" x14ac:dyDescent="0.3">
      <c r="A5121" t="s">
        <v>28</v>
      </c>
      <c r="B5121" t="s">
        <v>22</v>
      </c>
      <c r="C5121" t="s">
        <v>15</v>
      </c>
      <c r="D5121" t="s">
        <v>325</v>
      </c>
      <c r="E5121" t="s">
        <v>125</v>
      </c>
      <c r="F5121">
        <v>70506</v>
      </c>
      <c r="G5121" t="s">
        <v>18</v>
      </c>
      <c r="H5121" t="s">
        <v>26</v>
      </c>
      <c r="I5121" t="s">
        <v>41</v>
      </c>
      <c r="J5121">
        <v>12.96</v>
      </c>
      <c r="K5121">
        <v>2</v>
      </c>
      <c r="L5121">
        <v>0</v>
      </c>
      <c r="M5121">
        <v>6.3503999999999996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19</v>
      </c>
      <c r="I5122" t="s">
        <v>31</v>
      </c>
      <c r="J5122">
        <v>464.29199999999997</v>
      </c>
      <c r="K5122">
        <v>9</v>
      </c>
      <c r="L5122">
        <v>0.4</v>
      </c>
      <c r="M5122">
        <v>-108.3348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26</v>
      </c>
      <c r="I5123" t="s">
        <v>60</v>
      </c>
      <c r="J5123">
        <v>68.459999999999994</v>
      </c>
      <c r="K5123">
        <v>7</v>
      </c>
      <c r="L5123">
        <v>0</v>
      </c>
      <c r="M5123">
        <v>31.491599999999998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35</v>
      </c>
      <c r="I5124" t="s">
        <v>123</v>
      </c>
      <c r="J5124">
        <v>2799.96</v>
      </c>
      <c r="K5124">
        <v>4</v>
      </c>
      <c r="L5124">
        <v>0</v>
      </c>
      <c r="M5124">
        <v>1371.9803999999999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26</v>
      </c>
      <c r="I5125" t="s">
        <v>38</v>
      </c>
      <c r="J5125">
        <v>601.29999999999995</v>
      </c>
      <c r="K5125">
        <v>2</v>
      </c>
      <c r="L5125">
        <v>0</v>
      </c>
      <c r="M5125">
        <v>198.429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16.989999999999998</v>
      </c>
      <c r="K5126">
        <v>1</v>
      </c>
      <c r="L5126">
        <v>0</v>
      </c>
      <c r="M5126">
        <v>4.4173999999999998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35</v>
      </c>
      <c r="I5127" t="s">
        <v>36</v>
      </c>
      <c r="J5127">
        <v>287.97000000000003</v>
      </c>
      <c r="K5127">
        <v>3</v>
      </c>
      <c r="L5127">
        <v>0</v>
      </c>
      <c r="M5127">
        <v>80.631600000000006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26</v>
      </c>
      <c r="I5128" t="s">
        <v>41</v>
      </c>
      <c r="J5128">
        <v>44.82</v>
      </c>
      <c r="K5128">
        <v>9</v>
      </c>
      <c r="L5128">
        <v>0</v>
      </c>
      <c r="M5128">
        <v>21.0654</v>
      </c>
    </row>
    <row r="5129" spans="1:13" x14ac:dyDescent="0.3">
      <c r="A5129" t="s">
        <v>28</v>
      </c>
      <c r="B5129" t="s">
        <v>22</v>
      </c>
      <c r="C5129" t="s">
        <v>15</v>
      </c>
      <c r="D5129" t="s">
        <v>208</v>
      </c>
      <c r="E5129" t="s">
        <v>24</v>
      </c>
      <c r="F5129">
        <v>92804</v>
      </c>
      <c r="G5129" t="s">
        <v>25</v>
      </c>
      <c r="H5129" t="s">
        <v>19</v>
      </c>
      <c r="I5129" t="s">
        <v>33</v>
      </c>
      <c r="J5129">
        <v>101.12</v>
      </c>
      <c r="K5129">
        <v>8</v>
      </c>
      <c r="L5129">
        <v>0</v>
      </c>
      <c r="M5129">
        <v>37.414400000000001</v>
      </c>
    </row>
    <row r="5130" spans="1:13" x14ac:dyDescent="0.3">
      <c r="A5130" t="s">
        <v>28</v>
      </c>
      <c r="B5130" t="s">
        <v>14</v>
      </c>
      <c r="C5130" t="s">
        <v>15</v>
      </c>
      <c r="D5130" t="s">
        <v>292</v>
      </c>
      <c r="E5130" t="s">
        <v>30</v>
      </c>
      <c r="F5130">
        <v>32725</v>
      </c>
      <c r="G5130" t="s">
        <v>18</v>
      </c>
      <c r="H5130" t="s">
        <v>35</v>
      </c>
      <c r="I5130" t="s">
        <v>36</v>
      </c>
      <c r="J5130">
        <v>107.976</v>
      </c>
      <c r="K5130">
        <v>3</v>
      </c>
      <c r="L5130">
        <v>0.2</v>
      </c>
      <c r="M5130">
        <v>37.791600000000003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38</v>
      </c>
      <c r="J5131">
        <v>58.73</v>
      </c>
      <c r="K5131">
        <v>7</v>
      </c>
      <c r="L5131">
        <v>0</v>
      </c>
      <c r="M5131">
        <v>14.682499999999999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37</v>
      </c>
      <c r="J5132">
        <v>93.343999999999994</v>
      </c>
      <c r="K5132">
        <v>4</v>
      </c>
      <c r="L5132">
        <v>0.2</v>
      </c>
      <c r="M5132">
        <v>32.670400000000001</v>
      </c>
    </row>
    <row r="5133" spans="1:13" x14ac:dyDescent="0.3">
      <c r="A5133" t="s">
        <v>28</v>
      </c>
      <c r="B5133" t="s">
        <v>44</v>
      </c>
      <c r="C5133" t="s">
        <v>15</v>
      </c>
      <c r="D5133" t="s">
        <v>42</v>
      </c>
      <c r="E5133" t="s">
        <v>43</v>
      </c>
      <c r="F5133">
        <v>98103</v>
      </c>
      <c r="G5133" t="s">
        <v>25</v>
      </c>
      <c r="H5133" t="s">
        <v>26</v>
      </c>
      <c r="I5133" t="s">
        <v>77</v>
      </c>
      <c r="J5133">
        <v>17.05</v>
      </c>
      <c r="K5133">
        <v>5</v>
      </c>
      <c r="L5133">
        <v>0</v>
      </c>
      <c r="M5133">
        <v>8.1839999999999993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144</v>
      </c>
      <c r="E5134" t="s">
        <v>24</v>
      </c>
      <c r="F5134">
        <v>92105</v>
      </c>
      <c r="G5134" t="s">
        <v>25</v>
      </c>
      <c r="H5134" t="s">
        <v>26</v>
      </c>
      <c r="I5134" t="s">
        <v>37</v>
      </c>
      <c r="J5134">
        <v>8.0960000000000001</v>
      </c>
      <c r="K5134">
        <v>2</v>
      </c>
      <c r="L5134">
        <v>0.2</v>
      </c>
      <c r="M5134">
        <v>2.7324000000000002</v>
      </c>
    </row>
    <row r="5135" spans="1:13" x14ac:dyDescent="0.3">
      <c r="A5135" t="s">
        <v>28</v>
      </c>
      <c r="B5135" t="s">
        <v>22</v>
      </c>
      <c r="C5135" t="s">
        <v>15</v>
      </c>
      <c r="D5135" t="s">
        <v>354</v>
      </c>
      <c r="E5135" t="s">
        <v>119</v>
      </c>
      <c r="F5135">
        <v>73120</v>
      </c>
      <c r="G5135" t="s">
        <v>47</v>
      </c>
      <c r="H5135" t="s">
        <v>19</v>
      </c>
      <c r="I5135" t="s">
        <v>33</v>
      </c>
      <c r="J5135">
        <v>30.36</v>
      </c>
      <c r="K5135">
        <v>4</v>
      </c>
      <c r="L5135">
        <v>0</v>
      </c>
      <c r="M5135">
        <v>13.0548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60</v>
      </c>
      <c r="J5136">
        <v>23.34</v>
      </c>
      <c r="K5136">
        <v>3</v>
      </c>
      <c r="L5136">
        <v>0</v>
      </c>
      <c r="M5136">
        <v>10.969799999999999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228</v>
      </c>
      <c r="E5137" t="s">
        <v>76</v>
      </c>
      <c r="F5137">
        <v>10550</v>
      </c>
      <c r="G5137" t="s">
        <v>57</v>
      </c>
      <c r="H5137" t="s">
        <v>26</v>
      </c>
      <c r="I5137" t="s">
        <v>41</v>
      </c>
      <c r="J5137">
        <v>51.55</v>
      </c>
      <c r="K5137">
        <v>5</v>
      </c>
      <c r="L5137">
        <v>0</v>
      </c>
      <c r="M5137">
        <v>24.2285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52</v>
      </c>
      <c r="E5138" t="s">
        <v>24</v>
      </c>
      <c r="F5138">
        <v>94109</v>
      </c>
      <c r="G5138" t="s">
        <v>25</v>
      </c>
      <c r="H5138" t="s">
        <v>35</v>
      </c>
      <c r="I5138" t="s">
        <v>59</v>
      </c>
      <c r="J5138">
        <v>119.9</v>
      </c>
      <c r="K5138">
        <v>2</v>
      </c>
      <c r="L5138">
        <v>0</v>
      </c>
      <c r="M5138">
        <v>43.164000000000001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19</v>
      </c>
      <c r="I5139" t="s">
        <v>21</v>
      </c>
      <c r="J5139">
        <v>1317.492</v>
      </c>
      <c r="K5139">
        <v>6</v>
      </c>
      <c r="L5139">
        <v>0.1</v>
      </c>
      <c r="M5139">
        <v>292.77600000000001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110</v>
      </c>
      <c r="J5140">
        <v>63.84</v>
      </c>
      <c r="K5140">
        <v>8</v>
      </c>
      <c r="L5140">
        <v>0</v>
      </c>
      <c r="M5140">
        <v>18.5136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75</v>
      </c>
      <c r="E5141" t="s">
        <v>76</v>
      </c>
      <c r="F5141">
        <v>10009</v>
      </c>
      <c r="G5141" t="s">
        <v>57</v>
      </c>
      <c r="H5141" t="s">
        <v>26</v>
      </c>
      <c r="I5141" t="s">
        <v>37</v>
      </c>
      <c r="J5141">
        <v>3.5920000000000001</v>
      </c>
      <c r="K5141">
        <v>1</v>
      </c>
      <c r="L5141">
        <v>0.2</v>
      </c>
      <c r="M5141">
        <v>1.1225000000000001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19</v>
      </c>
      <c r="I5142" t="s">
        <v>33</v>
      </c>
      <c r="J5142">
        <v>86.26</v>
      </c>
      <c r="K5142">
        <v>2</v>
      </c>
      <c r="L5142">
        <v>0</v>
      </c>
      <c r="M5142">
        <v>29.328399999999998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32</v>
      </c>
      <c r="J5143">
        <v>139.04</v>
      </c>
      <c r="K5143">
        <v>4</v>
      </c>
      <c r="L5143">
        <v>0</v>
      </c>
      <c r="M5143">
        <v>38.931199999999997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23</v>
      </c>
      <c r="E5144" t="s">
        <v>24</v>
      </c>
      <c r="F5144">
        <v>90045</v>
      </c>
      <c r="G5144" t="s">
        <v>25</v>
      </c>
      <c r="H5144" t="s">
        <v>26</v>
      </c>
      <c r="I5144" t="s">
        <v>38</v>
      </c>
      <c r="J5144">
        <v>46.8</v>
      </c>
      <c r="K5144">
        <v>4</v>
      </c>
      <c r="L5144">
        <v>0</v>
      </c>
      <c r="M5144">
        <v>16.38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33</v>
      </c>
      <c r="J5145">
        <v>8.5440000000000005</v>
      </c>
      <c r="K5145">
        <v>4</v>
      </c>
      <c r="L5145">
        <v>0.2</v>
      </c>
      <c r="M5145">
        <v>1.9224000000000001</v>
      </c>
    </row>
    <row r="5146" spans="1:13" x14ac:dyDescent="0.3">
      <c r="A5146" t="s">
        <v>28</v>
      </c>
      <c r="B5146" t="s">
        <v>44</v>
      </c>
      <c r="C5146" t="s">
        <v>15</v>
      </c>
      <c r="D5146" t="s">
        <v>523</v>
      </c>
      <c r="E5146" t="s">
        <v>81</v>
      </c>
      <c r="F5146">
        <v>85224</v>
      </c>
      <c r="G5146" t="s">
        <v>25</v>
      </c>
      <c r="H5146" t="s">
        <v>19</v>
      </c>
      <c r="I5146" t="s">
        <v>21</v>
      </c>
      <c r="J5146">
        <v>842.37599999999998</v>
      </c>
      <c r="K5146">
        <v>3</v>
      </c>
      <c r="L5146">
        <v>0.2</v>
      </c>
      <c r="M5146">
        <v>105.297</v>
      </c>
    </row>
    <row r="5147" spans="1:13" x14ac:dyDescent="0.3">
      <c r="A5147" t="s">
        <v>168</v>
      </c>
      <c r="B5147" t="s">
        <v>14</v>
      </c>
      <c r="C5147" t="s">
        <v>15</v>
      </c>
      <c r="D5147" t="s">
        <v>159</v>
      </c>
      <c r="E5147" t="s">
        <v>76</v>
      </c>
      <c r="F5147">
        <v>11561</v>
      </c>
      <c r="G5147" t="s">
        <v>57</v>
      </c>
      <c r="H5147" t="s">
        <v>35</v>
      </c>
      <c r="I5147" t="s">
        <v>36</v>
      </c>
      <c r="J5147">
        <v>1214.8499999999999</v>
      </c>
      <c r="K5147">
        <v>3</v>
      </c>
      <c r="L5147">
        <v>0</v>
      </c>
      <c r="M5147">
        <v>352.30650000000003</v>
      </c>
    </row>
    <row r="5148" spans="1:13" x14ac:dyDescent="0.3">
      <c r="A5148" t="s">
        <v>13</v>
      </c>
      <c r="B5148" t="s">
        <v>22</v>
      </c>
      <c r="C5148" t="s">
        <v>15</v>
      </c>
      <c r="D5148" t="s">
        <v>52</v>
      </c>
      <c r="E5148" t="s">
        <v>24</v>
      </c>
      <c r="F5148">
        <v>94109</v>
      </c>
      <c r="G5148" t="s">
        <v>25</v>
      </c>
      <c r="H5148" t="s">
        <v>26</v>
      </c>
      <c r="I5148" t="s">
        <v>32</v>
      </c>
      <c r="J5148">
        <v>67.78</v>
      </c>
      <c r="K5148">
        <v>2</v>
      </c>
      <c r="L5148">
        <v>0</v>
      </c>
      <c r="M5148">
        <v>16.945</v>
      </c>
    </row>
    <row r="5149" spans="1:13" x14ac:dyDescent="0.3">
      <c r="A5149" t="s">
        <v>62</v>
      </c>
      <c r="B5149" t="s">
        <v>22</v>
      </c>
      <c r="C5149" t="s">
        <v>15</v>
      </c>
      <c r="D5149" t="s">
        <v>524</v>
      </c>
      <c r="E5149" t="s">
        <v>203</v>
      </c>
      <c r="F5149">
        <v>59601</v>
      </c>
      <c r="G5149" t="s">
        <v>25</v>
      </c>
      <c r="H5149" t="s">
        <v>26</v>
      </c>
      <c r="I5149" t="s">
        <v>32</v>
      </c>
      <c r="J5149">
        <v>39.9</v>
      </c>
      <c r="K5149">
        <v>5</v>
      </c>
      <c r="L5149">
        <v>0</v>
      </c>
      <c r="M5149">
        <v>10.374000000000001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37</v>
      </c>
      <c r="J5150">
        <v>2.6880000000000002</v>
      </c>
      <c r="K5150">
        <v>1</v>
      </c>
      <c r="L5150">
        <v>0.2</v>
      </c>
      <c r="M5150">
        <v>0.84</v>
      </c>
    </row>
    <row r="5151" spans="1:13" x14ac:dyDescent="0.3">
      <c r="A5151" t="s">
        <v>28</v>
      </c>
      <c r="B5151" t="s">
        <v>14</v>
      </c>
      <c r="C5151" t="s">
        <v>15</v>
      </c>
      <c r="D5151" t="s">
        <v>75</v>
      </c>
      <c r="E5151" t="s">
        <v>76</v>
      </c>
      <c r="F5151">
        <v>10011</v>
      </c>
      <c r="G5151" t="s">
        <v>57</v>
      </c>
      <c r="H5151" t="s">
        <v>26</v>
      </c>
      <c r="I5151" t="s">
        <v>34</v>
      </c>
      <c r="J5151">
        <v>6.6</v>
      </c>
      <c r="K5151">
        <v>3</v>
      </c>
      <c r="L5151">
        <v>0</v>
      </c>
      <c r="M5151">
        <v>2.9039999999999999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26</v>
      </c>
      <c r="I5152" t="s">
        <v>37</v>
      </c>
      <c r="J5152">
        <v>28.4</v>
      </c>
      <c r="K5152">
        <v>4</v>
      </c>
      <c r="L5152">
        <v>0</v>
      </c>
      <c r="M5152">
        <v>13.064</v>
      </c>
    </row>
    <row r="5153" spans="1:13" x14ac:dyDescent="0.3">
      <c r="A5153" t="s">
        <v>62</v>
      </c>
      <c r="B5153" t="s">
        <v>14</v>
      </c>
      <c r="C5153" t="s">
        <v>15</v>
      </c>
      <c r="D5153" t="s">
        <v>525</v>
      </c>
      <c r="E5153" t="s">
        <v>112</v>
      </c>
      <c r="F5153">
        <v>63122</v>
      </c>
      <c r="G5153" t="s">
        <v>47</v>
      </c>
      <c r="H5153" t="s">
        <v>19</v>
      </c>
      <c r="I5153" t="s">
        <v>33</v>
      </c>
      <c r="J5153">
        <v>212.94</v>
      </c>
      <c r="K5153">
        <v>3</v>
      </c>
      <c r="L5153">
        <v>0</v>
      </c>
      <c r="M5153">
        <v>34.070399999999999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35</v>
      </c>
      <c r="I5154" t="s">
        <v>36</v>
      </c>
      <c r="J5154">
        <v>1001.5839999999999</v>
      </c>
      <c r="K5154">
        <v>2</v>
      </c>
      <c r="L5154">
        <v>0.2</v>
      </c>
      <c r="M5154">
        <v>125.19799999999999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21</v>
      </c>
      <c r="J5155">
        <v>569.05799999999999</v>
      </c>
      <c r="K5155">
        <v>3</v>
      </c>
      <c r="L5155">
        <v>0.3</v>
      </c>
      <c r="M5155">
        <v>-178.8468</v>
      </c>
    </row>
    <row r="5156" spans="1:13" x14ac:dyDescent="0.3">
      <c r="A5156" t="s">
        <v>13</v>
      </c>
      <c r="B5156" t="s">
        <v>44</v>
      </c>
      <c r="C5156" t="s">
        <v>15</v>
      </c>
      <c r="D5156" t="s">
        <v>79</v>
      </c>
      <c r="E5156" t="s">
        <v>65</v>
      </c>
      <c r="F5156">
        <v>60653</v>
      </c>
      <c r="G5156" t="s">
        <v>47</v>
      </c>
      <c r="H5156" t="s">
        <v>19</v>
      </c>
      <c r="I5156" t="s">
        <v>33</v>
      </c>
      <c r="J5156">
        <v>14.224</v>
      </c>
      <c r="K5156">
        <v>2</v>
      </c>
      <c r="L5156">
        <v>0.6</v>
      </c>
      <c r="M5156">
        <v>-10.3124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105.584</v>
      </c>
      <c r="K5157">
        <v>2</v>
      </c>
      <c r="L5157">
        <v>0.2</v>
      </c>
      <c r="M5157">
        <v>9.2385999999999999</v>
      </c>
    </row>
    <row r="5158" spans="1:13" x14ac:dyDescent="0.3">
      <c r="A5158" t="s">
        <v>13</v>
      </c>
      <c r="B5158" t="s">
        <v>22</v>
      </c>
      <c r="C5158" t="s">
        <v>15</v>
      </c>
      <c r="D5158" t="s">
        <v>175</v>
      </c>
      <c r="E5158" t="s">
        <v>81</v>
      </c>
      <c r="F5158">
        <v>85345</v>
      </c>
      <c r="G5158" t="s">
        <v>25</v>
      </c>
      <c r="H5158" t="s">
        <v>35</v>
      </c>
      <c r="I5158" t="s">
        <v>36</v>
      </c>
      <c r="J5158">
        <v>68.72</v>
      </c>
      <c r="K5158">
        <v>2</v>
      </c>
      <c r="L5158">
        <v>0.2</v>
      </c>
      <c r="M5158">
        <v>-14.603</v>
      </c>
    </row>
    <row r="5159" spans="1:13" x14ac:dyDescent="0.3">
      <c r="A5159" t="s">
        <v>28</v>
      </c>
      <c r="B5159" t="s">
        <v>22</v>
      </c>
      <c r="C5159" t="s">
        <v>15</v>
      </c>
      <c r="D5159" t="s">
        <v>42</v>
      </c>
      <c r="E5159" t="s">
        <v>43</v>
      </c>
      <c r="F5159">
        <v>98103</v>
      </c>
      <c r="G5159" t="s">
        <v>25</v>
      </c>
      <c r="H5159" t="s">
        <v>19</v>
      </c>
      <c r="I5159" t="s">
        <v>20</v>
      </c>
      <c r="J5159">
        <v>1367.84</v>
      </c>
      <c r="K5159">
        <v>8</v>
      </c>
      <c r="L5159">
        <v>0</v>
      </c>
      <c r="M5159">
        <v>259.88959999999997</v>
      </c>
    </row>
    <row r="5160" spans="1:13" x14ac:dyDescent="0.3">
      <c r="A5160" t="s">
        <v>13</v>
      </c>
      <c r="B5160" t="s">
        <v>14</v>
      </c>
      <c r="C5160" t="s">
        <v>15</v>
      </c>
      <c r="D5160" t="s">
        <v>153</v>
      </c>
      <c r="E5160" t="s">
        <v>70</v>
      </c>
      <c r="F5160">
        <v>48180</v>
      </c>
      <c r="G5160" t="s">
        <v>47</v>
      </c>
      <c r="H5160" t="s">
        <v>19</v>
      </c>
      <c r="I5160" t="s">
        <v>21</v>
      </c>
      <c r="J5160">
        <v>301.95999999999998</v>
      </c>
      <c r="K5160">
        <v>2</v>
      </c>
      <c r="L5160">
        <v>0</v>
      </c>
      <c r="M5160">
        <v>33.215600000000002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113</v>
      </c>
      <c r="E5161" t="s">
        <v>24</v>
      </c>
      <c r="F5161">
        <v>91104</v>
      </c>
      <c r="G5161" t="s">
        <v>25</v>
      </c>
      <c r="H5161" t="s">
        <v>19</v>
      </c>
      <c r="I5161" t="s">
        <v>21</v>
      </c>
      <c r="J5161">
        <v>170.352</v>
      </c>
      <c r="K5161">
        <v>3</v>
      </c>
      <c r="L5161">
        <v>0.2</v>
      </c>
      <c r="M5161">
        <v>-17.0352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34</v>
      </c>
      <c r="J5162">
        <v>3.9</v>
      </c>
      <c r="K5162">
        <v>2</v>
      </c>
      <c r="L5162">
        <v>0</v>
      </c>
      <c r="M5162">
        <v>1.5209999999999999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12.84</v>
      </c>
      <c r="K5163">
        <v>3</v>
      </c>
      <c r="L5163">
        <v>0</v>
      </c>
      <c r="M5163">
        <v>5.7779999999999996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26</v>
      </c>
      <c r="I5164" t="s">
        <v>41</v>
      </c>
      <c r="J5164">
        <v>15.84</v>
      </c>
      <c r="K5164">
        <v>3</v>
      </c>
      <c r="L5164">
        <v>0</v>
      </c>
      <c r="M5164">
        <v>7.1280000000000001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19</v>
      </c>
      <c r="I5165" t="s">
        <v>21</v>
      </c>
      <c r="J5165">
        <v>563.94000000000005</v>
      </c>
      <c r="K5165">
        <v>3</v>
      </c>
      <c r="L5165">
        <v>0</v>
      </c>
      <c r="M5165">
        <v>112.788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62.94</v>
      </c>
      <c r="K5166">
        <v>3</v>
      </c>
      <c r="L5166">
        <v>0</v>
      </c>
      <c r="M5166">
        <v>11.958600000000001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32</v>
      </c>
      <c r="J5167">
        <v>535.41</v>
      </c>
      <c r="K5167">
        <v>3</v>
      </c>
      <c r="L5167">
        <v>0</v>
      </c>
      <c r="M5167">
        <v>160.62299999999999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19</v>
      </c>
      <c r="I5168" t="s">
        <v>21</v>
      </c>
      <c r="J5168">
        <v>3504.9</v>
      </c>
      <c r="K5168">
        <v>5</v>
      </c>
      <c r="L5168">
        <v>0</v>
      </c>
      <c r="M5168">
        <v>700.98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144.12</v>
      </c>
      <c r="K5169">
        <v>3</v>
      </c>
      <c r="L5169">
        <v>0</v>
      </c>
      <c r="M5169">
        <v>69.177599999999998</v>
      </c>
    </row>
    <row r="5170" spans="1:13" x14ac:dyDescent="0.3">
      <c r="A5170" t="s">
        <v>13</v>
      </c>
      <c r="B5170" t="s">
        <v>22</v>
      </c>
      <c r="C5170" t="s">
        <v>15</v>
      </c>
      <c r="D5170" t="s">
        <v>140</v>
      </c>
      <c r="E5170" t="s">
        <v>70</v>
      </c>
      <c r="F5170">
        <v>48205</v>
      </c>
      <c r="G5170" t="s">
        <v>47</v>
      </c>
      <c r="H5170" t="s">
        <v>26</v>
      </c>
      <c r="I5170" t="s">
        <v>41</v>
      </c>
      <c r="J5170">
        <v>314.55</v>
      </c>
      <c r="K5170">
        <v>3</v>
      </c>
      <c r="L5170">
        <v>0</v>
      </c>
      <c r="M5170">
        <v>150.98400000000001</v>
      </c>
    </row>
    <row r="5171" spans="1:13" x14ac:dyDescent="0.3">
      <c r="A5171" t="s">
        <v>62</v>
      </c>
      <c r="B5171" t="s">
        <v>22</v>
      </c>
      <c r="C5171" t="s">
        <v>15</v>
      </c>
      <c r="D5171" t="s">
        <v>291</v>
      </c>
      <c r="E5171" t="s">
        <v>98</v>
      </c>
      <c r="F5171">
        <v>81001</v>
      </c>
      <c r="G5171" t="s">
        <v>25</v>
      </c>
      <c r="H5171" t="s">
        <v>26</v>
      </c>
      <c r="I5171" t="s">
        <v>34</v>
      </c>
      <c r="J5171">
        <v>3.4079999999999999</v>
      </c>
      <c r="K5171">
        <v>1</v>
      </c>
      <c r="L5171">
        <v>0.2</v>
      </c>
      <c r="M5171">
        <v>0.89459999999999995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26</v>
      </c>
      <c r="I5172" t="s">
        <v>37</v>
      </c>
      <c r="J5172">
        <v>2.0720000000000001</v>
      </c>
      <c r="K5172">
        <v>2</v>
      </c>
      <c r="L5172">
        <v>0.8</v>
      </c>
      <c r="M5172">
        <v>-3.5224000000000002</v>
      </c>
    </row>
    <row r="5173" spans="1:13" x14ac:dyDescent="0.3">
      <c r="A5173" t="s">
        <v>28</v>
      </c>
      <c r="B5173" t="s">
        <v>14</v>
      </c>
      <c r="C5173" t="s">
        <v>15</v>
      </c>
      <c r="D5173" t="s">
        <v>526</v>
      </c>
      <c r="E5173" t="s">
        <v>46</v>
      </c>
      <c r="F5173">
        <v>76706</v>
      </c>
      <c r="G5173" t="s">
        <v>47</v>
      </c>
      <c r="H5173" t="s">
        <v>19</v>
      </c>
      <c r="I5173" t="s">
        <v>20</v>
      </c>
      <c r="J5173">
        <v>328.39920000000001</v>
      </c>
      <c r="K5173">
        <v>3</v>
      </c>
      <c r="L5173">
        <v>0.32</v>
      </c>
      <c r="M5173">
        <v>-91.758600000000001</v>
      </c>
    </row>
    <row r="5174" spans="1:13" x14ac:dyDescent="0.3">
      <c r="A5174" t="s">
        <v>62</v>
      </c>
      <c r="B5174" t="s">
        <v>14</v>
      </c>
      <c r="C5174" t="s">
        <v>15</v>
      </c>
      <c r="D5174" t="s">
        <v>52</v>
      </c>
      <c r="E5174" t="s">
        <v>24</v>
      </c>
      <c r="F5174">
        <v>94109</v>
      </c>
      <c r="G5174" t="s">
        <v>25</v>
      </c>
      <c r="H5174" t="s">
        <v>26</v>
      </c>
      <c r="I5174" t="s">
        <v>37</v>
      </c>
      <c r="J5174">
        <v>53.247999999999998</v>
      </c>
      <c r="K5174">
        <v>2</v>
      </c>
      <c r="L5174">
        <v>0.2</v>
      </c>
      <c r="M5174">
        <v>19.968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75</v>
      </c>
      <c r="E5175" t="s">
        <v>76</v>
      </c>
      <c r="F5175">
        <v>10024</v>
      </c>
      <c r="G5175" t="s">
        <v>57</v>
      </c>
      <c r="H5175" t="s">
        <v>26</v>
      </c>
      <c r="I5175" t="s">
        <v>37</v>
      </c>
      <c r="J5175">
        <v>4.992</v>
      </c>
      <c r="K5175">
        <v>3</v>
      </c>
      <c r="L5175">
        <v>0.2</v>
      </c>
      <c r="M5175">
        <v>1.6848000000000001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19</v>
      </c>
      <c r="I5176" t="s">
        <v>33</v>
      </c>
      <c r="J5176">
        <v>37.68</v>
      </c>
      <c r="K5176">
        <v>2</v>
      </c>
      <c r="L5176">
        <v>0</v>
      </c>
      <c r="M5176">
        <v>15.8256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35</v>
      </c>
      <c r="I5177" t="s">
        <v>36</v>
      </c>
      <c r="J5177">
        <v>258.57600000000002</v>
      </c>
      <c r="K5177">
        <v>2</v>
      </c>
      <c r="L5177">
        <v>0.2</v>
      </c>
      <c r="M5177">
        <v>19.3932</v>
      </c>
    </row>
    <row r="5178" spans="1:13" x14ac:dyDescent="0.3">
      <c r="A5178" t="s">
        <v>28</v>
      </c>
      <c r="B5178" t="s">
        <v>22</v>
      </c>
      <c r="C5178" t="s">
        <v>15</v>
      </c>
      <c r="D5178" t="s">
        <v>23</v>
      </c>
      <c r="E5178" t="s">
        <v>24</v>
      </c>
      <c r="F5178">
        <v>90036</v>
      </c>
      <c r="G5178" t="s">
        <v>25</v>
      </c>
      <c r="H5178" t="s">
        <v>26</v>
      </c>
      <c r="I5178" t="s">
        <v>38</v>
      </c>
      <c r="J5178">
        <v>75.84</v>
      </c>
      <c r="K5178">
        <v>2</v>
      </c>
      <c r="L5178">
        <v>0</v>
      </c>
      <c r="M5178">
        <v>29.5776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41</v>
      </c>
      <c r="J5179">
        <v>45.36</v>
      </c>
      <c r="K5179">
        <v>7</v>
      </c>
      <c r="L5179">
        <v>0</v>
      </c>
      <c r="M5179">
        <v>21.7728</v>
      </c>
    </row>
    <row r="5180" spans="1:13" x14ac:dyDescent="0.3">
      <c r="A5180" t="s">
        <v>62</v>
      </c>
      <c r="B5180" t="s">
        <v>22</v>
      </c>
      <c r="C5180" t="s">
        <v>15</v>
      </c>
      <c r="D5180" t="s">
        <v>473</v>
      </c>
      <c r="E5180" t="s">
        <v>179</v>
      </c>
      <c r="F5180">
        <v>2895</v>
      </c>
      <c r="G5180" t="s">
        <v>57</v>
      </c>
      <c r="H5180" t="s">
        <v>26</v>
      </c>
      <c r="I5180" t="s">
        <v>37</v>
      </c>
      <c r="J5180">
        <v>45.78</v>
      </c>
      <c r="K5180">
        <v>3</v>
      </c>
      <c r="L5180">
        <v>0</v>
      </c>
      <c r="M5180">
        <v>22.89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32</v>
      </c>
      <c r="J5181">
        <v>40.29</v>
      </c>
      <c r="K5181">
        <v>3</v>
      </c>
      <c r="L5181">
        <v>0</v>
      </c>
      <c r="M5181">
        <v>10.0725</v>
      </c>
    </row>
    <row r="5182" spans="1:13" x14ac:dyDescent="0.3">
      <c r="A5182" t="s">
        <v>62</v>
      </c>
      <c r="B5182" t="s">
        <v>14</v>
      </c>
      <c r="C5182" t="s">
        <v>15</v>
      </c>
      <c r="D5182" t="s">
        <v>103</v>
      </c>
      <c r="E5182" t="s">
        <v>167</v>
      </c>
      <c r="F5182">
        <v>31907</v>
      </c>
      <c r="G5182" t="s">
        <v>18</v>
      </c>
      <c r="H5182" t="s">
        <v>26</v>
      </c>
      <c r="I5182" t="s">
        <v>37</v>
      </c>
      <c r="J5182">
        <v>38.71</v>
      </c>
      <c r="K5182">
        <v>7</v>
      </c>
      <c r="L5182">
        <v>0</v>
      </c>
      <c r="M5182">
        <v>17.8066</v>
      </c>
    </row>
    <row r="5183" spans="1:13" x14ac:dyDescent="0.3">
      <c r="A5183" t="s">
        <v>28</v>
      </c>
      <c r="B5183" t="s">
        <v>14</v>
      </c>
      <c r="C5183" t="s">
        <v>15</v>
      </c>
      <c r="D5183" t="s">
        <v>189</v>
      </c>
      <c r="E5183" t="s">
        <v>30</v>
      </c>
      <c r="F5183">
        <v>32216</v>
      </c>
      <c r="G5183" t="s">
        <v>18</v>
      </c>
      <c r="H5183" t="s">
        <v>26</v>
      </c>
      <c r="I5183" t="s">
        <v>32</v>
      </c>
      <c r="J5183">
        <v>1801.6320000000001</v>
      </c>
      <c r="K5183">
        <v>6</v>
      </c>
      <c r="L5183">
        <v>0.2</v>
      </c>
      <c r="M5183">
        <v>-337.80599999999998</v>
      </c>
    </row>
    <row r="5184" spans="1:13" x14ac:dyDescent="0.3">
      <c r="A5184" t="s">
        <v>28</v>
      </c>
      <c r="B5184" t="s">
        <v>44</v>
      </c>
      <c r="C5184" t="s">
        <v>15</v>
      </c>
      <c r="D5184" t="s">
        <v>55</v>
      </c>
      <c r="E5184" t="s">
        <v>56</v>
      </c>
      <c r="F5184">
        <v>19140</v>
      </c>
      <c r="G5184" t="s">
        <v>57</v>
      </c>
      <c r="H5184" t="s">
        <v>35</v>
      </c>
      <c r="I5184" t="s">
        <v>36</v>
      </c>
      <c r="J5184">
        <v>748.75199999999995</v>
      </c>
      <c r="K5184">
        <v>8</v>
      </c>
      <c r="L5184">
        <v>0.4</v>
      </c>
      <c r="M5184">
        <v>-162.2296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35</v>
      </c>
      <c r="I5185" t="s">
        <v>59</v>
      </c>
      <c r="J5185">
        <v>199.96</v>
      </c>
      <c r="K5185">
        <v>4</v>
      </c>
      <c r="L5185">
        <v>0</v>
      </c>
      <c r="M5185">
        <v>15.9968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103</v>
      </c>
      <c r="E5186" t="s">
        <v>74</v>
      </c>
      <c r="F5186">
        <v>47201</v>
      </c>
      <c r="G5186" t="s">
        <v>47</v>
      </c>
      <c r="H5186" t="s">
        <v>19</v>
      </c>
      <c r="I5186" t="s">
        <v>21</v>
      </c>
      <c r="J5186">
        <v>1516.2</v>
      </c>
      <c r="K5186">
        <v>7</v>
      </c>
      <c r="L5186">
        <v>0</v>
      </c>
      <c r="M5186">
        <v>394.21199999999999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35</v>
      </c>
      <c r="I5187" t="s">
        <v>59</v>
      </c>
      <c r="J5187">
        <v>167.952</v>
      </c>
      <c r="K5187">
        <v>6</v>
      </c>
      <c r="L5187">
        <v>0.2</v>
      </c>
      <c r="M5187">
        <v>-27.292200000000001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113</v>
      </c>
      <c r="E5188" t="s">
        <v>46</v>
      </c>
      <c r="F5188">
        <v>77506</v>
      </c>
      <c r="G5188" t="s">
        <v>47</v>
      </c>
      <c r="H5188" t="s">
        <v>26</v>
      </c>
      <c r="I5188" t="s">
        <v>34</v>
      </c>
      <c r="J5188">
        <v>45.04</v>
      </c>
      <c r="K5188">
        <v>2</v>
      </c>
      <c r="L5188">
        <v>0.2</v>
      </c>
      <c r="M5188">
        <v>4.5039999999999996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52</v>
      </c>
      <c r="E5189" t="s">
        <v>24</v>
      </c>
      <c r="F5189">
        <v>94122</v>
      </c>
      <c r="G5189" t="s">
        <v>25</v>
      </c>
      <c r="H5189" t="s">
        <v>26</v>
      </c>
      <c r="I5189" t="s">
        <v>60</v>
      </c>
      <c r="J5189">
        <v>23.16</v>
      </c>
      <c r="K5189">
        <v>2</v>
      </c>
      <c r="L5189">
        <v>0</v>
      </c>
      <c r="M5189">
        <v>11.58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19</v>
      </c>
      <c r="I5190" t="s">
        <v>33</v>
      </c>
      <c r="J5190">
        <v>397.6</v>
      </c>
      <c r="K5190">
        <v>5</v>
      </c>
      <c r="L5190">
        <v>0</v>
      </c>
      <c r="M5190">
        <v>43.735999999999997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41</v>
      </c>
      <c r="J5191">
        <v>85.96</v>
      </c>
      <c r="K5191">
        <v>7</v>
      </c>
      <c r="L5191">
        <v>0</v>
      </c>
      <c r="M5191">
        <v>40.401200000000003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34</v>
      </c>
      <c r="J5192">
        <v>13.12</v>
      </c>
      <c r="K5192">
        <v>4</v>
      </c>
      <c r="L5192">
        <v>0</v>
      </c>
      <c r="M5192">
        <v>4.3296000000000001</v>
      </c>
    </row>
    <row r="5193" spans="1:13" x14ac:dyDescent="0.3">
      <c r="A5193" t="s">
        <v>13</v>
      </c>
      <c r="B5193" t="s">
        <v>22</v>
      </c>
      <c r="C5193" t="s">
        <v>15</v>
      </c>
      <c r="D5193" t="s">
        <v>90</v>
      </c>
      <c r="E5193" t="s">
        <v>91</v>
      </c>
      <c r="F5193">
        <v>29203</v>
      </c>
      <c r="G5193" t="s">
        <v>18</v>
      </c>
      <c r="H5193" t="s">
        <v>26</v>
      </c>
      <c r="I5193" t="s">
        <v>37</v>
      </c>
      <c r="J5193">
        <v>45.66</v>
      </c>
      <c r="K5193">
        <v>3</v>
      </c>
      <c r="L5193">
        <v>0</v>
      </c>
      <c r="M5193">
        <v>22.3734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26</v>
      </c>
      <c r="I5194" t="s">
        <v>60</v>
      </c>
      <c r="J5194">
        <v>158.13</v>
      </c>
      <c r="K5194">
        <v>3</v>
      </c>
      <c r="L5194">
        <v>0</v>
      </c>
      <c r="M5194">
        <v>77.483699999999999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324</v>
      </c>
      <c r="E5195" t="s">
        <v>43</v>
      </c>
      <c r="F5195">
        <v>98031</v>
      </c>
      <c r="G5195" t="s">
        <v>25</v>
      </c>
      <c r="H5195" t="s">
        <v>35</v>
      </c>
      <c r="I5195" t="s">
        <v>36</v>
      </c>
      <c r="J5195">
        <v>43.6</v>
      </c>
      <c r="K5195">
        <v>5</v>
      </c>
      <c r="L5195">
        <v>0.2</v>
      </c>
      <c r="M5195">
        <v>4.3600000000000003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110</v>
      </c>
      <c r="J5196">
        <v>3930.0720000000001</v>
      </c>
      <c r="K5196">
        <v>3</v>
      </c>
      <c r="L5196">
        <v>0.2</v>
      </c>
      <c r="M5196">
        <v>-786.01440000000002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26</v>
      </c>
      <c r="I5197" t="s">
        <v>77</v>
      </c>
      <c r="J5197">
        <v>2.3039999999999998</v>
      </c>
      <c r="K5197">
        <v>1</v>
      </c>
      <c r="L5197">
        <v>0.2</v>
      </c>
      <c r="M5197">
        <v>0.77759999999999996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36</v>
      </c>
      <c r="J5198">
        <v>431.976</v>
      </c>
      <c r="K5198">
        <v>3</v>
      </c>
      <c r="L5198">
        <v>0.2</v>
      </c>
      <c r="M5198">
        <v>32.398200000000003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256</v>
      </c>
      <c r="E5199" t="s">
        <v>46</v>
      </c>
      <c r="F5199">
        <v>78664</v>
      </c>
      <c r="G5199" t="s">
        <v>47</v>
      </c>
      <c r="H5199" t="s">
        <v>35</v>
      </c>
      <c r="I5199" t="s">
        <v>59</v>
      </c>
      <c r="J5199">
        <v>41.72</v>
      </c>
      <c r="K5199">
        <v>7</v>
      </c>
      <c r="L5199">
        <v>0.2</v>
      </c>
      <c r="M5199">
        <v>5.7365000000000004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19</v>
      </c>
      <c r="I5200" t="s">
        <v>33</v>
      </c>
      <c r="J5200">
        <v>104.23</v>
      </c>
      <c r="K5200">
        <v>7</v>
      </c>
      <c r="L5200">
        <v>0</v>
      </c>
      <c r="M5200">
        <v>28.142099999999999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267</v>
      </c>
      <c r="E5201" t="s">
        <v>24</v>
      </c>
      <c r="F5201">
        <v>94601</v>
      </c>
      <c r="G5201" t="s">
        <v>25</v>
      </c>
      <c r="H5201" t="s">
        <v>26</v>
      </c>
      <c r="I5201" t="s">
        <v>32</v>
      </c>
      <c r="J5201">
        <v>70.260000000000005</v>
      </c>
      <c r="K5201">
        <v>3</v>
      </c>
      <c r="L5201">
        <v>0</v>
      </c>
      <c r="M5201">
        <v>18.970199999999998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34</v>
      </c>
      <c r="J5202">
        <v>9.26</v>
      </c>
      <c r="K5202">
        <v>2</v>
      </c>
      <c r="L5202">
        <v>0</v>
      </c>
      <c r="M5202">
        <v>3.0558000000000001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32</v>
      </c>
      <c r="J5203">
        <v>105.98</v>
      </c>
      <c r="K5203">
        <v>2</v>
      </c>
      <c r="L5203">
        <v>0</v>
      </c>
      <c r="M5203">
        <v>4.2392000000000003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77</v>
      </c>
      <c r="J5204">
        <v>1.24</v>
      </c>
      <c r="K5204">
        <v>1</v>
      </c>
      <c r="L5204">
        <v>0</v>
      </c>
      <c r="M5204">
        <v>0.58279999999999998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27</v>
      </c>
      <c r="J5205">
        <v>20.7</v>
      </c>
      <c r="K5205">
        <v>2</v>
      </c>
      <c r="L5205">
        <v>0</v>
      </c>
      <c r="M5205">
        <v>9.9359999999999999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41</v>
      </c>
      <c r="J5206">
        <v>28.9</v>
      </c>
      <c r="K5206">
        <v>5</v>
      </c>
      <c r="L5206">
        <v>0</v>
      </c>
      <c r="M5206">
        <v>14.161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60</v>
      </c>
      <c r="J5207">
        <v>27.18</v>
      </c>
      <c r="K5207">
        <v>1</v>
      </c>
      <c r="L5207">
        <v>0</v>
      </c>
      <c r="M5207">
        <v>12.7746</v>
      </c>
    </row>
    <row r="5208" spans="1:13" x14ac:dyDescent="0.3">
      <c r="A5208" t="s">
        <v>28</v>
      </c>
      <c r="B5208" t="s">
        <v>22</v>
      </c>
      <c r="C5208" t="s">
        <v>15</v>
      </c>
      <c r="D5208" t="s">
        <v>114</v>
      </c>
      <c r="E5208" t="s">
        <v>72</v>
      </c>
      <c r="F5208">
        <v>19711</v>
      </c>
      <c r="G5208" t="s">
        <v>57</v>
      </c>
      <c r="H5208" t="s">
        <v>26</v>
      </c>
      <c r="I5208" t="s">
        <v>32</v>
      </c>
      <c r="J5208">
        <v>465.18</v>
      </c>
      <c r="K5208">
        <v>3</v>
      </c>
      <c r="L5208">
        <v>0</v>
      </c>
      <c r="M5208">
        <v>120.9468</v>
      </c>
    </row>
    <row r="5209" spans="1:13" x14ac:dyDescent="0.3">
      <c r="A5209" t="s">
        <v>13</v>
      </c>
      <c r="B5209" t="s">
        <v>14</v>
      </c>
      <c r="C5209" t="s">
        <v>15</v>
      </c>
      <c r="D5209" t="s">
        <v>75</v>
      </c>
      <c r="E5209" t="s">
        <v>76</v>
      </c>
      <c r="F5209">
        <v>10024</v>
      </c>
      <c r="G5209" t="s">
        <v>57</v>
      </c>
      <c r="H5209" t="s">
        <v>26</v>
      </c>
      <c r="I5209" t="s">
        <v>32</v>
      </c>
      <c r="J5209">
        <v>36.630000000000003</v>
      </c>
      <c r="K5209">
        <v>3</v>
      </c>
      <c r="L5209">
        <v>0</v>
      </c>
      <c r="M5209">
        <v>9.8901000000000003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32</v>
      </c>
      <c r="J5210">
        <v>51.45</v>
      </c>
      <c r="K5210">
        <v>3</v>
      </c>
      <c r="L5210">
        <v>0</v>
      </c>
      <c r="M5210">
        <v>13.891500000000001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27</v>
      </c>
      <c r="J5211">
        <v>7.83</v>
      </c>
      <c r="K5211">
        <v>3</v>
      </c>
      <c r="L5211">
        <v>0</v>
      </c>
      <c r="M5211">
        <v>3.6017999999999999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34</v>
      </c>
      <c r="J5212">
        <v>35.4</v>
      </c>
      <c r="K5212">
        <v>5</v>
      </c>
      <c r="L5212">
        <v>0</v>
      </c>
      <c r="M5212">
        <v>13.452</v>
      </c>
    </row>
    <row r="5213" spans="1:13" x14ac:dyDescent="0.3">
      <c r="A5213" t="s">
        <v>168</v>
      </c>
      <c r="B5213" t="s">
        <v>14</v>
      </c>
      <c r="C5213" t="s">
        <v>15</v>
      </c>
      <c r="D5213" t="s">
        <v>129</v>
      </c>
      <c r="E5213" t="s">
        <v>24</v>
      </c>
      <c r="F5213">
        <v>92374</v>
      </c>
      <c r="G5213" t="s">
        <v>25</v>
      </c>
      <c r="H5213" t="s">
        <v>26</v>
      </c>
      <c r="I5213" t="s">
        <v>41</v>
      </c>
      <c r="J5213">
        <v>29.9</v>
      </c>
      <c r="K5213">
        <v>5</v>
      </c>
      <c r="L5213">
        <v>0</v>
      </c>
      <c r="M5213">
        <v>13.455</v>
      </c>
    </row>
    <row r="5214" spans="1:13" x14ac:dyDescent="0.3">
      <c r="A5214" t="s">
        <v>28</v>
      </c>
      <c r="B5214" t="s">
        <v>14</v>
      </c>
      <c r="C5214" t="s">
        <v>15</v>
      </c>
      <c r="D5214" t="s">
        <v>109</v>
      </c>
      <c r="E5214" t="s">
        <v>70</v>
      </c>
      <c r="F5214">
        <v>48066</v>
      </c>
      <c r="G5214" t="s">
        <v>47</v>
      </c>
      <c r="H5214" t="s">
        <v>26</v>
      </c>
      <c r="I5214" t="s">
        <v>60</v>
      </c>
      <c r="J5214">
        <v>17.48</v>
      </c>
      <c r="K5214">
        <v>2</v>
      </c>
      <c r="L5214">
        <v>0</v>
      </c>
      <c r="M5214">
        <v>8.2156000000000002</v>
      </c>
    </row>
    <row r="5215" spans="1:13" x14ac:dyDescent="0.3">
      <c r="A5215" t="s">
        <v>13</v>
      </c>
      <c r="B5215" t="s">
        <v>22</v>
      </c>
      <c r="C5215" t="s">
        <v>15</v>
      </c>
      <c r="D5215" t="s">
        <v>23</v>
      </c>
      <c r="E5215" t="s">
        <v>24</v>
      </c>
      <c r="F5215">
        <v>90049</v>
      </c>
      <c r="G5215" t="s">
        <v>25</v>
      </c>
      <c r="H5215" t="s">
        <v>26</v>
      </c>
      <c r="I5215" t="s">
        <v>41</v>
      </c>
      <c r="J5215">
        <v>79.14</v>
      </c>
      <c r="K5215">
        <v>3</v>
      </c>
      <c r="L5215">
        <v>0</v>
      </c>
      <c r="M5215">
        <v>36.404400000000003</v>
      </c>
    </row>
    <row r="5216" spans="1:13" x14ac:dyDescent="0.3">
      <c r="A5216" t="s">
        <v>28</v>
      </c>
      <c r="B5216" t="s">
        <v>22</v>
      </c>
      <c r="C5216" t="s">
        <v>15</v>
      </c>
      <c r="D5216" t="s">
        <v>75</v>
      </c>
      <c r="E5216" t="s">
        <v>76</v>
      </c>
      <c r="F5216">
        <v>10011</v>
      </c>
      <c r="G5216" t="s">
        <v>57</v>
      </c>
      <c r="H5216" t="s">
        <v>26</v>
      </c>
      <c r="I5216" t="s">
        <v>34</v>
      </c>
      <c r="J5216">
        <v>8.4</v>
      </c>
      <c r="K5216">
        <v>5</v>
      </c>
      <c r="L5216">
        <v>0</v>
      </c>
      <c r="M5216">
        <v>4.2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140</v>
      </c>
      <c r="E5217" t="s">
        <v>70</v>
      </c>
      <c r="F5217">
        <v>48205</v>
      </c>
      <c r="G5217" t="s">
        <v>47</v>
      </c>
      <c r="H5217" t="s">
        <v>19</v>
      </c>
      <c r="I5217" t="s">
        <v>21</v>
      </c>
      <c r="J5217">
        <v>498.26</v>
      </c>
      <c r="K5217">
        <v>7</v>
      </c>
      <c r="L5217">
        <v>0</v>
      </c>
      <c r="M5217">
        <v>134.53020000000001</v>
      </c>
    </row>
    <row r="5218" spans="1:13" x14ac:dyDescent="0.3">
      <c r="A5218" t="s">
        <v>28</v>
      </c>
      <c r="B5218" t="s">
        <v>44</v>
      </c>
      <c r="C5218" t="s">
        <v>15</v>
      </c>
      <c r="D5218" t="s">
        <v>140</v>
      </c>
      <c r="E5218" t="s">
        <v>70</v>
      </c>
      <c r="F5218">
        <v>48234</v>
      </c>
      <c r="G5218" t="s">
        <v>47</v>
      </c>
      <c r="H5218" t="s">
        <v>19</v>
      </c>
      <c r="I5218" t="s">
        <v>20</v>
      </c>
      <c r="J5218">
        <v>212.94</v>
      </c>
      <c r="K5218">
        <v>3</v>
      </c>
      <c r="L5218">
        <v>0</v>
      </c>
      <c r="M5218">
        <v>57.4938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26</v>
      </c>
      <c r="I5219" t="s">
        <v>38</v>
      </c>
      <c r="J5219">
        <v>706.86</v>
      </c>
      <c r="K5219">
        <v>7</v>
      </c>
      <c r="L5219">
        <v>0</v>
      </c>
      <c r="M5219">
        <v>197.92080000000001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35</v>
      </c>
      <c r="I5220" t="s">
        <v>36</v>
      </c>
      <c r="J5220">
        <v>114.95</v>
      </c>
      <c r="K5220">
        <v>5</v>
      </c>
      <c r="L5220">
        <v>0</v>
      </c>
      <c r="M5220">
        <v>2.2989999999999999</v>
      </c>
    </row>
    <row r="5221" spans="1:13" x14ac:dyDescent="0.3">
      <c r="A5221" t="s">
        <v>13</v>
      </c>
      <c r="B5221" t="s">
        <v>44</v>
      </c>
      <c r="C5221" t="s">
        <v>15</v>
      </c>
      <c r="D5221" t="s">
        <v>82</v>
      </c>
      <c r="E5221" t="s">
        <v>112</v>
      </c>
      <c r="F5221">
        <v>65807</v>
      </c>
      <c r="G5221" t="s">
        <v>47</v>
      </c>
      <c r="H5221" t="s">
        <v>26</v>
      </c>
      <c r="I5221" t="s">
        <v>37</v>
      </c>
      <c r="J5221">
        <v>43.19</v>
      </c>
      <c r="K5221">
        <v>7</v>
      </c>
      <c r="L5221">
        <v>0</v>
      </c>
      <c r="M5221">
        <v>20.731200000000001</v>
      </c>
    </row>
    <row r="5222" spans="1:13" x14ac:dyDescent="0.3">
      <c r="A5222" t="s">
        <v>13</v>
      </c>
      <c r="B5222" t="s">
        <v>14</v>
      </c>
      <c r="C5222" t="s">
        <v>15</v>
      </c>
      <c r="D5222" t="s">
        <v>23</v>
      </c>
      <c r="E5222" t="s">
        <v>24</v>
      </c>
      <c r="F5222">
        <v>90036</v>
      </c>
      <c r="G5222" t="s">
        <v>25</v>
      </c>
      <c r="H5222" t="s">
        <v>26</v>
      </c>
      <c r="I5222" t="s">
        <v>41</v>
      </c>
      <c r="J5222">
        <v>166.44</v>
      </c>
      <c r="K5222">
        <v>3</v>
      </c>
      <c r="L5222">
        <v>0</v>
      </c>
      <c r="M5222">
        <v>79.891199999999998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36.56</v>
      </c>
      <c r="K5223">
        <v>5</v>
      </c>
      <c r="L5223">
        <v>0.2</v>
      </c>
      <c r="M5223">
        <v>12.795999999999999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26</v>
      </c>
      <c r="I5224" t="s">
        <v>37</v>
      </c>
      <c r="J5224">
        <v>186.14400000000001</v>
      </c>
      <c r="K5224">
        <v>6</v>
      </c>
      <c r="L5224">
        <v>0.2</v>
      </c>
      <c r="M5224">
        <v>60.4968</v>
      </c>
    </row>
    <row r="5225" spans="1:13" x14ac:dyDescent="0.3">
      <c r="A5225" t="s">
        <v>28</v>
      </c>
      <c r="B5225" t="s">
        <v>14</v>
      </c>
      <c r="C5225" t="s">
        <v>15</v>
      </c>
      <c r="D5225" t="s">
        <v>75</v>
      </c>
      <c r="E5225" t="s">
        <v>76</v>
      </c>
      <c r="F5225">
        <v>10011</v>
      </c>
      <c r="G5225" t="s">
        <v>57</v>
      </c>
      <c r="H5225" t="s">
        <v>19</v>
      </c>
      <c r="I5225" t="s">
        <v>20</v>
      </c>
      <c r="J5225">
        <v>353.56799999999998</v>
      </c>
      <c r="K5225">
        <v>2</v>
      </c>
      <c r="L5225">
        <v>0.2</v>
      </c>
      <c r="M5225">
        <v>-44.195999999999998</v>
      </c>
    </row>
    <row r="5226" spans="1:13" x14ac:dyDescent="0.3">
      <c r="A5226" t="s">
        <v>28</v>
      </c>
      <c r="B5226" t="s">
        <v>44</v>
      </c>
      <c r="C5226" t="s">
        <v>15</v>
      </c>
      <c r="D5226" t="s">
        <v>52</v>
      </c>
      <c r="E5226" t="s">
        <v>24</v>
      </c>
      <c r="F5226">
        <v>94109</v>
      </c>
      <c r="G5226" t="s">
        <v>25</v>
      </c>
      <c r="H5226" t="s">
        <v>26</v>
      </c>
      <c r="I5226" t="s">
        <v>41</v>
      </c>
      <c r="J5226">
        <v>81.98</v>
      </c>
      <c r="K5226">
        <v>2</v>
      </c>
      <c r="L5226">
        <v>0</v>
      </c>
      <c r="M5226">
        <v>40.170200000000001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26</v>
      </c>
      <c r="I5227" t="s">
        <v>37</v>
      </c>
      <c r="J5227">
        <v>14.624000000000001</v>
      </c>
      <c r="K5227">
        <v>2</v>
      </c>
      <c r="L5227">
        <v>0.2</v>
      </c>
      <c r="M5227">
        <v>5.1184000000000003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31</v>
      </c>
      <c r="J5228">
        <v>697.16</v>
      </c>
      <c r="K5228">
        <v>5</v>
      </c>
      <c r="L5228">
        <v>0.2</v>
      </c>
      <c r="M5228">
        <v>8.7144999999999992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19</v>
      </c>
      <c r="I5229" t="s">
        <v>33</v>
      </c>
      <c r="J5229">
        <v>30.93</v>
      </c>
      <c r="K5229">
        <v>1</v>
      </c>
      <c r="L5229">
        <v>0</v>
      </c>
      <c r="M5229">
        <v>12.6813</v>
      </c>
    </row>
    <row r="5230" spans="1:13" x14ac:dyDescent="0.3">
      <c r="A5230" t="s">
        <v>13</v>
      </c>
      <c r="B5230" t="s">
        <v>14</v>
      </c>
      <c r="C5230" t="s">
        <v>15</v>
      </c>
      <c r="D5230" t="s">
        <v>286</v>
      </c>
      <c r="E5230" t="s">
        <v>24</v>
      </c>
      <c r="F5230">
        <v>93727</v>
      </c>
      <c r="G5230" t="s">
        <v>25</v>
      </c>
      <c r="H5230" t="s">
        <v>26</v>
      </c>
      <c r="I5230" t="s">
        <v>37</v>
      </c>
      <c r="J5230">
        <v>27.495999999999999</v>
      </c>
      <c r="K5230">
        <v>7</v>
      </c>
      <c r="L5230">
        <v>0.2</v>
      </c>
      <c r="M5230">
        <v>9.2798999999999996</v>
      </c>
    </row>
    <row r="5231" spans="1:13" x14ac:dyDescent="0.3">
      <c r="A5231" t="s">
        <v>28</v>
      </c>
      <c r="B5231" t="s">
        <v>22</v>
      </c>
      <c r="C5231" t="s">
        <v>15</v>
      </c>
      <c r="D5231" t="s">
        <v>469</v>
      </c>
      <c r="E5231" t="s">
        <v>197</v>
      </c>
      <c r="F5231">
        <v>71854</v>
      </c>
      <c r="G5231" t="s">
        <v>18</v>
      </c>
      <c r="H5231" t="s">
        <v>19</v>
      </c>
      <c r="I5231" t="s">
        <v>21</v>
      </c>
      <c r="J5231">
        <v>605.34</v>
      </c>
      <c r="K5231">
        <v>6</v>
      </c>
      <c r="L5231">
        <v>0</v>
      </c>
      <c r="M5231">
        <v>145.2816</v>
      </c>
    </row>
    <row r="5232" spans="1:13" x14ac:dyDescent="0.3">
      <c r="A5232" t="s">
        <v>62</v>
      </c>
      <c r="B5232" t="s">
        <v>14</v>
      </c>
      <c r="C5232" t="s">
        <v>15</v>
      </c>
      <c r="D5232" t="s">
        <v>52</v>
      </c>
      <c r="E5232" t="s">
        <v>24</v>
      </c>
      <c r="F5232">
        <v>94110</v>
      </c>
      <c r="G5232" t="s">
        <v>25</v>
      </c>
      <c r="H5232" t="s">
        <v>19</v>
      </c>
      <c r="I5232" t="s">
        <v>31</v>
      </c>
      <c r="J5232">
        <v>210.00800000000001</v>
      </c>
      <c r="K5232">
        <v>1</v>
      </c>
      <c r="L5232">
        <v>0.2</v>
      </c>
      <c r="M5232">
        <v>2.6251000000000002</v>
      </c>
    </row>
    <row r="5233" spans="1:13" x14ac:dyDescent="0.3">
      <c r="A5233" t="s">
        <v>62</v>
      </c>
      <c r="B5233" t="s">
        <v>22</v>
      </c>
      <c r="C5233" t="s">
        <v>15</v>
      </c>
      <c r="D5233" t="s">
        <v>330</v>
      </c>
      <c r="E5233" t="s">
        <v>74</v>
      </c>
      <c r="F5233">
        <v>46203</v>
      </c>
      <c r="G5233" t="s">
        <v>47</v>
      </c>
      <c r="H5233" t="s">
        <v>26</v>
      </c>
      <c r="I5233" t="s">
        <v>38</v>
      </c>
      <c r="J5233">
        <v>54.96</v>
      </c>
      <c r="K5233">
        <v>3</v>
      </c>
      <c r="L5233">
        <v>0</v>
      </c>
      <c r="M5233">
        <v>15.9384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33</v>
      </c>
      <c r="J5234">
        <v>164.22</v>
      </c>
      <c r="K5234">
        <v>3</v>
      </c>
      <c r="L5234">
        <v>0</v>
      </c>
      <c r="M5234">
        <v>50.908200000000001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19</v>
      </c>
      <c r="I5235" t="s">
        <v>20</v>
      </c>
      <c r="J5235">
        <v>362.94</v>
      </c>
      <c r="K5235">
        <v>3</v>
      </c>
      <c r="L5235">
        <v>0</v>
      </c>
      <c r="M5235">
        <v>36.293999999999997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90</v>
      </c>
      <c r="E5236" t="s">
        <v>248</v>
      </c>
      <c r="F5236">
        <v>21044</v>
      </c>
      <c r="G5236" t="s">
        <v>57</v>
      </c>
      <c r="H5236" t="s">
        <v>35</v>
      </c>
      <c r="I5236" t="s">
        <v>59</v>
      </c>
      <c r="J5236">
        <v>59.98</v>
      </c>
      <c r="K5236">
        <v>2</v>
      </c>
      <c r="L5236">
        <v>0</v>
      </c>
      <c r="M5236">
        <v>26.391200000000001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32</v>
      </c>
      <c r="J5237">
        <v>332.94</v>
      </c>
      <c r="K5237">
        <v>3</v>
      </c>
      <c r="L5237">
        <v>0</v>
      </c>
      <c r="M5237">
        <v>6.6588000000000003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117</v>
      </c>
      <c r="E5238" t="s">
        <v>24</v>
      </c>
      <c r="F5238">
        <v>95123</v>
      </c>
      <c r="G5238" t="s">
        <v>25</v>
      </c>
      <c r="H5238" t="s">
        <v>26</v>
      </c>
      <c r="I5238" t="s">
        <v>37</v>
      </c>
      <c r="J5238">
        <v>39.872</v>
      </c>
      <c r="K5238">
        <v>2</v>
      </c>
      <c r="L5238">
        <v>0.2</v>
      </c>
      <c r="M5238">
        <v>12.958399999999999</v>
      </c>
    </row>
    <row r="5239" spans="1:13" x14ac:dyDescent="0.3">
      <c r="A5239" t="s">
        <v>13</v>
      </c>
      <c r="B5239" t="s">
        <v>22</v>
      </c>
      <c r="C5239" t="s">
        <v>15</v>
      </c>
      <c r="D5239" t="s">
        <v>42</v>
      </c>
      <c r="E5239" t="s">
        <v>43</v>
      </c>
      <c r="F5239">
        <v>98115</v>
      </c>
      <c r="G5239" t="s">
        <v>25</v>
      </c>
      <c r="H5239" t="s">
        <v>26</v>
      </c>
      <c r="I5239" t="s">
        <v>110</v>
      </c>
      <c r="J5239">
        <v>13.68</v>
      </c>
      <c r="K5239">
        <v>2</v>
      </c>
      <c r="L5239">
        <v>0</v>
      </c>
      <c r="M5239">
        <v>3.6936</v>
      </c>
    </row>
    <row r="5240" spans="1:13" x14ac:dyDescent="0.3">
      <c r="A5240" t="s">
        <v>28</v>
      </c>
      <c r="B5240" t="s">
        <v>22</v>
      </c>
      <c r="C5240" t="s">
        <v>15</v>
      </c>
      <c r="D5240" t="s">
        <v>323</v>
      </c>
      <c r="E5240" t="s">
        <v>46</v>
      </c>
      <c r="F5240">
        <v>75007</v>
      </c>
      <c r="G5240" t="s">
        <v>47</v>
      </c>
      <c r="H5240" t="s">
        <v>26</v>
      </c>
      <c r="I5240" t="s">
        <v>37</v>
      </c>
      <c r="J5240">
        <v>3.3180000000000001</v>
      </c>
      <c r="K5240">
        <v>3</v>
      </c>
      <c r="L5240">
        <v>0.8</v>
      </c>
      <c r="M5240">
        <v>-5.6406000000000001</v>
      </c>
    </row>
    <row r="5241" spans="1:13" x14ac:dyDescent="0.3">
      <c r="A5241" t="s">
        <v>62</v>
      </c>
      <c r="B5241" t="s">
        <v>44</v>
      </c>
      <c r="C5241" t="s">
        <v>15</v>
      </c>
      <c r="D5241" t="s">
        <v>155</v>
      </c>
      <c r="E5241" t="s">
        <v>83</v>
      </c>
      <c r="F5241">
        <v>22204</v>
      </c>
      <c r="G5241" t="s">
        <v>18</v>
      </c>
      <c r="H5241" t="s">
        <v>26</v>
      </c>
      <c r="I5241" t="s">
        <v>37</v>
      </c>
      <c r="J5241">
        <v>10.44</v>
      </c>
      <c r="K5241">
        <v>1</v>
      </c>
      <c r="L5241">
        <v>0</v>
      </c>
      <c r="M5241">
        <v>4.8023999999999996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19</v>
      </c>
      <c r="I5242" t="s">
        <v>31</v>
      </c>
      <c r="J5242">
        <v>136.464</v>
      </c>
      <c r="K5242">
        <v>2</v>
      </c>
      <c r="L5242">
        <v>0.2</v>
      </c>
      <c r="M5242">
        <v>15.3522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35</v>
      </c>
      <c r="I5243" t="s">
        <v>36</v>
      </c>
      <c r="J5243">
        <v>333.57600000000002</v>
      </c>
      <c r="K5243">
        <v>3</v>
      </c>
      <c r="L5243">
        <v>0.2</v>
      </c>
      <c r="M5243">
        <v>33.357599999999998</v>
      </c>
    </row>
    <row r="5244" spans="1:13" x14ac:dyDescent="0.3">
      <c r="A5244" t="s">
        <v>13</v>
      </c>
      <c r="B5244" t="s">
        <v>22</v>
      </c>
      <c r="C5244" t="s">
        <v>15</v>
      </c>
      <c r="D5244" t="s">
        <v>23</v>
      </c>
      <c r="E5244" t="s">
        <v>24</v>
      </c>
      <c r="F5244">
        <v>90032</v>
      </c>
      <c r="G5244" t="s">
        <v>25</v>
      </c>
      <c r="H5244" t="s">
        <v>26</v>
      </c>
      <c r="I5244" t="s">
        <v>37</v>
      </c>
      <c r="J5244">
        <v>12.544</v>
      </c>
      <c r="K5244">
        <v>2</v>
      </c>
      <c r="L5244">
        <v>0.2</v>
      </c>
      <c r="M5244">
        <v>4.7039999999999997</v>
      </c>
    </row>
    <row r="5245" spans="1:13" x14ac:dyDescent="0.3">
      <c r="A5245" t="s">
        <v>28</v>
      </c>
      <c r="B5245" t="s">
        <v>14</v>
      </c>
      <c r="C5245" t="s">
        <v>15</v>
      </c>
      <c r="D5245" t="s">
        <v>527</v>
      </c>
      <c r="E5245" t="s">
        <v>65</v>
      </c>
      <c r="F5245">
        <v>60423</v>
      </c>
      <c r="G5245" t="s">
        <v>47</v>
      </c>
      <c r="H5245" t="s">
        <v>26</v>
      </c>
      <c r="I5245" t="s">
        <v>38</v>
      </c>
      <c r="J5245">
        <v>20.768000000000001</v>
      </c>
      <c r="K5245">
        <v>8</v>
      </c>
      <c r="L5245">
        <v>0.8</v>
      </c>
      <c r="M5245">
        <v>-52.958399999999997</v>
      </c>
    </row>
    <row r="5246" spans="1:13" x14ac:dyDescent="0.3">
      <c r="A5246" t="s">
        <v>13</v>
      </c>
      <c r="B5246" t="s">
        <v>14</v>
      </c>
      <c r="C5246" t="s">
        <v>15</v>
      </c>
      <c r="D5246" t="s">
        <v>42</v>
      </c>
      <c r="E5246" t="s">
        <v>43</v>
      </c>
      <c r="F5246">
        <v>98105</v>
      </c>
      <c r="G5246" t="s">
        <v>25</v>
      </c>
      <c r="H5246" t="s">
        <v>35</v>
      </c>
      <c r="I5246" t="s">
        <v>59</v>
      </c>
      <c r="J5246">
        <v>43.5</v>
      </c>
      <c r="K5246">
        <v>3</v>
      </c>
      <c r="L5246">
        <v>0</v>
      </c>
      <c r="M5246">
        <v>10.875</v>
      </c>
    </row>
    <row r="5247" spans="1:13" x14ac:dyDescent="0.3">
      <c r="A5247" t="s">
        <v>28</v>
      </c>
      <c r="B5247" t="s">
        <v>22</v>
      </c>
      <c r="C5247" t="s">
        <v>15</v>
      </c>
      <c r="D5247" t="s">
        <v>55</v>
      </c>
      <c r="E5247" t="s">
        <v>56</v>
      </c>
      <c r="F5247">
        <v>19143</v>
      </c>
      <c r="G5247" t="s">
        <v>57</v>
      </c>
      <c r="H5247" t="s">
        <v>26</v>
      </c>
      <c r="I5247" t="s">
        <v>77</v>
      </c>
      <c r="J5247">
        <v>12.576000000000001</v>
      </c>
      <c r="K5247">
        <v>4</v>
      </c>
      <c r="L5247">
        <v>0.2</v>
      </c>
      <c r="M5247">
        <v>4.0872000000000002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35</v>
      </c>
      <c r="I5248" t="s">
        <v>59</v>
      </c>
      <c r="J5248">
        <v>249.95</v>
      </c>
      <c r="K5248">
        <v>5</v>
      </c>
      <c r="L5248">
        <v>0</v>
      </c>
      <c r="M5248">
        <v>19.995999999999999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103</v>
      </c>
      <c r="E5249" t="s">
        <v>167</v>
      </c>
      <c r="F5249">
        <v>31907</v>
      </c>
      <c r="G5249" t="s">
        <v>18</v>
      </c>
      <c r="H5249" t="s">
        <v>26</v>
      </c>
      <c r="I5249" t="s">
        <v>41</v>
      </c>
      <c r="J5249">
        <v>49.12</v>
      </c>
      <c r="K5249">
        <v>4</v>
      </c>
      <c r="L5249">
        <v>0</v>
      </c>
      <c r="M5249">
        <v>23.086400000000001</v>
      </c>
    </row>
    <row r="5250" spans="1:13" x14ac:dyDescent="0.3">
      <c r="A5250" t="s">
        <v>62</v>
      </c>
      <c r="B5250" t="s">
        <v>14</v>
      </c>
      <c r="C5250" t="s">
        <v>15</v>
      </c>
      <c r="D5250" t="s">
        <v>258</v>
      </c>
      <c r="E5250" t="s">
        <v>83</v>
      </c>
      <c r="F5250">
        <v>23464</v>
      </c>
      <c r="G5250" t="s">
        <v>18</v>
      </c>
      <c r="H5250" t="s">
        <v>26</v>
      </c>
      <c r="I5250" t="s">
        <v>38</v>
      </c>
      <c r="J5250">
        <v>182.91</v>
      </c>
      <c r="K5250">
        <v>3</v>
      </c>
      <c r="L5250">
        <v>0</v>
      </c>
      <c r="M5250">
        <v>53.043900000000001</v>
      </c>
    </row>
    <row r="5251" spans="1:13" x14ac:dyDescent="0.3">
      <c r="A5251" t="s">
        <v>13</v>
      </c>
      <c r="B5251" t="s">
        <v>44</v>
      </c>
      <c r="C5251" t="s">
        <v>15</v>
      </c>
      <c r="D5251" t="s">
        <v>174</v>
      </c>
      <c r="E5251" t="s">
        <v>43</v>
      </c>
      <c r="F5251">
        <v>98198</v>
      </c>
      <c r="G5251" t="s">
        <v>25</v>
      </c>
      <c r="H5251" t="s">
        <v>26</v>
      </c>
      <c r="I5251" t="s">
        <v>37</v>
      </c>
      <c r="J5251">
        <v>107.648</v>
      </c>
      <c r="K5251">
        <v>2</v>
      </c>
      <c r="L5251">
        <v>0.2</v>
      </c>
      <c r="M5251">
        <v>33.64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21</v>
      </c>
      <c r="J5252">
        <v>99.372</v>
      </c>
      <c r="K5252">
        <v>2</v>
      </c>
      <c r="L5252">
        <v>0.3</v>
      </c>
      <c r="M5252">
        <v>-7.0979999999999999</v>
      </c>
    </row>
    <row r="5253" spans="1:13" x14ac:dyDescent="0.3">
      <c r="A5253" t="s">
        <v>13</v>
      </c>
      <c r="B5253" t="s">
        <v>22</v>
      </c>
      <c r="C5253" t="s">
        <v>15</v>
      </c>
      <c r="D5253" t="s">
        <v>528</v>
      </c>
      <c r="E5253" t="s">
        <v>56</v>
      </c>
      <c r="F5253">
        <v>18018</v>
      </c>
      <c r="G5253" t="s">
        <v>57</v>
      </c>
      <c r="H5253" t="s">
        <v>19</v>
      </c>
      <c r="I5253" t="s">
        <v>33</v>
      </c>
      <c r="J5253">
        <v>33.567999999999998</v>
      </c>
      <c r="K5253">
        <v>2</v>
      </c>
      <c r="L5253">
        <v>0.2</v>
      </c>
      <c r="M5253">
        <v>-5.4547999999999996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354</v>
      </c>
      <c r="E5254" t="s">
        <v>119</v>
      </c>
      <c r="F5254">
        <v>73120</v>
      </c>
      <c r="G5254" t="s">
        <v>47</v>
      </c>
      <c r="H5254" t="s">
        <v>26</v>
      </c>
      <c r="I5254" t="s">
        <v>41</v>
      </c>
      <c r="J5254">
        <v>10.56</v>
      </c>
      <c r="K5254">
        <v>2</v>
      </c>
      <c r="L5254">
        <v>0</v>
      </c>
      <c r="M5254">
        <v>4.7519999999999998</v>
      </c>
    </row>
    <row r="5255" spans="1:13" x14ac:dyDescent="0.3">
      <c r="A5255" t="s">
        <v>28</v>
      </c>
      <c r="B5255" t="s">
        <v>14</v>
      </c>
      <c r="C5255" t="s">
        <v>15</v>
      </c>
      <c r="D5255" t="s">
        <v>363</v>
      </c>
      <c r="E5255" t="s">
        <v>24</v>
      </c>
      <c r="F5255">
        <v>91730</v>
      </c>
      <c r="G5255" t="s">
        <v>25</v>
      </c>
      <c r="H5255" t="s">
        <v>26</v>
      </c>
      <c r="I5255" t="s">
        <v>41</v>
      </c>
      <c r="J5255">
        <v>38.880000000000003</v>
      </c>
      <c r="K5255">
        <v>6</v>
      </c>
      <c r="L5255">
        <v>0</v>
      </c>
      <c r="M5255">
        <v>18.662400000000002</v>
      </c>
    </row>
    <row r="5256" spans="1:13" x14ac:dyDescent="0.3">
      <c r="A5256" t="s">
        <v>62</v>
      </c>
      <c r="B5256" t="s">
        <v>14</v>
      </c>
      <c r="C5256" t="s">
        <v>15</v>
      </c>
      <c r="D5256" t="s">
        <v>23</v>
      </c>
      <c r="E5256" t="s">
        <v>24</v>
      </c>
      <c r="F5256">
        <v>90032</v>
      </c>
      <c r="G5256" t="s">
        <v>25</v>
      </c>
      <c r="H5256" t="s">
        <v>26</v>
      </c>
      <c r="I5256" t="s">
        <v>41</v>
      </c>
      <c r="J5256">
        <v>35.200000000000003</v>
      </c>
      <c r="K5256">
        <v>5</v>
      </c>
      <c r="L5256">
        <v>0</v>
      </c>
      <c r="M5256">
        <v>16.544</v>
      </c>
    </row>
    <row r="5257" spans="1:13" x14ac:dyDescent="0.3">
      <c r="A5257" t="s">
        <v>28</v>
      </c>
      <c r="B5257" t="s">
        <v>44</v>
      </c>
      <c r="C5257" t="s">
        <v>15</v>
      </c>
      <c r="D5257" t="s">
        <v>55</v>
      </c>
      <c r="E5257" t="s">
        <v>56</v>
      </c>
      <c r="F5257">
        <v>19120</v>
      </c>
      <c r="G5257" t="s">
        <v>57</v>
      </c>
      <c r="H5257" t="s">
        <v>26</v>
      </c>
      <c r="I5257" t="s">
        <v>41</v>
      </c>
      <c r="J5257">
        <v>45.527999999999999</v>
      </c>
      <c r="K5257">
        <v>3</v>
      </c>
      <c r="L5257">
        <v>0.2</v>
      </c>
      <c r="M5257">
        <v>15.934799999999999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35</v>
      </c>
      <c r="I5258" t="s">
        <v>36</v>
      </c>
      <c r="J5258">
        <v>196.77600000000001</v>
      </c>
      <c r="K5258">
        <v>3</v>
      </c>
      <c r="L5258">
        <v>0.2</v>
      </c>
      <c r="M5258">
        <v>14.7582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26</v>
      </c>
      <c r="I5259" t="s">
        <v>37</v>
      </c>
      <c r="J5259">
        <v>2.92</v>
      </c>
      <c r="K5259">
        <v>2</v>
      </c>
      <c r="L5259">
        <v>0.8</v>
      </c>
      <c r="M5259">
        <v>-4.8179999999999996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19</v>
      </c>
      <c r="I5260" t="s">
        <v>31</v>
      </c>
      <c r="J5260">
        <v>200.79499999999999</v>
      </c>
      <c r="K5260">
        <v>1</v>
      </c>
      <c r="L5260">
        <v>0.3</v>
      </c>
      <c r="M5260">
        <v>-22.948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35</v>
      </c>
      <c r="I5261" t="s">
        <v>59</v>
      </c>
      <c r="J5261">
        <v>46.688000000000002</v>
      </c>
      <c r="K5261">
        <v>4</v>
      </c>
      <c r="L5261">
        <v>0.2</v>
      </c>
      <c r="M5261">
        <v>-2.9180000000000001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26</v>
      </c>
      <c r="I5262" t="s">
        <v>34</v>
      </c>
      <c r="J5262">
        <v>21.864000000000001</v>
      </c>
      <c r="K5262">
        <v>3</v>
      </c>
      <c r="L5262">
        <v>0.2</v>
      </c>
      <c r="M5262">
        <v>3.5529000000000002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11.76</v>
      </c>
      <c r="K5263">
        <v>2</v>
      </c>
      <c r="L5263">
        <v>0</v>
      </c>
      <c r="M5263">
        <v>5.7624000000000004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41</v>
      </c>
      <c r="J5264">
        <v>167.94</v>
      </c>
      <c r="K5264">
        <v>3</v>
      </c>
      <c r="L5264">
        <v>0</v>
      </c>
      <c r="M5264">
        <v>82.290599999999998</v>
      </c>
    </row>
    <row r="5265" spans="1:13" x14ac:dyDescent="0.3">
      <c r="A5265" t="s">
        <v>62</v>
      </c>
      <c r="B5265" t="s">
        <v>22</v>
      </c>
      <c r="C5265" t="s">
        <v>15</v>
      </c>
      <c r="D5265" t="s">
        <v>42</v>
      </c>
      <c r="E5265" t="s">
        <v>43</v>
      </c>
      <c r="F5265">
        <v>98103</v>
      </c>
      <c r="G5265" t="s">
        <v>25</v>
      </c>
      <c r="H5265" t="s">
        <v>26</v>
      </c>
      <c r="I5265" t="s">
        <v>38</v>
      </c>
      <c r="J5265">
        <v>3.89</v>
      </c>
      <c r="K5265">
        <v>1</v>
      </c>
      <c r="L5265">
        <v>0</v>
      </c>
      <c r="M5265">
        <v>1.0114000000000001</v>
      </c>
    </row>
    <row r="5266" spans="1:13" x14ac:dyDescent="0.3">
      <c r="A5266" t="s">
        <v>28</v>
      </c>
      <c r="B5266" t="s">
        <v>44</v>
      </c>
      <c r="C5266" t="s">
        <v>15</v>
      </c>
      <c r="D5266" t="s">
        <v>266</v>
      </c>
      <c r="E5266" t="s">
        <v>76</v>
      </c>
      <c r="F5266">
        <v>10701</v>
      </c>
      <c r="G5266" t="s">
        <v>57</v>
      </c>
      <c r="H5266" t="s">
        <v>35</v>
      </c>
      <c r="I5266" t="s">
        <v>123</v>
      </c>
      <c r="J5266">
        <v>52.44</v>
      </c>
      <c r="K5266">
        <v>4</v>
      </c>
      <c r="L5266">
        <v>0</v>
      </c>
      <c r="M5266">
        <v>24.122399999999999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19</v>
      </c>
      <c r="I5267" t="s">
        <v>33</v>
      </c>
      <c r="J5267">
        <v>32.36</v>
      </c>
      <c r="K5267">
        <v>4</v>
      </c>
      <c r="L5267">
        <v>0</v>
      </c>
      <c r="M5267">
        <v>11.6496</v>
      </c>
    </row>
    <row r="5268" spans="1:13" x14ac:dyDescent="0.3">
      <c r="A5268" t="s">
        <v>168</v>
      </c>
      <c r="B5268" t="s">
        <v>14</v>
      </c>
      <c r="C5268" t="s">
        <v>15</v>
      </c>
      <c r="D5268" t="s">
        <v>52</v>
      </c>
      <c r="E5268" t="s">
        <v>24</v>
      </c>
      <c r="F5268">
        <v>94110</v>
      </c>
      <c r="G5268" t="s">
        <v>25</v>
      </c>
      <c r="H5268" t="s">
        <v>26</v>
      </c>
      <c r="I5268" t="s">
        <v>38</v>
      </c>
      <c r="J5268">
        <v>406.6</v>
      </c>
      <c r="K5268">
        <v>5</v>
      </c>
      <c r="L5268">
        <v>0</v>
      </c>
      <c r="M5268">
        <v>113.848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33</v>
      </c>
      <c r="J5269">
        <v>27.92</v>
      </c>
      <c r="K5269">
        <v>4</v>
      </c>
      <c r="L5269">
        <v>0</v>
      </c>
      <c r="M5269">
        <v>8.0968</v>
      </c>
    </row>
    <row r="5270" spans="1:13" x14ac:dyDescent="0.3">
      <c r="A5270" t="s">
        <v>168</v>
      </c>
      <c r="B5270" t="s">
        <v>22</v>
      </c>
      <c r="C5270" t="s">
        <v>15</v>
      </c>
      <c r="D5270" t="s">
        <v>23</v>
      </c>
      <c r="E5270" t="s">
        <v>24</v>
      </c>
      <c r="F5270">
        <v>90008</v>
      </c>
      <c r="G5270" t="s">
        <v>25</v>
      </c>
      <c r="H5270" t="s">
        <v>19</v>
      </c>
      <c r="I5270" t="s">
        <v>31</v>
      </c>
      <c r="J5270">
        <v>399.67200000000003</v>
      </c>
      <c r="K5270">
        <v>7</v>
      </c>
      <c r="L5270">
        <v>0.2</v>
      </c>
      <c r="M5270">
        <v>-14.9877</v>
      </c>
    </row>
    <row r="5271" spans="1:13" x14ac:dyDescent="0.3">
      <c r="A5271" t="s">
        <v>62</v>
      </c>
      <c r="B5271" t="s">
        <v>44</v>
      </c>
      <c r="C5271" t="s">
        <v>15</v>
      </c>
      <c r="D5271" t="s">
        <v>180</v>
      </c>
      <c r="E5271" t="s">
        <v>30</v>
      </c>
      <c r="F5271">
        <v>33142</v>
      </c>
      <c r="G5271" t="s">
        <v>18</v>
      </c>
      <c r="H5271" t="s">
        <v>26</v>
      </c>
      <c r="I5271" t="s">
        <v>37</v>
      </c>
      <c r="J5271">
        <v>3.7440000000000002</v>
      </c>
      <c r="K5271">
        <v>4</v>
      </c>
      <c r="L5271">
        <v>0.7</v>
      </c>
      <c r="M5271">
        <v>-2.6208</v>
      </c>
    </row>
    <row r="5272" spans="1:13" x14ac:dyDescent="0.3">
      <c r="A5272" t="s">
        <v>13</v>
      </c>
      <c r="B5272" t="s">
        <v>14</v>
      </c>
      <c r="C5272" t="s">
        <v>15</v>
      </c>
      <c r="D5272" t="s">
        <v>223</v>
      </c>
      <c r="E5272" t="s">
        <v>380</v>
      </c>
      <c r="F5272">
        <v>5408</v>
      </c>
      <c r="G5272" t="s">
        <v>57</v>
      </c>
      <c r="H5272" t="s">
        <v>19</v>
      </c>
      <c r="I5272" t="s">
        <v>21</v>
      </c>
      <c r="J5272">
        <v>715.2</v>
      </c>
      <c r="K5272">
        <v>3</v>
      </c>
      <c r="L5272">
        <v>0</v>
      </c>
      <c r="M5272">
        <v>178.8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159.80000000000001</v>
      </c>
      <c r="K5273">
        <v>4</v>
      </c>
      <c r="L5273">
        <v>0</v>
      </c>
      <c r="M5273">
        <v>70.311999999999998</v>
      </c>
    </row>
    <row r="5274" spans="1:13" x14ac:dyDescent="0.3">
      <c r="A5274" t="s">
        <v>28</v>
      </c>
      <c r="B5274" t="s">
        <v>22</v>
      </c>
      <c r="C5274" t="s">
        <v>15</v>
      </c>
      <c r="D5274" t="s">
        <v>196</v>
      </c>
      <c r="E5274" t="s">
        <v>197</v>
      </c>
      <c r="F5274">
        <v>72701</v>
      </c>
      <c r="G5274" t="s">
        <v>18</v>
      </c>
      <c r="H5274" t="s">
        <v>35</v>
      </c>
      <c r="I5274" t="s">
        <v>59</v>
      </c>
      <c r="J5274">
        <v>44.75</v>
      </c>
      <c r="K5274">
        <v>5</v>
      </c>
      <c r="L5274">
        <v>0</v>
      </c>
      <c r="M5274">
        <v>8.5024999999999995</v>
      </c>
    </row>
    <row r="5275" spans="1:13" x14ac:dyDescent="0.3">
      <c r="A5275" t="s">
        <v>28</v>
      </c>
      <c r="B5275" t="s">
        <v>44</v>
      </c>
      <c r="C5275" t="s">
        <v>15</v>
      </c>
      <c r="D5275" t="s">
        <v>462</v>
      </c>
      <c r="E5275" t="s">
        <v>46</v>
      </c>
      <c r="F5275">
        <v>79762</v>
      </c>
      <c r="G5275" t="s">
        <v>47</v>
      </c>
      <c r="H5275" t="s">
        <v>19</v>
      </c>
      <c r="I5275" t="s">
        <v>21</v>
      </c>
      <c r="J5275">
        <v>340.11599999999999</v>
      </c>
      <c r="K5275">
        <v>6</v>
      </c>
      <c r="L5275">
        <v>0.3</v>
      </c>
      <c r="M5275">
        <v>-9.7175999999999991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258</v>
      </c>
      <c r="E5276" t="s">
        <v>83</v>
      </c>
      <c r="F5276">
        <v>23464</v>
      </c>
      <c r="G5276" t="s">
        <v>18</v>
      </c>
      <c r="H5276" t="s">
        <v>26</v>
      </c>
      <c r="I5276" t="s">
        <v>41</v>
      </c>
      <c r="J5276">
        <v>105.52</v>
      </c>
      <c r="K5276">
        <v>4</v>
      </c>
      <c r="L5276">
        <v>0</v>
      </c>
      <c r="M5276">
        <v>48.539200000000001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241</v>
      </c>
      <c r="E5277" t="s">
        <v>49</v>
      </c>
      <c r="F5277">
        <v>53209</v>
      </c>
      <c r="G5277" t="s">
        <v>47</v>
      </c>
      <c r="H5277" t="s">
        <v>35</v>
      </c>
      <c r="I5277" t="s">
        <v>59</v>
      </c>
      <c r="J5277">
        <v>13.48</v>
      </c>
      <c r="K5277">
        <v>1</v>
      </c>
      <c r="L5277">
        <v>0</v>
      </c>
      <c r="M5277">
        <v>1.8872</v>
      </c>
    </row>
    <row r="5278" spans="1:13" x14ac:dyDescent="0.3">
      <c r="A5278" t="s">
        <v>28</v>
      </c>
      <c r="B5278" t="s">
        <v>14</v>
      </c>
      <c r="C5278" t="s">
        <v>15</v>
      </c>
      <c r="D5278" t="s">
        <v>140</v>
      </c>
      <c r="E5278" t="s">
        <v>70</v>
      </c>
      <c r="F5278">
        <v>48234</v>
      </c>
      <c r="G5278" t="s">
        <v>47</v>
      </c>
      <c r="H5278" t="s">
        <v>26</v>
      </c>
      <c r="I5278" t="s">
        <v>32</v>
      </c>
      <c r="J5278">
        <v>85.52</v>
      </c>
      <c r="K5278">
        <v>2</v>
      </c>
      <c r="L5278">
        <v>0</v>
      </c>
      <c r="M5278">
        <v>22.235199999999999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19</v>
      </c>
      <c r="I5279" t="s">
        <v>33</v>
      </c>
      <c r="J5279">
        <v>6.16</v>
      </c>
      <c r="K5279">
        <v>2</v>
      </c>
      <c r="L5279">
        <v>0</v>
      </c>
      <c r="M5279">
        <v>2.9567999999999999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92</v>
      </c>
      <c r="E5280" t="s">
        <v>68</v>
      </c>
      <c r="F5280">
        <v>55901</v>
      </c>
      <c r="G5280" t="s">
        <v>47</v>
      </c>
      <c r="H5280" t="s">
        <v>26</v>
      </c>
      <c r="I5280" t="s">
        <v>41</v>
      </c>
      <c r="J5280">
        <v>36.840000000000003</v>
      </c>
      <c r="K5280">
        <v>3</v>
      </c>
      <c r="L5280">
        <v>0</v>
      </c>
      <c r="M5280">
        <v>17.314800000000002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32</v>
      </c>
      <c r="J5281">
        <v>15.84</v>
      </c>
      <c r="K5281">
        <v>3</v>
      </c>
      <c r="L5281">
        <v>0</v>
      </c>
      <c r="M5281">
        <v>0</v>
      </c>
    </row>
    <row r="5282" spans="1:13" x14ac:dyDescent="0.3">
      <c r="A5282" t="s">
        <v>28</v>
      </c>
      <c r="B5282" t="s">
        <v>22</v>
      </c>
      <c r="C5282" t="s">
        <v>15</v>
      </c>
      <c r="D5282" t="s">
        <v>42</v>
      </c>
      <c r="E5282" t="s">
        <v>43</v>
      </c>
      <c r="F5282">
        <v>98105</v>
      </c>
      <c r="G5282" t="s">
        <v>25</v>
      </c>
      <c r="H5282" t="s">
        <v>26</v>
      </c>
      <c r="I5282" t="s">
        <v>27</v>
      </c>
      <c r="J5282">
        <v>44.4</v>
      </c>
      <c r="K5282">
        <v>3</v>
      </c>
      <c r="L5282">
        <v>0</v>
      </c>
      <c r="M5282">
        <v>22.2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60</v>
      </c>
      <c r="J5283">
        <v>21.24</v>
      </c>
      <c r="K5283">
        <v>9</v>
      </c>
      <c r="L5283">
        <v>0.2</v>
      </c>
      <c r="M5283">
        <v>7.4340000000000002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26</v>
      </c>
      <c r="I5284" t="s">
        <v>37</v>
      </c>
      <c r="J5284">
        <v>9.5519999999999996</v>
      </c>
      <c r="K5284">
        <v>8</v>
      </c>
      <c r="L5284">
        <v>0.7</v>
      </c>
      <c r="M5284">
        <v>-7.3231999999999999</v>
      </c>
    </row>
    <row r="5285" spans="1:13" x14ac:dyDescent="0.3">
      <c r="A5285" t="s">
        <v>62</v>
      </c>
      <c r="B5285" t="s">
        <v>14</v>
      </c>
      <c r="C5285" t="s">
        <v>15</v>
      </c>
      <c r="D5285" t="s">
        <v>183</v>
      </c>
      <c r="E5285" t="s">
        <v>98</v>
      </c>
      <c r="F5285">
        <v>80027</v>
      </c>
      <c r="G5285" t="s">
        <v>25</v>
      </c>
      <c r="H5285" t="s">
        <v>19</v>
      </c>
      <c r="I5285" t="s">
        <v>20</v>
      </c>
      <c r="J5285">
        <v>89.991</v>
      </c>
      <c r="K5285">
        <v>3</v>
      </c>
      <c r="L5285">
        <v>0.7</v>
      </c>
      <c r="M5285">
        <v>-152.9847</v>
      </c>
    </row>
    <row r="5286" spans="1:13" x14ac:dyDescent="0.3">
      <c r="A5286" t="s">
        <v>28</v>
      </c>
      <c r="B5286" t="s">
        <v>44</v>
      </c>
      <c r="C5286" t="s">
        <v>15</v>
      </c>
      <c r="D5286" t="s">
        <v>52</v>
      </c>
      <c r="E5286" t="s">
        <v>24</v>
      </c>
      <c r="F5286">
        <v>94122</v>
      </c>
      <c r="G5286" t="s">
        <v>25</v>
      </c>
      <c r="H5286" t="s">
        <v>26</v>
      </c>
      <c r="I5286" t="s">
        <v>41</v>
      </c>
      <c r="J5286">
        <v>163.96</v>
      </c>
      <c r="K5286">
        <v>4</v>
      </c>
      <c r="L5286">
        <v>0</v>
      </c>
      <c r="M5286">
        <v>80.340400000000002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26</v>
      </c>
      <c r="I5287" t="s">
        <v>41</v>
      </c>
      <c r="J5287">
        <v>17.904</v>
      </c>
      <c r="K5287">
        <v>2</v>
      </c>
      <c r="L5287">
        <v>0.2</v>
      </c>
      <c r="M5287">
        <v>6.2664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19</v>
      </c>
      <c r="I5288" t="s">
        <v>21</v>
      </c>
      <c r="J5288">
        <v>966.7</v>
      </c>
      <c r="K5288">
        <v>5</v>
      </c>
      <c r="L5288">
        <v>0.3</v>
      </c>
      <c r="M5288">
        <v>-13.81</v>
      </c>
    </row>
    <row r="5289" spans="1:13" x14ac:dyDescent="0.3">
      <c r="A5289" t="s">
        <v>28</v>
      </c>
      <c r="B5289" t="s">
        <v>14</v>
      </c>
      <c r="C5289" t="s">
        <v>15</v>
      </c>
      <c r="D5289" t="s">
        <v>61</v>
      </c>
      <c r="E5289" t="s">
        <v>46</v>
      </c>
      <c r="F5289">
        <v>77036</v>
      </c>
      <c r="G5289" t="s">
        <v>47</v>
      </c>
      <c r="H5289" t="s">
        <v>26</v>
      </c>
      <c r="I5289" t="s">
        <v>41</v>
      </c>
      <c r="J5289">
        <v>182.11199999999999</v>
      </c>
      <c r="K5289">
        <v>6</v>
      </c>
      <c r="L5289">
        <v>0.2</v>
      </c>
      <c r="M5289">
        <v>61.462800000000001</v>
      </c>
    </row>
    <row r="5290" spans="1:13" x14ac:dyDescent="0.3">
      <c r="A5290" t="s">
        <v>62</v>
      </c>
      <c r="B5290" t="s">
        <v>14</v>
      </c>
      <c r="C5290" t="s">
        <v>15</v>
      </c>
      <c r="D5290" t="s">
        <v>180</v>
      </c>
      <c r="E5290" t="s">
        <v>30</v>
      </c>
      <c r="F5290">
        <v>33180</v>
      </c>
      <c r="G5290" t="s">
        <v>18</v>
      </c>
      <c r="H5290" t="s">
        <v>26</v>
      </c>
      <c r="I5290" t="s">
        <v>32</v>
      </c>
      <c r="J5290">
        <v>4.4640000000000004</v>
      </c>
      <c r="K5290">
        <v>1</v>
      </c>
      <c r="L5290">
        <v>0.2</v>
      </c>
      <c r="M5290">
        <v>0.33479999999999999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138</v>
      </c>
      <c r="E5291" t="s">
        <v>104</v>
      </c>
      <c r="F5291">
        <v>44256</v>
      </c>
      <c r="G5291" t="s">
        <v>57</v>
      </c>
      <c r="H5291" t="s">
        <v>19</v>
      </c>
      <c r="I5291" t="s">
        <v>31</v>
      </c>
      <c r="J5291">
        <v>51.588000000000001</v>
      </c>
      <c r="K5291">
        <v>1</v>
      </c>
      <c r="L5291">
        <v>0.4</v>
      </c>
      <c r="M5291">
        <v>-15.4764</v>
      </c>
    </row>
    <row r="5292" spans="1:13" x14ac:dyDescent="0.3">
      <c r="A5292" t="s">
        <v>28</v>
      </c>
      <c r="B5292" t="s">
        <v>22</v>
      </c>
      <c r="C5292" t="s">
        <v>15</v>
      </c>
      <c r="D5292" t="s">
        <v>109</v>
      </c>
      <c r="E5292" t="s">
        <v>68</v>
      </c>
      <c r="F5292">
        <v>55113</v>
      </c>
      <c r="G5292" t="s">
        <v>47</v>
      </c>
      <c r="H5292" t="s">
        <v>26</v>
      </c>
      <c r="I5292" t="s">
        <v>27</v>
      </c>
      <c r="J5292">
        <v>50.4</v>
      </c>
      <c r="K5292">
        <v>8</v>
      </c>
      <c r="L5292">
        <v>0</v>
      </c>
      <c r="M5292">
        <v>23.184000000000001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77041</v>
      </c>
      <c r="G5293" t="s">
        <v>47</v>
      </c>
      <c r="H5293" t="s">
        <v>26</v>
      </c>
      <c r="I5293" t="s">
        <v>41</v>
      </c>
      <c r="J5293">
        <v>89.567999999999998</v>
      </c>
      <c r="K5293">
        <v>2</v>
      </c>
      <c r="L5293">
        <v>0.2</v>
      </c>
      <c r="M5293">
        <v>32.468400000000003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19</v>
      </c>
      <c r="I5294" t="s">
        <v>33</v>
      </c>
      <c r="J5294">
        <v>14.89</v>
      </c>
      <c r="K5294">
        <v>1</v>
      </c>
      <c r="L5294">
        <v>0</v>
      </c>
      <c r="M5294">
        <v>4.0202999999999998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266</v>
      </c>
      <c r="E5295" t="s">
        <v>76</v>
      </c>
      <c r="F5295">
        <v>10701</v>
      </c>
      <c r="G5295" t="s">
        <v>57</v>
      </c>
      <c r="H5295" t="s">
        <v>35</v>
      </c>
      <c r="I5295" t="s">
        <v>36</v>
      </c>
      <c r="J5295">
        <v>543.91999999999996</v>
      </c>
      <c r="K5295">
        <v>8</v>
      </c>
      <c r="L5295">
        <v>0</v>
      </c>
      <c r="M5295">
        <v>135.97999999999999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60</v>
      </c>
      <c r="J5296">
        <v>4.08</v>
      </c>
      <c r="K5296">
        <v>2</v>
      </c>
      <c r="L5296">
        <v>0</v>
      </c>
      <c r="M5296">
        <v>1.9176</v>
      </c>
    </row>
    <row r="5297" spans="1:13" x14ac:dyDescent="0.3">
      <c r="A5297" t="s">
        <v>62</v>
      </c>
      <c r="B5297" t="s">
        <v>22</v>
      </c>
      <c r="C5297" t="s">
        <v>15</v>
      </c>
      <c r="D5297" t="s">
        <v>144</v>
      </c>
      <c r="E5297" t="s">
        <v>24</v>
      </c>
      <c r="F5297">
        <v>92037</v>
      </c>
      <c r="G5297" t="s">
        <v>25</v>
      </c>
      <c r="H5297" t="s">
        <v>26</v>
      </c>
      <c r="I5297" t="s">
        <v>27</v>
      </c>
      <c r="J5297">
        <v>18.899999999999999</v>
      </c>
      <c r="K5297">
        <v>3</v>
      </c>
      <c r="L5297">
        <v>0</v>
      </c>
      <c r="M5297">
        <v>8.6940000000000008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19</v>
      </c>
      <c r="I5298" t="s">
        <v>31</v>
      </c>
      <c r="J5298">
        <v>2275.5</v>
      </c>
      <c r="K5298">
        <v>10</v>
      </c>
      <c r="L5298">
        <v>0</v>
      </c>
      <c r="M5298">
        <v>386.83499999999998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35</v>
      </c>
      <c r="I5299" t="s">
        <v>59</v>
      </c>
      <c r="J5299">
        <v>1979.7</v>
      </c>
      <c r="K5299">
        <v>6</v>
      </c>
      <c r="L5299">
        <v>0</v>
      </c>
      <c r="M5299">
        <v>653.30100000000004</v>
      </c>
    </row>
    <row r="5300" spans="1:13" x14ac:dyDescent="0.3">
      <c r="A5300" t="s">
        <v>28</v>
      </c>
      <c r="B5300" t="s">
        <v>22</v>
      </c>
      <c r="C5300" t="s">
        <v>15</v>
      </c>
      <c r="D5300" t="s">
        <v>82</v>
      </c>
      <c r="E5300" t="s">
        <v>83</v>
      </c>
      <c r="F5300">
        <v>22153</v>
      </c>
      <c r="G5300" t="s">
        <v>18</v>
      </c>
      <c r="H5300" t="s">
        <v>26</v>
      </c>
      <c r="I5300" t="s">
        <v>27</v>
      </c>
      <c r="J5300">
        <v>62.1</v>
      </c>
      <c r="K5300">
        <v>6</v>
      </c>
      <c r="L5300">
        <v>0</v>
      </c>
      <c r="M5300">
        <v>29.808</v>
      </c>
    </row>
    <row r="5301" spans="1:13" x14ac:dyDescent="0.3">
      <c r="A5301" t="s">
        <v>28</v>
      </c>
      <c r="B5301" t="s">
        <v>14</v>
      </c>
      <c r="C5301" t="s">
        <v>15</v>
      </c>
      <c r="D5301" t="s">
        <v>87</v>
      </c>
      <c r="E5301" t="s">
        <v>65</v>
      </c>
      <c r="F5301">
        <v>62521</v>
      </c>
      <c r="G5301" t="s">
        <v>47</v>
      </c>
      <c r="H5301" t="s">
        <v>19</v>
      </c>
      <c r="I5301" t="s">
        <v>21</v>
      </c>
      <c r="J5301">
        <v>37.295999999999999</v>
      </c>
      <c r="K5301">
        <v>2</v>
      </c>
      <c r="L5301">
        <v>0.3</v>
      </c>
      <c r="M5301">
        <v>-1.0656000000000001</v>
      </c>
    </row>
    <row r="5302" spans="1:13" x14ac:dyDescent="0.3">
      <c r="A5302" t="s">
        <v>62</v>
      </c>
      <c r="B5302" t="s">
        <v>44</v>
      </c>
      <c r="C5302" t="s">
        <v>15</v>
      </c>
      <c r="D5302" t="s">
        <v>249</v>
      </c>
      <c r="E5302" t="s">
        <v>46</v>
      </c>
      <c r="F5302">
        <v>75043</v>
      </c>
      <c r="G5302" t="s">
        <v>47</v>
      </c>
      <c r="H5302" t="s">
        <v>19</v>
      </c>
      <c r="I5302" t="s">
        <v>33</v>
      </c>
      <c r="J5302">
        <v>8.5440000000000005</v>
      </c>
      <c r="K5302">
        <v>2</v>
      </c>
      <c r="L5302">
        <v>0.6</v>
      </c>
      <c r="M5302">
        <v>-7.476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19</v>
      </c>
      <c r="I5303" t="s">
        <v>33</v>
      </c>
      <c r="J5303">
        <v>68.95</v>
      </c>
      <c r="K5303">
        <v>5</v>
      </c>
      <c r="L5303">
        <v>0</v>
      </c>
      <c r="M5303">
        <v>28.959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26</v>
      </c>
      <c r="I5304" t="s">
        <v>32</v>
      </c>
      <c r="J5304">
        <v>296.37</v>
      </c>
      <c r="K5304">
        <v>3</v>
      </c>
      <c r="L5304">
        <v>0</v>
      </c>
      <c r="M5304">
        <v>80.019900000000007</v>
      </c>
    </row>
    <row r="5305" spans="1:13" x14ac:dyDescent="0.3">
      <c r="A5305" t="s">
        <v>28</v>
      </c>
      <c r="B5305" t="s">
        <v>22</v>
      </c>
      <c r="C5305" t="s">
        <v>15</v>
      </c>
      <c r="D5305" t="s">
        <v>230</v>
      </c>
      <c r="E5305" t="s">
        <v>76</v>
      </c>
      <c r="F5305">
        <v>11572</v>
      </c>
      <c r="G5305" t="s">
        <v>57</v>
      </c>
      <c r="H5305" t="s">
        <v>35</v>
      </c>
      <c r="I5305" t="s">
        <v>36</v>
      </c>
      <c r="J5305">
        <v>39.979999999999997</v>
      </c>
      <c r="K5305">
        <v>2</v>
      </c>
      <c r="L5305">
        <v>0</v>
      </c>
      <c r="M5305">
        <v>1.9990000000000001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19</v>
      </c>
      <c r="I5306" t="s">
        <v>21</v>
      </c>
      <c r="J5306">
        <v>191.05799999999999</v>
      </c>
      <c r="K5306">
        <v>3</v>
      </c>
      <c r="L5306">
        <v>0.3</v>
      </c>
      <c r="M5306">
        <v>-46.399799999999999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34</v>
      </c>
      <c r="J5307">
        <v>13.04</v>
      </c>
      <c r="K5307">
        <v>5</v>
      </c>
      <c r="L5307">
        <v>0.2</v>
      </c>
      <c r="M5307">
        <v>3.9119999999999999</v>
      </c>
    </row>
    <row r="5308" spans="1:13" x14ac:dyDescent="0.3">
      <c r="A5308" t="s">
        <v>62</v>
      </c>
      <c r="B5308" t="s">
        <v>14</v>
      </c>
      <c r="C5308" t="s">
        <v>15</v>
      </c>
      <c r="D5308" t="s">
        <v>61</v>
      </c>
      <c r="E5308" t="s">
        <v>46</v>
      </c>
      <c r="F5308">
        <v>77095</v>
      </c>
      <c r="G5308" t="s">
        <v>47</v>
      </c>
      <c r="H5308" t="s">
        <v>26</v>
      </c>
      <c r="I5308" t="s">
        <v>37</v>
      </c>
      <c r="J5308">
        <v>1525.1880000000001</v>
      </c>
      <c r="K5308">
        <v>6</v>
      </c>
      <c r="L5308">
        <v>0.8</v>
      </c>
      <c r="M5308">
        <v>-2287.7820000000002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27</v>
      </c>
      <c r="J5309">
        <v>9.2159999999999993</v>
      </c>
      <c r="K5309">
        <v>4</v>
      </c>
      <c r="L5309">
        <v>0.2</v>
      </c>
      <c r="M5309">
        <v>3.3408000000000002</v>
      </c>
    </row>
    <row r="5310" spans="1:13" x14ac:dyDescent="0.3">
      <c r="A5310" t="s">
        <v>28</v>
      </c>
      <c r="B5310" t="s">
        <v>44</v>
      </c>
      <c r="C5310" t="s">
        <v>15</v>
      </c>
      <c r="D5310" t="s">
        <v>287</v>
      </c>
      <c r="E5310" t="s">
        <v>40</v>
      </c>
      <c r="F5310">
        <v>27834</v>
      </c>
      <c r="G5310" t="s">
        <v>18</v>
      </c>
      <c r="H5310" t="s">
        <v>26</v>
      </c>
      <c r="I5310" t="s">
        <v>110</v>
      </c>
      <c r="J5310">
        <v>28.047999999999998</v>
      </c>
      <c r="K5310">
        <v>2</v>
      </c>
      <c r="L5310">
        <v>0.2</v>
      </c>
      <c r="M5310">
        <v>3.5059999999999998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19</v>
      </c>
      <c r="I5311" t="s">
        <v>33</v>
      </c>
      <c r="J5311">
        <v>64.959999999999994</v>
      </c>
      <c r="K5311">
        <v>2</v>
      </c>
      <c r="L5311">
        <v>0</v>
      </c>
      <c r="M5311">
        <v>21.436800000000002</v>
      </c>
    </row>
    <row r="5312" spans="1:13" x14ac:dyDescent="0.3">
      <c r="A5312" t="s">
        <v>28</v>
      </c>
      <c r="B5312" t="s">
        <v>22</v>
      </c>
      <c r="C5312" t="s">
        <v>15</v>
      </c>
      <c r="D5312" t="s">
        <v>52</v>
      </c>
      <c r="E5312" t="s">
        <v>24</v>
      </c>
      <c r="F5312">
        <v>94110</v>
      </c>
      <c r="G5312" t="s">
        <v>25</v>
      </c>
      <c r="H5312" t="s">
        <v>26</v>
      </c>
      <c r="I5312" t="s">
        <v>60</v>
      </c>
      <c r="J5312">
        <v>30.56</v>
      </c>
      <c r="K5312">
        <v>4</v>
      </c>
      <c r="L5312">
        <v>0</v>
      </c>
      <c r="M5312">
        <v>14.974399999999999</v>
      </c>
    </row>
    <row r="5313" spans="1:13" x14ac:dyDescent="0.3">
      <c r="A5313" t="s">
        <v>28</v>
      </c>
      <c r="B5313" t="s">
        <v>14</v>
      </c>
      <c r="C5313" t="s">
        <v>15</v>
      </c>
      <c r="D5313" t="s">
        <v>332</v>
      </c>
      <c r="E5313" t="s">
        <v>40</v>
      </c>
      <c r="F5313">
        <v>27405</v>
      </c>
      <c r="G5313" t="s">
        <v>18</v>
      </c>
      <c r="H5313" t="s">
        <v>19</v>
      </c>
      <c r="I5313" t="s">
        <v>21</v>
      </c>
      <c r="J5313">
        <v>187.05600000000001</v>
      </c>
      <c r="K5313">
        <v>9</v>
      </c>
      <c r="L5313">
        <v>0.2</v>
      </c>
      <c r="M5313">
        <v>11.691000000000001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11.808</v>
      </c>
      <c r="K5314">
        <v>2</v>
      </c>
      <c r="L5314">
        <v>0.2</v>
      </c>
      <c r="M5314">
        <v>1.3284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19</v>
      </c>
      <c r="I5315" t="s">
        <v>33</v>
      </c>
      <c r="J5315">
        <v>9.6560000000000006</v>
      </c>
      <c r="K5315">
        <v>1</v>
      </c>
      <c r="L5315">
        <v>0.2</v>
      </c>
      <c r="M5315">
        <v>1.5690999999999999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41</v>
      </c>
      <c r="J5316">
        <v>20.736000000000001</v>
      </c>
      <c r="K5316">
        <v>4</v>
      </c>
      <c r="L5316">
        <v>0.2</v>
      </c>
      <c r="M5316">
        <v>7.2576000000000001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26</v>
      </c>
      <c r="I5317" t="s">
        <v>37</v>
      </c>
      <c r="J5317">
        <v>27.36</v>
      </c>
      <c r="K5317">
        <v>3</v>
      </c>
      <c r="L5317">
        <v>0.7</v>
      </c>
      <c r="M5317">
        <v>-21.888000000000002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31</v>
      </c>
      <c r="J5318">
        <v>2314.116</v>
      </c>
      <c r="K5318">
        <v>7</v>
      </c>
      <c r="L5318">
        <v>0.4</v>
      </c>
      <c r="M5318">
        <v>-1002.7836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26</v>
      </c>
      <c r="I5319" t="s">
        <v>37</v>
      </c>
      <c r="J5319">
        <v>34.235999999999997</v>
      </c>
      <c r="K5319">
        <v>4</v>
      </c>
      <c r="L5319">
        <v>0.7</v>
      </c>
      <c r="M5319">
        <v>-26.247599999999998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19</v>
      </c>
      <c r="I5320" t="s">
        <v>33</v>
      </c>
      <c r="J5320">
        <v>19.760000000000002</v>
      </c>
      <c r="K5320">
        <v>2</v>
      </c>
      <c r="L5320">
        <v>0.2</v>
      </c>
      <c r="M5320">
        <v>5.9279999999999999</v>
      </c>
    </row>
    <row r="5321" spans="1:13" x14ac:dyDescent="0.3">
      <c r="A5321" t="s">
        <v>13</v>
      </c>
      <c r="B5321" t="s">
        <v>14</v>
      </c>
      <c r="C5321" t="s">
        <v>15</v>
      </c>
      <c r="D5321" t="s">
        <v>529</v>
      </c>
      <c r="E5321" t="s">
        <v>54</v>
      </c>
      <c r="F5321">
        <v>68801</v>
      </c>
      <c r="G5321" t="s">
        <v>47</v>
      </c>
      <c r="H5321" t="s">
        <v>26</v>
      </c>
      <c r="I5321" t="s">
        <v>41</v>
      </c>
      <c r="J5321">
        <v>15.96</v>
      </c>
      <c r="K5321">
        <v>2</v>
      </c>
      <c r="L5321">
        <v>0</v>
      </c>
      <c r="M5321">
        <v>7.98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26</v>
      </c>
      <c r="I5322" t="s">
        <v>34</v>
      </c>
      <c r="J5322">
        <v>16.899999999999999</v>
      </c>
      <c r="K5322">
        <v>5</v>
      </c>
      <c r="L5322">
        <v>0</v>
      </c>
      <c r="M5322">
        <v>6.2530000000000001</v>
      </c>
    </row>
    <row r="5323" spans="1:13" x14ac:dyDescent="0.3">
      <c r="A5323" t="s">
        <v>28</v>
      </c>
      <c r="B5323" t="s">
        <v>14</v>
      </c>
      <c r="C5323" t="s">
        <v>15</v>
      </c>
      <c r="D5323" t="s">
        <v>154</v>
      </c>
      <c r="E5323" t="s">
        <v>24</v>
      </c>
      <c r="F5323">
        <v>90712</v>
      </c>
      <c r="G5323" t="s">
        <v>25</v>
      </c>
      <c r="H5323" t="s">
        <v>19</v>
      </c>
      <c r="I5323" t="s">
        <v>33</v>
      </c>
      <c r="J5323">
        <v>25.08</v>
      </c>
      <c r="K5323">
        <v>6</v>
      </c>
      <c r="L5323">
        <v>0</v>
      </c>
      <c r="M5323">
        <v>9.0288000000000004</v>
      </c>
    </row>
    <row r="5324" spans="1:13" x14ac:dyDescent="0.3">
      <c r="A5324" t="s">
        <v>28</v>
      </c>
      <c r="B5324" t="s">
        <v>22</v>
      </c>
      <c r="C5324" t="s">
        <v>15</v>
      </c>
      <c r="D5324" t="s">
        <v>184</v>
      </c>
      <c r="E5324" t="s">
        <v>166</v>
      </c>
      <c r="F5324">
        <v>1841</v>
      </c>
      <c r="G5324" t="s">
        <v>57</v>
      </c>
      <c r="H5324" t="s">
        <v>26</v>
      </c>
      <c r="I5324" t="s">
        <v>34</v>
      </c>
      <c r="J5324">
        <v>6.68</v>
      </c>
      <c r="K5324">
        <v>2</v>
      </c>
      <c r="L5324">
        <v>0</v>
      </c>
      <c r="M5324">
        <v>2.004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23</v>
      </c>
      <c r="E5325" t="s">
        <v>24</v>
      </c>
      <c r="F5325">
        <v>90049</v>
      </c>
      <c r="G5325" t="s">
        <v>25</v>
      </c>
      <c r="H5325" t="s">
        <v>26</v>
      </c>
      <c r="I5325" t="s">
        <v>41</v>
      </c>
      <c r="J5325">
        <v>19.440000000000001</v>
      </c>
      <c r="K5325">
        <v>3</v>
      </c>
      <c r="L5325">
        <v>0</v>
      </c>
      <c r="M5325">
        <v>9.3312000000000008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61</v>
      </c>
      <c r="E5326" t="s">
        <v>46</v>
      </c>
      <c r="F5326">
        <v>77036</v>
      </c>
      <c r="G5326" t="s">
        <v>47</v>
      </c>
      <c r="H5326" t="s">
        <v>35</v>
      </c>
      <c r="I5326" t="s">
        <v>36</v>
      </c>
      <c r="J5326">
        <v>31.92</v>
      </c>
      <c r="K5326">
        <v>2</v>
      </c>
      <c r="L5326">
        <v>0.2</v>
      </c>
      <c r="M5326">
        <v>2.3940000000000001</v>
      </c>
    </row>
    <row r="5327" spans="1:13" x14ac:dyDescent="0.3">
      <c r="A5327" t="s">
        <v>13</v>
      </c>
      <c r="B5327" t="s">
        <v>14</v>
      </c>
      <c r="C5327" t="s">
        <v>15</v>
      </c>
      <c r="D5327" t="s">
        <v>75</v>
      </c>
      <c r="E5327" t="s">
        <v>76</v>
      </c>
      <c r="F5327">
        <v>10035</v>
      </c>
      <c r="G5327" t="s">
        <v>57</v>
      </c>
      <c r="H5327" t="s">
        <v>26</v>
      </c>
      <c r="I5327" t="s">
        <v>37</v>
      </c>
      <c r="J5327">
        <v>33.567999999999998</v>
      </c>
      <c r="K5327">
        <v>2</v>
      </c>
      <c r="L5327">
        <v>0.2</v>
      </c>
      <c r="M5327">
        <v>11.748799999999999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19</v>
      </c>
      <c r="I5328" t="s">
        <v>33</v>
      </c>
      <c r="J5328">
        <v>63.94</v>
      </c>
      <c r="K5328">
        <v>1</v>
      </c>
      <c r="L5328">
        <v>0</v>
      </c>
      <c r="M5328">
        <v>24.936599999999999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37</v>
      </c>
      <c r="J5329">
        <v>60.6</v>
      </c>
      <c r="K5329">
        <v>5</v>
      </c>
      <c r="L5329">
        <v>0.2</v>
      </c>
      <c r="M5329">
        <v>20.452500000000001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75</v>
      </c>
      <c r="E5330" t="s">
        <v>76</v>
      </c>
      <c r="F5330">
        <v>10011</v>
      </c>
      <c r="G5330" t="s">
        <v>57</v>
      </c>
      <c r="H5330" t="s">
        <v>26</v>
      </c>
      <c r="I5330" t="s">
        <v>110</v>
      </c>
      <c r="J5330">
        <v>22.72</v>
      </c>
      <c r="K5330">
        <v>4</v>
      </c>
      <c r="L5330">
        <v>0</v>
      </c>
      <c r="M5330">
        <v>6.5888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19</v>
      </c>
      <c r="I5331" t="s">
        <v>33</v>
      </c>
      <c r="J5331">
        <v>10.68</v>
      </c>
      <c r="K5331">
        <v>4</v>
      </c>
      <c r="L5331">
        <v>0</v>
      </c>
      <c r="M5331">
        <v>4.0583999999999998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17.34</v>
      </c>
      <c r="K5332">
        <v>3</v>
      </c>
      <c r="L5332">
        <v>0</v>
      </c>
      <c r="M5332">
        <v>8.4966000000000008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114</v>
      </c>
      <c r="E5333" t="s">
        <v>72</v>
      </c>
      <c r="F5333">
        <v>19711</v>
      </c>
      <c r="G5333" t="s">
        <v>57</v>
      </c>
      <c r="H5333" t="s">
        <v>26</v>
      </c>
      <c r="I5333" t="s">
        <v>41</v>
      </c>
      <c r="J5333">
        <v>3.38</v>
      </c>
      <c r="K5333">
        <v>1</v>
      </c>
      <c r="L5333">
        <v>0</v>
      </c>
      <c r="M5333">
        <v>1.5548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42</v>
      </c>
      <c r="E5334" t="s">
        <v>43</v>
      </c>
      <c r="F5334">
        <v>98105</v>
      </c>
      <c r="G5334" t="s">
        <v>25</v>
      </c>
      <c r="H5334" t="s">
        <v>26</v>
      </c>
      <c r="I5334" t="s">
        <v>37</v>
      </c>
      <c r="J5334">
        <v>26.975999999999999</v>
      </c>
      <c r="K5334">
        <v>4</v>
      </c>
      <c r="L5334">
        <v>0.2</v>
      </c>
      <c r="M5334">
        <v>8.7672000000000008</v>
      </c>
    </row>
    <row r="5335" spans="1:13" x14ac:dyDescent="0.3">
      <c r="A5335" t="s">
        <v>28</v>
      </c>
      <c r="B5335" t="s">
        <v>22</v>
      </c>
      <c r="C5335" t="s">
        <v>15</v>
      </c>
      <c r="D5335" t="s">
        <v>116</v>
      </c>
      <c r="E5335" t="s">
        <v>81</v>
      </c>
      <c r="F5335">
        <v>85254</v>
      </c>
      <c r="G5335" t="s">
        <v>25</v>
      </c>
      <c r="H5335" t="s">
        <v>26</v>
      </c>
      <c r="I5335" t="s">
        <v>41</v>
      </c>
      <c r="J5335">
        <v>307.77600000000001</v>
      </c>
      <c r="K5335">
        <v>7</v>
      </c>
      <c r="L5335">
        <v>0.2</v>
      </c>
      <c r="M5335">
        <v>111.5688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32</v>
      </c>
      <c r="J5336">
        <v>244.55</v>
      </c>
      <c r="K5336">
        <v>5</v>
      </c>
      <c r="L5336">
        <v>0</v>
      </c>
      <c r="M5336">
        <v>4.891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26</v>
      </c>
      <c r="I5337" t="s">
        <v>60</v>
      </c>
      <c r="J5337">
        <v>12.24</v>
      </c>
      <c r="K5337">
        <v>6</v>
      </c>
      <c r="L5337">
        <v>0</v>
      </c>
      <c r="M5337">
        <v>5.7527999999999997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13.98</v>
      </c>
      <c r="K5338">
        <v>2</v>
      </c>
      <c r="L5338">
        <v>0</v>
      </c>
      <c r="M5338">
        <v>6.0114000000000001</v>
      </c>
    </row>
    <row r="5339" spans="1:13" x14ac:dyDescent="0.3">
      <c r="A5339" t="s">
        <v>13</v>
      </c>
      <c r="B5339" t="s">
        <v>14</v>
      </c>
      <c r="C5339" t="s">
        <v>15</v>
      </c>
      <c r="D5339" t="s">
        <v>230</v>
      </c>
      <c r="E5339" t="s">
        <v>76</v>
      </c>
      <c r="F5339">
        <v>11572</v>
      </c>
      <c r="G5339" t="s">
        <v>57</v>
      </c>
      <c r="H5339" t="s">
        <v>35</v>
      </c>
      <c r="I5339" t="s">
        <v>59</v>
      </c>
      <c r="J5339">
        <v>899.95</v>
      </c>
      <c r="K5339">
        <v>5</v>
      </c>
      <c r="L5339">
        <v>0</v>
      </c>
      <c r="M5339">
        <v>53.997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26</v>
      </c>
      <c r="I5340" t="s">
        <v>60</v>
      </c>
      <c r="J5340">
        <v>1.6319999999999999</v>
      </c>
      <c r="K5340">
        <v>1</v>
      </c>
      <c r="L5340">
        <v>0.2</v>
      </c>
      <c r="M5340">
        <v>0.55079999999999996</v>
      </c>
    </row>
    <row r="5341" spans="1:13" x14ac:dyDescent="0.3">
      <c r="A5341" t="s">
        <v>28</v>
      </c>
      <c r="B5341" t="s">
        <v>22</v>
      </c>
      <c r="C5341" t="s">
        <v>15</v>
      </c>
      <c r="D5341" t="s">
        <v>135</v>
      </c>
      <c r="E5341" t="s">
        <v>46</v>
      </c>
      <c r="F5341">
        <v>75220</v>
      </c>
      <c r="G5341" t="s">
        <v>47</v>
      </c>
      <c r="H5341" t="s">
        <v>35</v>
      </c>
      <c r="I5341" t="s">
        <v>36</v>
      </c>
      <c r="J5341">
        <v>267.95999999999998</v>
      </c>
      <c r="K5341">
        <v>5</v>
      </c>
      <c r="L5341">
        <v>0.2</v>
      </c>
      <c r="M5341">
        <v>16.747499999999999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92</v>
      </c>
      <c r="E5342" t="s">
        <v>76</v>
      </c>
      <c r="F5342">
        <v>14609</v>
      </c>
      <c r="G5342" t="s">
        <v>57</v>
      </c>
      <c r="H5342" t="s">
        <v>35</v>
      </c>
      <c r="I5342" t="s">
        <v>59</v>
      </c>
      <c r="J5342">
        <v>31.95</v>
      </c>
      <c r="K5342">
        <v>1</v>
      </c>
      <c r="L5342">
        <v>0</v>
      </c>
      <c r="M5342">
        <v>2.2364999999999999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32</v>
      </c>
      <c r="J5343">
        <v>725.84</v>
      </c>
      <c r="K5343">
        <v>4</v>
      </c>
      <c r="L5343">
        <v>0</v>
      </c>
      <c r="M5343">
        <v>210.49359999999999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10.896000000000001</v>
      </c>
      <c r="K5344">
        <v>3</v>
      </c>
      <c r="L5344">
        <v>0.2</v>
      </c>
      <c r="M5344">
        <v>3.9498000000000002</v>
      </c>
    </row>
    <row r="5345" spans="1:13" x14ac:dyDescent="0.3">
      <c r="A5345" t="s">
        <v>13</v>
      </c>
      <c r="B5345" t="s">
        <v>14</v>
      </c>
      <c r="C5345" t="s">
        <v>15</v>
      </c>
      <c r="D5345" t="s">
        <v>23</v>
      </c>
      <c r="E5345" t="s">
        <v>24</v>
      </c>
      <c r="F5345">
        <v>90045</v>
      </c>
      <c r="G5345" t="s">
        <v>25</v>
      </c>
      <c r="H5345" t="s">
        <v>26</v>
      </c>
      <c r="I5345" t="s">
        <v>37</v>
      </c>
      <c r="J5345">
        <v>8.5440000000000005</v>
      </c>
      <c r="K5345">
        <v>2</v>
      </c>
      <c r="L5345">
        <v>0.2</v>
      </c>
      <c r="M5345">
        <v>2.8835999999999999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37</v>
      </c>
      <c r="J5346">
        <v>32.340000000000003</v>
      </c>
      <c r="K5346">
        <v>3</v>
      </c>
      <c r="L5346">
        <v>0</v>
      </c>
      <c r="M5346">
        <v>15.523199999999999</v>
      </c>
    </row>
    <row r="5347" spans="1:13" x14ac:dyDescent="0.3">
      <c r="A5347" t="s">
        <v>28</v>
      </c>
      <c r="B5347" t="s">
        <v>22</v>
      </c>
      <c r="C5347" t="s">
        <v>15</v>
      </c>
      <c r="D5347" t="s">
        <v>530</v>
      </c>
      <c r="E5347" t="s">
        <v>68</v>
      </c>
      <c r="F5347">
        <v>55125</v>
      </c>
      <c r="G5347" t="s">
        <v>47</v>
      </c>
      <c r="H5347" t="s">
        <v>26</v>
      </c>
      <c r="I5347" t="s">
        <v>41</v>
      </c>
      <c r="J5347">
        <v>39.9</v>
      </c>
      <c r="K5347">
        <v>5</v>
      </c>
      <c r="L5347">
        <v>0</v>
      </c>
      <c r="M5347">
        <v>19.95</v>
      </c>
    </row>
    <row r="5348" spans="1:13" x14ac:dyDescent="0.3">
      <c r="A5348" t="s">
        <v>28</v>
      </c>
      <c r="B5348" t="s">
        <v>14</v>
      </c>
      <c r="C5348" t="s">
        <v>15</v>
      </c>
      <c r="D5348" t="s">
        <v>192</v>
      </c>
      <c r="E5348" t="s">
        <v>65</v>
      </c>
      <c r="F5348">
        <v>60068</v>
      </c>
      <c r="G5348" t="s">
        <v>47</v>
      </c>
      <c r="H5348" t="s">
        <v>26</v>
      </c>
      <c r="I5348" t="s">
        <v>41</v>
      </c>
      <c r="J5348">
        <v>143.85599999999999</v>
      </c>
      <c r="K5348">
        <v>9</v>
      </c>
      <c r="L5348">
        <v>0.2</v>
      </c>
      <c r="M5348">
        <v>48.551400000000001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26</v>
      </c>
      <c r="I5349" t="s">
        <v>41</v>
      </c>
      <c r="J5349">
        <v>41.92</v>
      </c>
      <c r="K5349">
        <v>4</v>
      </c>
      <c r="L5349">
        <v>0.2</v>
      </c>
      <c r="M5349">
        <v>15.196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135</v>
      </c>
      <c r="E5350" t="s">
        <v>46</v>
      </c>
      <c r="F5350">
        <v>75217</v>
      </c>
      <c r="G5350" t="s">
        <v>47</v>
      </c>
      <c r="H5350" t="s">
        <v>35</v>
      </c>
      <c r="I5350" t="s">
        <v>36</v>
      </c>
      <c r="J5350">
        <v>329.584</v>
      </c>
      <c r="K5350">
        <v>2</v>
      </c>
      <c r="L5350">
        <v>0.2</v>
      </c>
      <c r="M5350">
        <v>37.078200000000002</v>
      </c>
    </row>
    <row r="5351" spans="1:13" x14ac:dyDescent="0.3">
      <c r="A5351" t="s">
        <v>62</v>
      </c>
      <c r="B5351" t="s">
        <v>22</v>
      </c>
      <c r="C5351" t="s">
        <v>15</v>
      </c>
      <c r="D5351" t="s">
        <v>124</v>
      </c>
      <c r="E5351" t="s">
        <v>125</v>
      </c>
      <c r="F5351">
        <v>71203</v>
      </c>
      <c r="G5351" t="s">
        <v>18</v>
      </c>
      <c r="H5351" t="s">
        <v>26</v>
      </c>
      <c r="I5351" t="s">
        <v>37</v>
      </c>
      <c r="J5351">
        <v>87.28</v>
      </c>
      <c r="K5351">
        <v>8</v>
      </c>
      <c r="L5351">
        <v>0</v>
      </c>
      <c r="M5351">
        <v>41.021599999999999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19</v>
      </c>
      <c r="I5352" t="s">
        <v>21</v>
      </c>
      <c r="J5352">
        <v>279.45600000000002</v>
      </c>
      <c r="K5352">
        <v>6</v>
      </c>
      <c r="L5352">
        <v>0.2</v>
      </c>
      <c r="M5352">
        <v>20.959199999999999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23</v>
      </c>
      <c r="E5353" t="s">
        <v>24</v>
      </c>
      <c r="F5353">
        <v>90004</v>
      </c>
      <c r="G5353" t="s">
        <v>25</v>
      </c>
      <c r="H5353" t="s">
        <v>26</v>
      </c>
      <c r="I5353" t="s">
        <v>41</v>
      </c>
      <c r="J5353">
        <v>8</v>
      </c>
      <c r="K5353">
        <v>2</v>
      </c>
      <c r="L5353">
        <v>0</v>
      </c>
      <c r="M5353">
        <v>3.84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94109</v>
      </c>
      <c r="G5354" t="s">
        <v>25</v>
      </c>
      <c r="H5354" t="s">
        <v>26</v>
      </c>
      <c r="I5354" t="s">
        <v>37</v>
      </c>
      <c r="J5354">
        <v>27.24</v>
      </c>
      <c r="K5354">
        <v>5</v>
      </c>
      <c r="L5354">
        <v>0.2</v>
      </c>
      <c r="M5354">
        <v>9.5340000000000007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35</v>
      </c>
      <c r="I5355" t="s">
        <v>59</v>
      </c>
      <c r="J5355">
        <v>16.36</v>
      </c>
      <c r="K5355">
        <v>1</v>
      </c>
      <c r="L5355">
        <v>0</v>
      </c>
      <c r="M5355">
        <v>1.6359999999999999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32</v>
      </c>
      <c r="J5356">
        <v>15.78</v>
      </c>
      <c r="K5356">
        <v>2</v>
      </c>
      <c r="L5356">
        <v>0</v>
      </c>
      <c r="M5356">
        <v>0.63119999999999998</v>
      </c>
    </row>
    <row r="5357" spans="1:13" x14ac:dyDescent="0.3">
      <c r="A5357" t="s">
        <v>28</v>
      </c>
      <c r="B5357" t="s">
        <v>14</v>
      </c>
      <c r="C5357" t="s">
        <v>15</v>
      </c>
      <c r="D5357" t="s">
        <v>52</v>
      </c>
      <c r="E5357" t="s">
        <v>24</v>
      </c>
      <c r="F5357">
        <v>94122</v>
      </c>
      <c r="G5357" t="s">
        <v>25</v>
      </c>
      <c r="H5357" t="s">
        <v>26</v>
      </c>
      <c r="I5357" t="s">
        <v>34</v>
      </c>
      <c r="J5357">
        <v>45.98</v>
      </c>
      <c r="K5357">
        <v>2</v>
      </c>
      <c r="L5357">
        <v>0</v>
      </c>
      <c r="M5357">
        <v>12.8744</v>
      </c>
    </row>
    <row r="5358" spans="1:13" x14ac:dyDescent="0.3">
      <c r="A5358" t="s">
        <v>28</v>
      </c>
      <c r="B5358" t="s">
        <v>22</v>
      </c>
      <c r="C5358" t="s">
        <v>15</v>
      </c>
      <c r="D5358" t="s">
        <v>196</v>
      </c>
      <c r="E5358" t="s">
        <v>40</v>
      </c>
      <c r="F5358">
        <v>28314</v>
      </c>
      <c r="G5358" t="s">
        <v>18</v>
      </c>
      <c r="H5358" t="s">
        <v>19</v>
      </c>
      <c r="I5358" t="s">
        <v>20</v>
      </c>
      <c r="J5358">
        <v>198.27199999999999</v>
      </c>
      <c r="K5358">
        <v>8</v>
      </c>
      <c r="L5358">
        <v>0.2</v>
      </c>
      <c r="M5358">
        <v>-32.219200000000001</v>
      </c>
    </row>
    <row r="5359" spans="1:13" x14ac:dyDescent="0.3">
      <c r="A5359" t="s">
        <v>62</v>
      </c>
      <c r="B5359" t="s">
        <v>22</v>
      </c>
      <c r="C5359" t="s">
        <v>15</v>
      </c>
      <c r="D5359" t="s">
        <v>135</v>
      </c>
      <c r="E5359" t="s">
        <v>46</v>
      </c>
      <c r="F5359">
        <v>75217</v>
      </c>
      <c r="G5359" t="s">
        <v>47</v>
      </c>
      <c r="H5359" t="s">
        <v>26</v>
      </c>
      <c r="I5359" t="s">
        <v>32</v>
      </c>
      <c r="J5359">
        <v>720.76</v>
      </c>
      <c r="K5359">
        <v>5</v>
      </c>
      <c r="L5359">
        <v>0.2</v>
      </c>
      <c r="M5359">
        <v>54.057000000000002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19</v>
      </c>
      <c r="I5360" t="s">
        <v>33</v>
      </c>
      <c r="J5360">
        <v>70.56</v>
      </c>
      <c r="K5360">
        <v>6</v>
      </c>
      <c r="L5360">
        <v>0</v>
      </c>
      <c r="M5360">
        <v>23.990400000000001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481</v>
      </c>
      <c r="E5361" t="s">
        <v>336</v>
      </c>
      <c r="F5361">
        <v>67212</v>
      </c>
      <c r="G5361" t="s">
        <v>47</v>
      </c>
      <c r="H5361" t="s">
        <v>26</v>
      </c>
      <c r="I5361" t="s">
        <v>38</v>
      </c>
      <c r="J5361">
        <v>81.96</v>
      </c>
      <c r="K5361">
        <v>2</v>
      </c>
      <c r="L5361">
        <v>0</v>
      </c>
      <c r="M5361">
        <v>22.948799999999999</v>
      </c>
    </row>
    <row r="5362" spans="1:13" x14ac:dyDescent="0.3">
      <c r="A5362" t="s">
        <v>13</v>
      </c>
      <c r="B5362" t="s">
        <v>22</v>
      </c>
      <c r="C5362" t="s">
        <v>15</v>
      </c>
      <c r="D5362" t="s">
        <v>82</v>
      </c>
      <c r="E5362" t="s">
        <v>95</v>
      </c>
      <c r="F5362">
        <v>97477</v>
      </c>
      <c r="G5362" t="s">
        <v>25</v>
      </c>
      <c r="H5362" t="s">
        <v>26</v>
      </c>
      <c r="I5362" t="s">
        <v>38</v>
      </c>
      <c r="J5362">
        <v>64.864000000000004</v>
      </c>
      <c r="K5362">
        <v>4</v>
      </c>
      <c r="L5362">
        <v>0.2</v>
      </c>
      <c r="M5362">
        <v>6.4863999999999997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61</v>
      </c>
      <c r="E5363" t="s">
        <v>46</v>
      </c>
      <c r="F5363">
        <v>77041</v>
      </c>
      <c r="G5363" t="s">
        <v>47</v>
      </c>
      <c r="H5363" t="s">
        <v>35</v>
      </c>
      <c r="I5363" t="s">
        <v>36</v>
      </c>
      <c r="J5363">
        <v>151.19200000000001</v>
      </c>
      <c r="K5363">
        <v>1</v>
      </c>
      <c r="L5363">
        <v>0.2</v>
      </c>
      <c r="M5363">
        <v>13.2293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35</v>
      </c>
      <c r="I5364" t="s">
        <v>36</v>
      </c>
      <c r="J5364">
        <v>88.775999999999996</v>
      </c>
      <c r="K5364">
        <v>3</v>
      </c>
      <c r="L5364">
        <v>0.2</v>
      </c>
      <c r="M5364">
        <v>7.7679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27</v>
      </c>
      <c r="J5365">
        <v>11.56</v>
      </c>
      <c r="K5365">
        <v>4</v>
      </c>
      <c r="L5365">
        <v>0</v>
      </c>
      <c r="M5365">
        <v>5.4332000000000003</v>
      </c>
    </row>
    <row r="5366" spans="1:13" x14ac:dyDescent="0.3">
      <c r="A5366" t="s">
        <v>28</v>
      </c>
      <c r="B5366" t="s">
        <v>14</v>
      </c>
      <c r="C5366" t="s">
        <v>15</v>
      </c>
      <c r="D5366" t="s">
        <v>42</v>
      </c>
      <c r="E5366" t="s">
        <v>43</v>
      </c>
      <c r="F5366">
        <v>98103</v>
      </c>
      <c r="G5366" t="s">
        <v>25</v>
      </c>
      <c r="H5366" t="s">
        <v>26</v>
      </c>
      <c r="I5366" t="s">
        <v>32</v>
      </c>
      <c r="J5366">
        <v>15.58</v>
      </c>
      <c r="K5366">
        <v>1</v>
      </c>
      <c r="L5366">
        <v>0</v>
      </c>
      <c r="M5366">
        <v>3.895</v>
      </c>
    </row>
    <row r="5367" spans="1:13" x14ac:dyDescent="0.3">
      <c r="A5367" t="s">
        <v>62</v>
      </c>
      <c r="B5367" t="s">
        <v>22</v>
      </c>
      <c r="C5367" t="s">
        <v>15</v>
      </c>
      <c r="D5367" t="s">
        <v>133</v>
      </c>
      <c r="E5367" t="s">
        <v>104</v>
      </c>
      <c r="F5367">
        <v>44312</v>
      </c>
      <c r="G5367" t="s">
        <v>57</v>
      </c>
      <c r="H5367" t="s">
        <v>26</v>
      </c>
      <c r="I5367" t="s">
        <v>41</v>
      </c>
      <c r="J5367">
        <v>85.055999999999997</v>
      </c>
      <c r="K5367">
        <v>3</v>
      </c>
      <c r="L5367">
        <v>0.2</v>
      </c>
      <c r="M5367">
        <v>28.706399999999999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273.95999999999998</v>
      </c>
      <c r="K5368">
        <v>2</v>
      </c>
      <c r="L5368">
        <v>0</v>
      </c>
      <c r="M5368">
        <v>71.229600000000005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514</v>
      </c>
      <c r="E5369" t="s">
        <v>70</v>
      </c>
      <c r="F5369">
        <v>48237</v>
      </c>
      <c r="G5369" t="s">
        <v>47</v>
      </c>
      <c r="H5369" t="s">
        <v>19</v>
      </c>
      <c r="I5369" t="s">
        <v>33</v>
      </c>
      <c r="J5369">
        <v>306.89999999999998</v>
      </c>
      <c r="K5369">
        <v>3</v>
      </c>
      <c r="L5369">
        <v>0</v>
      </c>
      <c r="M5369">
        <v>79.793999999999997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26</v>
      </c>
      <c r="I5370" t="s">
        <v>41</v>
      </c>
      <c r="J5370">
        <v>15.552</v>
      </c>
      <c r="K5370">
        <v>3</v>
      </c>
      <c r="L5370">
        <v>0.2</v>
      </c>
      <c r="M5370">
        <v>5.4432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19</v>
      </c>
      <c r="I5371" t="s">
        <v>31</v>
      </c>
      <c r="J5371">
        <v>347.36099999999999</v>
      </c>
      <c r="K5371">
        <v>7</v>
      </c>
      <c r="L5371">
        <v>0.3</v>
      </c>
      <c r="M5371">
        <v>-69.472200000000001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61</v>
      </c>
      <c r="E5372" t="s">
        <v>46</v>
      </c>
      <c r="F5372">
        <v>77041</v>
      </c>
      <c r="G5372" t="s">
        <v>47</v>
      </c>
      <c r="H5372" t="s">
        <v>26</v>
      </c>
      <c r="I5372" t="s">
        <v>41</v>
      </c>
      <c r="J5372">
        <v>10.368</v>
      </c>
      <c r="K5372">
        <v>2</v>
      </c>
      <c r="L5372">
        <v>0.2</v>
      </c>
      <c r="M5372">
        <v>3.6288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35</v>
      </c>
      <c r="I5373" t="s">
        <v>59</v>
      </c>
      <c r="J5373">
        <v>98.16</v>
      </c>
      <c r="K5373">
        <v>6</v>
      </c>
      <c r="L5373">
        <v>0</v>
      </c>
      <c r="M5373">
        <v>9.8160000000000007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42</v>
      </c>
      <c r="E5374" t="s">
        <v>43</v>
      </c>
      <c r="F5374">
        <v>98103</v>
      </c>
      <c r="G5374" t="s">
        <v>25</v>
      </c>
      <c r="H5374" t="s">
        <v>26</v>
      </c>
      <c r="I5374" t="s">
        <v>34</v>
      </c>
      <c r="J5374">
        <v>31.44</v>
      </c>
      <c r="K5374">
        <v>3</v>
      </c>
      <c r="L5374">
        <v>0</v>
      </c>
      <c r="M5374">
        <v>7.86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60</v>
      </c>
      <c r="J5375">
        <v>348.488</v>
      </c>
      <c r="K5375">
        <v>7</v>
      </c>
      <c r="L5375">
        <v>0.2</v>
      </c>
      <c r="M5375">
        <v>117.6147</v>
      </c>
    </row>
    <row r="5376" spans="1:13" x14ac:dyDescent="0.3">
      <c r="A5376" t="s">
        <v>62</v>
      </c>
      <c r="B5376" t="s">
        <v>22</v>
      </c>
      <c r="C5376" t="s">
        <v>15</v>
      </c>
      <c r="D5376" t="s">
        <v>55</v>
      </c>
      <c r="E5376" t="s">
        <v>56</v>
      </c>
      <c r="F5376">
        <v>19134</v>
      </c>
      <c r="G5376" t="s">
        <v>57</v>
      </c>
      <c r="H5376" t="s">
        <v>26</v>
      </c>
      <c r="I5376" t="s">
        <v>32</v>
      </c>
      <c r="J5376">
        <v>172.73599999999999</v>
      </c>
      <c r="K5376">
        <v>4</v>
      </c>
      <c r="L5376">
        <v>0.2</v>
      </c>
      <c r="M5376">
        <v>-30.2288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26</v>
      </c>
      <c r="I5377" t="s">
        <v>41</v>
      </c>
      <c r="J5377">
        <v>15.54</v>
      </c>
      <c r="K5377">
        <v>3</v>
      </c>
      <c r="L5377">
        <v>0</v>
      </c>
      <c r="M5377">
        <v>7.6146000000000003</v>
      </c>
    </row>
    <row r="5378" spans="1:13" x14ac:dyDescent="0.3">
      <c r="A5378" t="s">
        <v>28</v>
      </c>
      <c r="B5378" t="s">
        <v>14</v>
      </c>
      <c r="C5378" t="s">
        <v>15</v>
      </c>
      <c r="D5378" t="s">
        <v>23</v>
      </c>
      <c r="E5378" t="s">
        <v>24</v>
      </c>
      <c r="F5378">
        <v>90045</v>
      </c>
      <c r="G5378" t="s">
        <v>25</v>
      </c>
      <c r="H5378" t="s">
        <v>35</v>
      </c>
      <c r="I5378" t="s">
        <v>123</v>
      </c>
      <c r="J5378">
        <v>105.55200000000001</v>
      </c>
      <c r="K5378">
        <v>6</v>
      </c>
      <c r="L5378">
        <v>0.2</v>
      </c>
      <c r="M5378">
        <v>35.623800000000003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41</v>
      </c>
      <c r="J5379">
        <v>25.92</v>
      </c>
      <c r="K5379">
        <v>5</v>
      </c>
      <c r="L5379">
        <v>0.2</v>
      </c>
      <c r="M5379">
        <v>9.0719999999999992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77</v>
      </c>
      <c r="J5380">
        <v>15.808</v>
      </c>
      <c r="K5380">
        <v>8</v>
      </c>
      <c r="L5380">
        <v>0.2</v>
      </c>
      <c r="M5380">
        <v>5.3352000000000004</v>
      </c>
    </row>
    <row r="5381" spans="1:13" x14ac:dyDescent="0.3">
      <c r="A5381" t="s">
        <v>13</v>
      </c>
      <c r="B5381" t="s">
        <v>22</v>
      </c>
      <c r="C5381" t="s">
        <v>15</v>
      </c>
      <c r="D5381" t="s">
        <v>61</v>
      </c>
      <c r="E5381" t="s">
        <v>46</v>
      </c>
      <c r="F5381">
        <v>77070</v>
      </c>
      <c r="G5381" t="s">
        <v>47</v>
      </c>
      <c r="H5381" t="s">
        <v>26</v>
      </c>
      <c r="I5381" t="s">
        <v>41</v>
      </c>
      <c r="J5381">
        <v>10.368</v>
      </c>
      <c r="K5381">
        <v>2</v>
      </c>
      <c r="L5381">
        <v>0.2</v>
      </c>
      <c r="M5381">
        <v>3.7584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358.2</v>
      </c>
      <c r="K5382">
        <v>3</v>
      </c>
      <c r="L5382">
        <v>0.4</v>
      </c>
      <c r="M5382">
        <v>41.79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55</v>
      </c>
      <c r="E5383" t="s">
        <v>56</v>
      </c>
      <c r="F5383">
        <v>19143</v>
      </c>
      <c r="G5383" t="s">
        <v>57</v>
      </c>
      <c r="H5383" t="s">
        <v>35</v>
      </c>
      <c r="I5383" t="s">
        <v>36</v>
      </c>
      <c r="J5383">
        <v>545.91600000000005</v>
      </c>
      <c r="K5383">
        <v>14</v>
      </c>
      <c r="L5383">
        <v>0.4</v>
      </c>
      <c r="M5383">
        <v>72.788799999999995</v>
      </c>
    </row>
    <row r="5384" spans="1:13" x14ac:dyDescent="0.3">
      <c r="A5384" t="s">
        <v>28</v>
      </c>
      <c r="B5384" t="s">
        <v>14</v>
      </c>
      <c r="C5384" t="s">
        <v>15</v>
      </c>
      <c r="D5384" t="s">
        <v>531</v>
      </c>
      <c r="E5384" t="s">
        <v>197</v>
      </c>
      <c r="F5384">
        <v>72756</v>
      </c>
      <c r="G5384" t="s">
        <v>18</v>
      </c>
      <c r="H5384" t="s">
        <v>26</v>
      </c>
      <c r="I5384" t="s">
        <v>37</v>
      </c>
      <c r="J5384">
        <v>40.409999999999997</v>
      </c>
      <c r="K5384">
        <v>9</v>
      </c>
      <c r="L5384">
        <v>0</v>
      </c>
      <c r="M5384">
        <v>18.5886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36</v>
      </c>
      <c r="J5385">
        <v>167.976</v>
      </c>
      <c r="K5385">
        <v>3</v>
      </c>
      <c r="L5385">
        <v>0.2</v>
      </c>
      <c r="M5385">
        <v>10.4985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35</v>
      </c>
      <c r="I5386" t="s">
        <v>59</v>
      </c>
      <c r="J5386">
        <v>109.53</v>
      </c>
      <c r="K5386">
        <v>3</v>
      </c>
      <c r="L5386">
        <v>0</v>
      </c>
      <c r="M5386">
        <v>47.097900000000003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23</v>
      </c>
      <c r="E5387" t="s">
        <v>24</v>
      </c>
      <c r="F5387">
        <v>90045</v>
      </c>
      <c r="G5387" t="s">
        <v>25</v>
      </c>
      <c r="H5387" t="s">
        <v>26</v>
      </c>
      <c r="I5387" t="s">
        <v>27</v>
      </c>
      <c r="J5387">
        <v>9.82</v>
      </c>
      <c r="K5387">
        <v>2</v>
      </c>
      <c r="L5387">
        <v>0</v>
      </c>
      <c r="M5387">
        <v>4.8117999999999999</v>
      </c>
    </row>
    <row r="5388" spans="1:13" x14ac:dyDescent="0.3">
      <c r="A5388" t="s">
        <v>13</v>
      </c>
      <c r="B5388" t="s">
        <v>22</v>
      </c>
      <c r="C5388" t="s">
        <v>15</v>
      </c>
      <c r="D5388" t="s">
        <v>42</v>
      </c>
      <c r="E5388" t="s">
        <v>43</v>
      </c>
      <c r="F5388">
        <v>98105</v>
      </c>
      <c r="G5388" t="s">
        <v>25</v>
      </c>
      <c r="H5388" t="s">
        <v>26</v>
      </c>
      <c r="I5388" t="s">
        <v>37</v>
      </c>
      <c r="J5388">
        <v>26.352</v>
      </c>
      <c r="K5388">
        <v>3</v>
      </c>
      <c r="L5388">
        <v>0.2</v>
      </c>
      <c r="M5388">
        <v>9.5526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22.5</v>
      </c>
      <c r="K5389">
        <v>6</v>
      </c>
      <c r="L5389">
        <v>0</v>
      </c>
      <c r="M5389">
        <v>10.8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27</v>
      </c>
      <c r="J5390">
        <v>9.9600000000000009</v>
      </c>
      <c r="K5390">
        <v>2</v>
      </c>
      <c r="L5390">
        <v>0</v>
      </c>
      <c r="M5390">
        <v>4.5815999999999999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26</v>
      </c>
      <c r="I5391" t="s">
        <v>37</v>
      </c>
      <c r="J5391">
        <v>213.08</v>
      </c>
      <c r="K5391">
        <v>7</v>
      </c>
      <c r="L5391">
        <v>0</v>
      </c>
      <c r="M5391">
        <v>102.2784</v>
      </c>
    </row>
    <row r="5392" spans="1:13" x14ac:dyDescent="0.3">
      <c r="A5392" t="s">
        <v>28</v>
      </c>
      <c r="B5392" t="s">
        <v>22</v>
      </c>
      <c r="C5392" t="s">
        <v>15</v>
      </c>
      <c r="D5392" t="s">
        <v>106</v>
      </c>
      <c r="E5392" t="s">
        <v>72</v>
      </c>
      <c r="F5392">
        <v>19805</v>
      </c>
      <c r="G5392" t="s">
        <v>57</v>
      </c>
      <c r="H5392" t="s">
        <v>19</v>
      </c>
      <c r="I5392" t="s">
        <v>20</v>
      </c>
      <c r="J5392">
        <v>1025.8800000000001</v>
      </c>
      <c r="K5392">
        <v>6</v>
      </c>
      <c r="L5392">
        <v>0</v>
      </c>
      <c r="M5392">
        <v>235.95240000000001</v>
      </c>
    </row>
    <row r="5393" spans="1:13" x14ac:dyDescent="0.3">
      <c r="A5393" t="s">
        <v>13</v>
      </c>
      <c r="B5393" t="s">
        <v>22</v>
      </c>
      <c r="C5393" t="s">
        <v>15</v>
      </c>
      <c r="D5393" t="s">
        <v>297</v>
      </c>
      <c r="E5393" t="s">
        <v>51</v>
      </c>
      <c r="F5393">
        <v>84604</v>
      </c>
      <c r="G5393" t="s">
        <v>25</v>
      </c>
      <c r="H5393" t="s">
        <v>26</v>
      </c>
      <c r="I5393" t="s">
        <v>41</v>
      </c>
      <c r="J5393">
        <v>21.98</v>
      </c>
      <c r="K5393">
        <v>7</v>
      </c>
      <c r="L5393">
        <v>0</v>
      </c>
      <c r="M5393">
        <v>9.891</v>
      </c>
    </row>
    <row r="5394" spans="1:13" x14ac:dyDescent="0.3">
      <c r="A5394" t="s">
        <v>168</v>
      </c>
      <c r="B5394" t="s">
        <v>22</v>
      </c>
      <c r="C5394" t="s">
        <v>15</v>
      </c>
      <c r="D5394" t="s">
        <v>52</v>
      </c>
      <c r="E5394" t="s">
        <v>24</v>
      </c>
      <c r="F5394">
        <v>94110</v>
      </c>
      <c r="G5394" t="s">
        <v>25</v>
      </c>
      <c r="H5394" t="s">
        <v>19</v>
      </c>
      <c r="I5394" t="s">
        <v>33</v>
      </c>
      <c r="J5394">
        <v>63.2</v>
      </c>
      <c r="K5394">
        <v>5</v>
      </c>
      <c r="L5394">
        <v>0</v>
      </c>
      <c r="M5394">
        <v>23.384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</v>
      </c>
      <c r="E5395" t="s">
        <v>24</v>
      </c>
      <c r="F5395">
        <v>90004</v>
      </c>
      <c r="G5395" t="s">
        <v>25</v>
      </c>
      <c r="H5395" t="s">
        <v>26</v>
      </c>
      <c r="I5395" t="s">
        <v>38</v>
      </c>
      <c r="J5395">
        <v>39</v>
      </c>
      <c r="K5395">
        <v>12</v>
      </c>
      <c r="L5395">
        <v>0</v>
      </c>
      <c r="M5395">
        <v>11.31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235</v>
      </c>
      <c r="E5396" t="s">
        <v>104</v>
      </c>
      <c r="F5396">
        <v>43130</v>
      </c>
      <c r="G5396" t="s">
        <v>57</v>
      </c>
      <c r="H5396" t="s">
        <v>26</v>
      </c>
      <c r="I5396" t="s">
        <v>37</v>
      </c>
      <c r="J5396">
        <v>2.907</v>
      </c>
      <c r="K5396">
        <v>3</v>
      </c>
      <c r="L5396">
        <v>0.7</v>
      </c>
      <c r="M5396">
        <v>-2.0348999999999999</v>
      </c>
    </row>
    <row r="5397" spans="1:13" x14ac:dyDescent="0.3">
      <c r="A5397" t="s">
        <v>28</v>
      </c>
      <c r="B5397" t="s">
        <v>14</v>
      </c>
      <c r="C5397" t="s">
        <v>15</v>
      </c>
      <c r="D5397" t="s">
        <v>23</v>
      </c>
      <c r="E5397" t="s">
        <v>24</v>
      </c>
      <c r="F5397">
        <v>90004</v>
      </c>
      <c r="G5397" t="s">
        <v>25</v>
      </c>
      <c r="H5397" t="s">
        <v>19</v>
      </c>
      <c r="I5397" t="s">
        <v>20</v>
      </c>
      <c r="J5397">
        <v>556.66499999999996</v>
      </c>
      <c r="K5397">
        <v>5</v>
      </c>
      <c r="L5397">
        <v>0.15</v>
      </c>
      <c r="M5397">
        <v>6.5490000000000004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71.98</v>
      </c>
      <c r="K5398">
        <v>2</v>
      </c>
      <c r="L5398">
        <v>0</v>
      </c>
      <c r="M5398">
        <v>15.1158</v>
      </c>
    </row>
    <row r="5399" spans="1:13" x14ac:dyDescent="0.3">
      <c r="A5399" t="s">
        <v>62</v>
      </c>
      <c r="B5399" t="s">
        <v>14</v>
      </c>
      <c r="C5399" t="s">
        <v>15</v>
      </c>
      <c r="D5399" t="s">
        <v>42</v>
      </c>
      <c r="E5399" t="s">
        <v>43</v>
      </c>
      <c r="F5399">
        <v>98103</v>
      </c>
      <c r="G5399" t="s">
        <v>25</v>
      </c>
      <c r="H5399" t="s">
        <v>35</v>
      </c>
      <c r="I5399" t="s">
        <v>59</v>
      </c>
      <c r="J5399">
        <v>79.98</v>
      </c>
      <c r="K5399">
        <v>2</v>
      </c>
      <c r="L5399">
        <v>0</v>
      </c>
      <c r="M5399">
        <v>26.3934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24.672000000000001</v>
      </c>
      <c r="K5400">
        <v>4</v>
      </c>
      <c r="L5400">
        <v>0.2</v>
      </c>
      <c r="M5400">
        <v>7.71</v>
      </c>
    </row>
    <row r="5401" spans="1:13" x14ac:dyDescent="0.3">
      <c r="A5401" t="s">
        <v>28</v>
      </c>
      <c r="B5401" t="s">
        <v>22</v>
      </c>
      <c r="C5401" t="s">
        <v>15</v>
      </c>
      <c r="D5401" t="s">
        <v>75</v>
      </c>
      <c r="E5401" t="s">
        <v>76</v>
      </c>
      <c r="F5401">
        <v>10024</v>
      </c>
      <c r="G5401" t="s">
        <v>57</v>
      </c>
      <c r="H5401" t="s">
        <v>26</v>
      </c>
      <c r="I5401" t="s">
        <v>37</v>
      </c>
      <c r="J5401">
        <v>3.7440000000000002</v>
      </c>
      <c r="K5401">
        <v>1</v>
      </c>
      <c r="L5401">
        <v>0.2</v>
      </c>
      <c r="M5401">
        <v>1.3104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36</v>
      </c>
      <c r="J5402">
        <v>445.96</v>
      </c>
      <c r="K5402">
        <v>5</v>
      </c>
      <c r="L5402">
        <v>0.2</v>
      </c>
      <c r="M5402">
        <v>55.744999999999997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35</v>
      </c>
      <c r="I5403" t="s">
        <v>59</v>
      </c>
      <c r="J5403">
        <v>36.24</v>
      </c>
      <c r="K5403">
        <v>1</v>
      </c>
      <c r="L5403">
        <v>0</v>
      </c>
      <c r="M5403">
        <v>15.220800000000001</v>
      </c>
    </row>
    <row r="5404" spans="1:13" x14ac:dyDescent="0.3">
      <c r="A5404" t="s">
        <v>28</v>
      </c>
      <c r="B5404" t="s">
        <v>14</v>
      </c>
      <c r="C5404" t="s">
        <v>15</v>
      </c>
      <c r="D5404" t="s">
        <v>23</v>
      </c>
      <c r="E5404" t="s">
        <v>24</v>
      </c>
      <c r="F5404">
        <v>90045</v>
      </c>
      <c r="G5404" t="s">
        <v>25</v>
      </c>
      <c r="H5404" t="s">
        <v>26</v>
      </c>
      <c r="I5404" t="s">
        <v>77</v>
      </c>
      <c r="J5404">
        <v>10.65</v>
      </c>
      <c r="K5404">
        <v>3</v>
      </c>
      <c r="L5404">
        <v>0</v>
      </c>
      <c r="M5404">
        <v>5.0054999999999996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41</v>
      </c>
      <c r="J5405">
        <v>87.92</v>
      </c>
      <c r="K5405">
        <v>4</v>
      </c>
      <c r="L5405">
        <v>0</v>
      </c>
      <c r="M5405">
        <v>40.443199999999997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22.423999999999999</v>
      </c>
      <c r="K5406">
        <v>1</v>
      </c>
      <c r="L5406">
        <v>0.2</v>
      </c>
      <c r="M5406">
        <v>8.4090000000000007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37</v>
      </c>
      <c r="J5407">
        <v>90.48</v>
      </c>
      <c r="K5407">
        <v>3</v>
      </c>
      <c r="L5407">
        <v>0.2</v>
      </c>
      <c r="M5407">
        <v>33.93</v>
      </c>
    </row>
    <row r="5408" spans="1:13" x14ac:dyDescent="0.3">
      <c r="A5408" t="s">
        <v>28</v>
      </c>
      <c r="B5408" t="s">
        <v>22</v>
      </c>
      <c r="C5408" t="s">
        <v>15</v>
      </c>
      <c r="D5408" t="s">
        <v>52</v>
      </c>
      <c r="E5408" t="s">
        <v>24</v>
      </c>
      <c r="F5408">
        <v>94109</v>
      </c>
      <c r="G5408" t="s">
        <v>25</v>
      </c>
      <c r="H5408" t="s">
        <v>26</v>
      </c>
      <c r="I5408" t="s">
        <v>32</v>
      </c>
      <c r="J5408">
        <v>42.76</v>
      </c>
      <c r="K5408">
        <v>1</v>
      </c>
      <c r="L5408">
        <v>0</v>
      </c>
      <c r="M5408">
        <v>11.117599999999999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26</v>
      </c>
      <c r="I5409" t="s">
        <v>37</v>
      </c>
      <c r="J5409">
        <v>10.08</v>
      </c>
      <c r="K5409">
        <v>7</v>
      </c>
      <c r="L5409">
        <v>0.2</v>
      </c>
      <c r="M5409">
        <v>3.528</v>
      </c>
    </row>
    <row r="5410" spans="1:13" x14ac:dyDescent="0.3">
      <c r="A5410" t="s">
        <v>28</v>
      </c>
      <c r="B5410" t="s">
        <v>14</v>
      </c>
      <c r="C5410" t="s">
        <v>15</v>
      </c>
      <c r="D5410" t="s">
        <v>532</v>
      </c>
      <c r="E5410" t="s">
        <v>121</v>
      </c>
      <c r="F5410">
        <v>88101</v>
      </c>
      <c r="G5410" t="s">
        <v>25</v>
      </c>
      <c r="H5410" t="s">
        <v>35</v>
      </c>
      <c r="I5410" t="s">
        <v>59</v>
      </c>
      <c r="J5410">
        <v>101.34</v>
      </c>
      <c r="K5410">
        <v>3</v>
      </c>
      <c r="L5410">
        <v>0</v>
      </c>
      <c r="M5410">
        <v>8.1072000000000006</v>
      </c>
    </row>
    <row r="5411" spans="1:13" x14ac:dyDescent="0.3">
      <c r="A5411" t="s">
        <v>62</v>
      </c>
      <c r="B5411" t="s">
        <v>14</v>
      </c>
      <c r="C5411" t="s">
        <v>15</v>
      </c>
      <c r="D5411" t="s">
        <v>481</v>
      </c>
      <c r="E5411" t="s">
        <v>336</v>
      </c>
      <c r="F5411">
        <v>67212</v>
      </c>
      <c r="G5411" t="s">
        <v>47</v>
      </c>
      <c r="H5411" t="s">
        <v>35</v>
      </c>
      <c r="I5411" t="s">
        <v>36</v>
      </c>
      <c r="J5411">
        <v>224.75</v>
      </c>
      <c r="K5411">
        <v>5</v>
      </c>
      <c r="L5411">
        <v>0</v>
      </c>
      <c r="M5411">
        <v>62.93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38</v>
      </c>
      <c r="J5412">
        <v>73.176000000000002</v>
      </c>
      <c r="K5412">
        <v>6</v>
      </c>
      <c r="L5412">
        <v>0.8</v>
      </c>
      <c r="M5412">
        <v>-197.5752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26</v>
      </c>
      <c r="I5413" t="s">
        <v>41</v>
      </c>
      <c r="J5413">
        <v>20.736000000000001</v>
      </c>
      <c r="K5413">
        <v>4</v>
      </c>
      <c r="L5413">
        <v>0.2</v>
      </c>
      <c r="M5413">
        <v>7.2576000000000001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79</v>
      </c>
      <c r="E5414" t="s">
        <v>65</v>
      </c>
      <c r="F5414">
        <v>60653</v>
      </c>
      <c r="G5414" t="s">
        <v>47</v>
      </c>
      <c r="H5414" t="s">
        <v>35</v>
      </c>
      <c r="I5414" t="s">
        <v>36</v>
      </c>
      <c r="J5414">
        <v>39.984000000000002</v>
      </c>
      <c r="K5414">
        <v>2</v>
      </c>
      <c r="L5414">
        <v>0.2</v>
      </c>
      <c r="M5414">
        <v>-8.9963999999999995</v>
      </c>
    </row>
    <row r="5415" spans="1:13" x14ac:dyDescent="0.3">
      <c r="A5415" t="s">
        <v>13</v>
      </c>
      <c r="B5415" t="s">
        <v>22</v>
      </c>
      <c r="C5415" t="s">
        <v>15</v>
      </c>
      <c r="D5415" t="s">
        <v>238</v>
      </c>
      <c r="E5415" t="s">
        <v>54</v>
      </c>
      <c r="F5415">
        <v>68104</v>
      </c>
      <c r="G5415" t="s">
        <v>47</v>
      </c>
      <c r="H5415" t="s">
        <v>26</v>
      </c>
      <c r="I5415" t="s">
        <v>37</v>
      </c>
      <c r="J5415">
        <v>15.36</v>
      </c>
      <c r="K5415">
        <v>2</v>
      </c>
      <c r="L5415">
        <v>0</v>
      </c>
      <c r="M5415">
        <v>7.68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26</v>
      </c>
      <c r="I5416" t="s">
        <v>41</v>
      </c>
      <c r="J5416">
        <v>36.287999999999997</v>
      </c>
      <c r="K5416">
        <v>7</v>
      </c>
      <c r="L5416">
        <v>0.2</v>
      </c>
      <c r="M5416">
        <v>12.700799999999999</v>
      </c>
    </row>
    <row r="5417" spans="1:13" x14ac:dyDescent="0.3">
      <c r="A5417" t="s">
        <v>62</v>
      </c>
      <c r="B5417" t="s">
        <v>14</v>
      </c>
      <c r="C5417" t="s">
        <v>15</v>
      </c>
      <c r="D5417" t="s">
        <v>61</v>
      </c>
      <c r="E5417" t="s">
        <v>46</v>
      </c>
      <c r="F5417">
        <v>77041</v>
      </c>
      <c r="G5417" t="s">
        <v>47</v>
      </c>
      <c r="H5417" t="s">
        <v>35</v>
      </c>
      <c r="I5417" t="s">
        <v>36</v>
      </c>
      <c r="J5417">
        <v>150.38399999999999</v>
      </c>
      <c r="K5417">
        <v>2</v>
      </c>
      <c r="L5417">
        <v>0.2</v>
      </c>
      <c r="M5417">
        <v>15.038399999999999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36</v>
      </c>
      <c r="J5418">
        <v>280.78199999999998</v>
      </c>
      <c r="K5418">
        <v>3</v>
      </c>
      <c r="L5418">
        <v>0.4</v>
      </c>
      <c r="M5418">
        <v>-60.836100000000002</v>
      </c>
    </row>
    <row r="5419" spans="1:13" x14ac:dyDescent="0.3">
      <c r="A5419" t="s">
        <v>13</v>
      </c>
      <c r="B5419" t="s">
        <v>14</v>
      </c>
      <c r="C5419" t="s">
        <v>15</v>
      </c>
      <c r="D5419" t="s">
        <v>55</v>
      </c>
      <c r="E5419" t="s">
        <v>56</v>
      </c>
      <c r="F5419">
        <v>19134</v>
      </c>
      <c r="G5419" t="s">
        <v>57</v>
      </c>
      <c r="H5419" t="s">
        <v>35</v>
      </c>
      <c r="I5419" t="s">
        <v>59</v>
      </c>
      <c r="J5419">
        <v>31.984000000000002</v>
      </c>
      <c r="K5419">
        <v>2</v>
      </c>
      <c r="L5419">
        <v>0.2</v>
      </c>
      <c r="M5419">
        <v>1.1994</v>
      </c>
    </row>
    <row r="5420" spans="1:13" x14ac:dyDescent="0.3">
      <c r="A5420" t="s">
        <v>28</v>
      </c>
      <c r="B5420" t="s">
        <v>14</v>
      </c>
      <c r="C5420" t="s">
        <v>15</v>
      </c>
      <c r="D5420" t="s">
        <v>23</v>
      </c>
      <c r="E5420" t="s">
        <v>24</v>
      </c>
      <c r="F5420">
        <v>90045</v>
      </c>
      <c r="G5420" t="s">
        <v>25</v>
      </c>
      <c r="H5420" t="s">
        <v>26</v>
      </c>
      <c r="I5420" t="s">
        <v>37</v>
      </c>
      <c r="J5420">
        <v>11.231999999999999</v>
      </c>
      <c r="K5420">
        <v>3</v>
      </c>
      <c r="L5420">
        <v>0.2</v>
      </c>
      <c r="M5420">
        <v>3.9312</v>
      </c>
    </row>
    <row r="5421" spans="1:13" x14ac:dyDescent="0.3">
      <c r="A5421" t="s">
        <v>13</v>
      </c>
      <c r="B5421" t="s">
        <v>22</v>
      </c>
      <c r="C5421" t="s">
        <v>15</v>
      </c>
      <c r="D5421" t="s">
        <v>182</v>
      </c>
      <c r="E5421" t="s">
        <v>17</v>
      </c>
      <c r="F5421">
        <v>40475</v>
      </c>
      <c r="G5421" t="s">
        <v>18</v>
      </c>
      <c r="H5421" t="s">
        <v>26</v>
      </c>
      <c r="I5421" t="s">
        <v>41</v>
      </c>
      <c r="J5421">
        <v>26.4</v>
      </c>
      <c r="K5421">
        <v>5</v>
      </c>
      <c r="L5421">
        <v>0</v>
      </c>
      <c r="M5421">
        <v>11.88</v>
      </c>
    </row>
    <row r="5422" spans="1:13" x14ac:dyDescent="0.3">
      <c r="A5422" t="s">
        <v>28</v>
      </c>
      <c r="B5422" t="s">
        <v>14</v>
      </c>
      <c r="C5422" t="s">
        <v>15</v>
      </c>
      <c r="D5422" t="s">
        <v>507</v>
      </c>
      <c r="E5422" t="s">
        <v>127</v>
      </c>
      <c r="F5422">
        <v>6708</v>
      </c>
      <c r="G5422" t="s">
        <v>57</v>
      </c>
      <c r="H5422" t="s">
        <v>26</v>
      </c>
      <c r="I5422" t="s">
        <v>34</v>
      </c>
      <c r="J5422">
        <v>3.52</v>
      </c>
      <c r="K5422">
        <v>2</v>
      </c>
      <c r="L5422">
        <v>0</v>
      </c>
      <c r="M5422">
        <v>1.0207999999999999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35</v>
      </c>
      <c r="I5423" t="s">
        <v>59</v>
      </c>
      <c r="J5423">
        <v>1649.95</v>
      </c>
      <c r="K5423">
        <v>5</v>
      </c>
      <c r="L5423">
        <v>0</v>
      </c>
      <c r="M5423">
        <v>659.98</v>
      </c>
    </row>
    <row r="5424" spans="1:13" x14ac:dyDescent="0.3">
      <c r="A5424" t="s">
        <v>62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19</v>
      </c>
      <c r="I5424" t="s">
        <v>33</v>
      </c>
      <c r="J5424">
        <v>111.9</v>
      </c>
      <c r="K5424">
        <v>6</v>
      </c>
      <c r="L5424">
        <v>0</v>
      </c>
      <c r="M5424">
        <v>51.473999999999997</v>
      </c>
    </row>
    <row r="5425" spans="1:13" x14ac:dyDescent="0.3">
      <c r="A5425" t="s">
        <v>168</v>
      </c>
      <c r="B5425" t="s">
        <v>44</v>
      </c>
      <c r="C5425" t="s">
        <v>15</v>
      </c>
      <c r="D5425" t="s">
        <v>23</v>
      </c>
      <c r="E5425" t="s">
        <v>24</v>
      </c>
      <c r="F5425">
        <v>90036</v>
      </c>
      <c r="G5425" t="s">
        <v>25</v>
      </c>
      <c r="H5425" t="s">
        <v>19</v>
      </c>
      <c r="I5425" t="s">
        <v>20</v>
      </c>
      <c r="J5425">
        <v>599.16499999999996</v>
      </c>
      <c r="K5425">
        <v>5</v>
      </c>
      <c r="L5425">
        <v>0.15</v>
      </c>
      <c r="M5425">
        <v>35.244999999999997</v>
      </c>
    </row>
    <row r="5426" spans="1:13" x14ac:dyDescent="0.3">
      <c r="A5426" t="s">
        <v>62</v>
      </c>
      <c r="B5426" t="s">
        <v>44</v>
      </c>
      <c r="C5426" t="s">
        <v>15</v>
      </c>
      <c r="D5426" t="s">
        <v>52</v>
      </c>
      <c r="E5426" t="s">
        <v>24</v>
      </c>
      <c r="F5426">
        <v>94122</v>
      </c>
      <c r="G5426" t="s">
        <v>25</v>
      </c>
      <c r="H5426" t="s">
        <v>26</v>
      </c>
      <c r="I5426" t="s">
        <v>32</v>
      </c>
      <c r="J5426">
        <v>46.53</v>
      </c>
      <c r="K5426">
        <v>3</v>
      </c>
      <c r="L5426">
        <v>0</v>
      </c>
      <c r="M5426">
        <v>12.097799999999999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158</v>
      </c>
      <c r="E5427" t="s">
        <v>30</v>
      </c>
      <c r="F5427">
        <v>33710</v>
      </c>
      <c r="G5427" t="s">
        <v>18</v>
      </c>
      <c r="H5427" t="s">
        <v>19</v>
      </c>
      <c r="I5427" t="s">
        <v>33</v>
      </c>
      <c r="J5427">
        <v>31.984000000000002</v>
      </c>
      <c r="K5427">
        <v>2</v>
      </c>
      <c r="L5427">
        <v>0.2</v>
      </c>
      <c r="M5427">
        <v>1.9990000000000001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38</v>
      </c>
      <c r="J5428">
        <v>161.56800000000001</v>
      </c>
      <c r="K5428">
        <v>2</v>
      </c>
      <c r="L5428">
        <v>0.2</v>
      </c>
      <c r="M5428">
        <v>16.1568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41</v>
      </c>
      <c r="J5429">
        <v>4.0640000000000001</v>
      </c>
      <c r="K5429">
        <v>1</v>
      </c>
      <c r="L5429">
        <v>0.2</v>
      </c>
      <c r="M5429">
        <v>1.3715999999999999</v>
      </c>
    </row>
    <row r="5430" spans="1:13" x14ac:dyDescent="0.3">
      <c r="A5430" t="s">
        <v>28</v>
      </c>
      <c r="B5430" t="s">
        <v>44</v>
      </c>
      <c r="C5430" t="s">
        <v>15</v>
      </c>
      <c r="D5430" t="s">
        <v>154</v>
      </c>
      <c r="E5430" t="s">
        <v>104</v>
      </c>
      <c r="F5430">
        <v>44107</v>
      </c>
      <c r="G5430" t="s">
        <v>57</v>
      </c>
      <c r="H5430" t="s">
        <v>26</v>
      </c>
      <c r="I5430" t="s">
        <v>37</v>
      </c>
      <c r="J5430">
        <v>6.2160000000000002</v>
      </c>
      <c r="K5430">
        <v>4</v>
      </c>
      <c r="L5430">
        <v>0.7</v>
      </c>
      <c r="M5430">
        <v>-4.9728000000000003</v>
      </c>
    </row>
    <row r="5431" spans="1:13" x14ac:dyDescent="0.3">
      <c r="A5431" t="s">
        <v>28</v>
      </c>
      <c r="B5431" t="s">
        <v>14</v>
      </c>
      <c r="C5431" t="s">
        <v>15</v>
      </c>
      <c r="D5431" t="s">
        <v>523</v>
      </c>
      <c r="E5431" t="s">
        <v>81</v>
      </c>
      <c r="F5431">
        <v>85224</v>
      </c>
      <c r="G5431" t="s">
        <v>25</v>
      </c>
      <c r="H5431" t="s">
        <v>26</v>
      </c>
      <c r="I5431" t="s">
        <v>34</v>
      </c>
      <c r="J5431">
        <v>8.8960000000000008</v>
      </c>
      <c r="K5431">
        <v>4</v>
      </c>
      <c r="L5431">
        <v>0.2</v>
      </c>
      <c r="M5431">
        <v>0.66720000000000002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26</v>
      </c>
      <c r="I5432" t="s">
        <v>38</v>
      </c>
      <c r="J5432">
        <v>1640.7</v>
      </c>
      <c r="K5432">
        <v>5</v>
      </c>
      <c r="L5432">
        <v>0</v>
      </c>
      <c r="M5432">
        <v>459.39600000000002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23</v>
      </c>
      <c r="E5433" t="s">
        <v>24</v>
      </c>
      <c r="F5433">
        <v>90008</v>
      </c>
      <c r="G5433" t="s">
        <v>25</v>
      </c>
      <c r="H5433" t="s">
        <v>35</v>
      </c>
      <c r="I5433" t="s">
        <v>59</v>
      </c>
      <c r="J5433">
        <v>270</v>
      </c>
      <c r="K5433">
        <v>3</v>
      </c>
      <c r="L5433">
        <v>0</v>
      </c>
      <c r="M5433">
        <v>97.2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19</v>
      </c>
      <c r="I5434" t="s">
        <v>33</v>
      </c>
      <c r="J5434">
        <v>19.52</v>
      </c>
      <c r="K5434">
        <v>2</v>
      </c>
      <c r="L5434">
        <v>0.2</v>
      </c>
      <c r="M5434">
        <v>5.3680000000000003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26</v>
      </c>
      <c r="I5435" t="s">
        <v>37</v>
      </c>
      <c r="J5435">
        <v>9.81</v>
      </c>
      <c r="K5435">
        <v>5</v>
      </c>
      <c r="L5435">
        <v>0.7</v>
      </c>
      <c r="M5435">
        <v>-6.867</v>
      </c>
    </row>
    <row r="5436" spans="1:13" x14ac:dyDescent="0.3">
      <c r="A5436" t="s">
        <v>62</v>
      </c>
      <c r="B5436" t="s">
        <v>22</v>
      </c>
      <c r="C5436" t="s">
        <v>15</v>
      </c>
      <c r="D5436" t="s">
        <v>227</v>
      </c>
      <c r="E5436" t="s">
        <v>30</v>
      </c>
      <c r="F5436">
        <v>32137</v>
      </c>
      <c r="G5436" t="s">
        <v>18</v>
      </c>
      <c r="H5436" t="s">
        <v>19</v>
      </c>
      <c r="I5436" t="s">
        <v>33</v>
      </c>
      <c r="J5436">
        <v>213.21600000000001</v>
      </c>
      <c r="K5436">
        <v>3</v>
      </c>
      <c r="L5436">
        <v>0.2</v>
      </c>
      <c r="M5436">
        <v>15.991199999999999</v>
      </c>
    </row>
    <row r="5437" spans="1:13" x14ac:dyDescent="0.3">
      <c r="A5437" t="s">
        <v>28</v>
      </c>
      <c r="B5437" t="s">
        <v>14</v>
      </c>
      <c r="C5437" t="s">
        <v>15</v>
      </c>
      <c r="D5437" t="s">
        <v>75</v>
      </c>
      <c r="E5437" t="s">
        <v>76</v>
      </c>
      <c r="F5437">
        <v>10035</v>
      </c>
      <c r="G5437" t="s">
        <v>57</v>
      </c>
      <c r="H5437" t="s">
        <v>26</v>
      </c>
      <c r="I5437" t="s">
        <v>37</v>
      </c>
      <c r="J5437">
        <v>588.78399999999999</v>
      </c>
      <c r="K5437">
        <v>2</v>
      </c>
      <c r="L5437">
        <v>0.2</v>
      </c>
      <c r="M5437">
        <v>183.995</v>
      </c>
    </row>
    <row r="5438" spans="1:13" x14ac:dyDescent="0.3">
      <c r="A5438" t="s">
        <v>13</v>
      </c>
      <c r="B5438" t="s">
        <v>14</v>
      </c>
      <c r="C5438" t="s">
        <v>15</v>
      </c>
      <c r="D5438" t="s">
        <v>533</v>
      </c>
      <c r="E5438" t="s">
        <v>30</v>
      </c>
      <c r="F5438">
        <v>33458</v>
      </c>
      <c r="G5438" t="s">
        <v>18</v>
      </c>
      <c r="H5438" t="s">
        <v>26</v>
      </c>
      <c r="I5438" t="s">
        <v>34</v>
      </c>
      <c r="J5438">
        <v>2.0640000000000001</v>
      </c>
      <c r="K5438">
        <v>1</v>
      </c>
      <c r="L5438">
        <v>0.2</v>
      </c>
      <c r="M5438">
        <v>0.15479999999999999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305</v>
      </c>
      <c r="E5439" t="s">
        <v>81</v>
      </c>
      <c r="F5439">
        <v>85301</v>
      </c>
      <c r="G5439" t="s">
        <v>25</v>
      </c>
      <c r="H5439" t="s">
        <v>26</v>
      </c>
      <c r="I5439" t="s">
        <v>41</v>
      </c>
      <c r="J5439">
        <v>6.3680000000000003</v>
      </c>
      <c r="K5439">
        <v>2</v>
      </c>
      <c r="L5439">
        <v>0.2</v>
      </c>
      <c r="M5439">
        <v>2.3879999999999999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35</v>
      </c>
      <c r="I5440" t="s">
        <v>59</v>
      </c>
      <c r="J5440">
        <v>99.6</v>
      </c>
      <c r="K5440">
        <v>1</v>
      </c>
      <c r="L5440">
        <v>0</v>
      </c>
      <c r="M5440">
        <v>36.851999999999997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62.295999999999999</v>
      </c>
      <c r="K5441">
        <v>13</v>
      </c>
      <c r="L5441">
        <v>0.2</v>
      </c>
      <c r="M5441">
        <v>21.024899999999999</v>
      </c>
    </row>
    <row r="5442" spans="1:13" x14ac:dyDescent="0.3">
      <c r="A5442" t="s">
        <v>28</v>
      </c>
      <c r="B5442" t="s">
        <v>14</v>
      </c>
      <c r="C5442" t="s">
        <v>15</v>
      </c>
      <c r="D5442" t="s">
        <v>75</v>
      </c>
      <c r="E5442" t="s">
        <v>76</v>
      </c>
      <c r="F5442">
        <v>10035</v>
      </c>
      <c r="G5442" t="s">
        <v>57</v>
      </c>
      <c r="H5442" t="s">
        <v>26</v>
      </c>
      <c r="I5442" t="s">
        <v>34</v>
      </c>
      <c r="J5442">
        <v>10.71</v>
      </c>
      <c r="K5442">
        <v>3</v>
      </c>
      <c r="L5442">
        <v>0</v>
      </c>
      <c r="M5442">
        <v>2.7846000000000002</v>
      </c>
    </row>
    <row r="5443" spans="1:13" x14ac:dyDescent="0.3">
      <c r="A5443" t="s">
        <v>28</v>
      </c>
      <c r="B5443" t="s">
        <v>44</v>
      </c>
      <c r="C5443" t="s">
        <v>15</v>
      </c>
      <c r="D5443" t="s">
        <v>61</v>
      </c>
      <c r="E5443" t="s">
        <v>46</v>
      </c>
      <c r="F5443">
        <v>77041</v>
      </c>
      <c r="G5443" t="s">
        <v>47</v>
      </c>
      <c r="H5443" t="s">
        <v>26</v>
      </c>
      <c r="I5443" t="s">
        <v>60</v>
      </c>
      <c r="J5443">
        <v>20.936</v>
      </c>
      <c r="K5443">
        <v>1</v>
      </c>
      <c r="L5443">
        <v>0.2</v>
      </c>
      <c r="M5443">
        <v>7.0659000000000001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36</v>
      </c>
      <c r="J5444">
        <v>33</v>
      </c>
      <c r="K5444">
        <v>6</v>
      </c>
      <c r="L5444">
        <v>0</v>
      </c>
      <c r="M5444">
        <v>8.25</v>
      </c>
    </row>
    <row r="5445" spans="1:13" x14ac:dyDescent="0.3">
      <c r="A5445" t="s">
        <v>28</v>
      </c>
      <c r="B5445" t="s">
        <v>22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35</v>
      </c>
      <c r="I5445" t="s">
        <v>59</v>
      </c>
      <c r="J5445">
        <v>249.95</v>
      </c>
      <c r="K5445">
        <v>5</v>
      </c>
      <c r="L5445">
        <v>0</v>
      </c>
      <c r="M5445">
        <v>87.482500000000002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26</v>
      </c>
      <c r="I5446" t="s">
        <v>110</v>
      </c>
      <c r="J5446">
        <v>357.93</v>
      </c>
      <c r="K5446">
        <v>3</v>
      </c>
      <c r="L5446">
        <v>0</v>
      </c>
      <c r="M5446">
        <v>7.1585999999999999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35</v>
      </c>
      <c r="I5447" t="s">
        <v>59</v>
      </c>
      <c r="J5447">
        <v>57.4</v>
      </c>
      <c r="K5447">
        <v>5</v>
      </c>
      <c r="L5447">
        <v>0</v>
      </c>
      <c r="M5447">
        <v>10.906000000000001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26</v>
      </c>
      <c r="I5448" t="s">
        <v>37</v>
      </c>
      <c r="J5448">
        <v>331.96</v>
      </c>
      <c r="K5448">
        <v>2</v>
      </c>
      <c r="L5448">
        <v>0</v>
      </c>
      <c r="M5448">
        <v>149.38200000000001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335</v>
      </c>
      <c r="E5449" t="s">
        <v>336</v>
      </c>
      <c r="F5449">
        <v>66062</v>
      </c>
      <c r="G5449" t="s">
        <v>47</v>
      </c>
      <c r="H5449" t="s">
        <v>19</v>
      </c>
      <c r="I5449" t="s">
        <v>33</v>
      </c>
      <c r="J5449">
        <v>40.56</v>
      </c>
      <c r="K5449">
        <v>2</v>
      </c>
      <c r="L5449">
        <v>0</v>
      </c>
      <c r="M5449">
        <v>12.979200000000001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395</v>
      </c>
      <c r="E5450" t="s">
        <v>177</v>
      </c>
      <c r="F5450">
        <v>89431</v>
      </c>
      <c r="G5450" t="s">
        <v>25</v>
      </c>
      <c r="H5450" t="s">
        <v>26</v>
      </c>
      <c r="I5450" t="s">
        <v>110</v>
      </c>
      <c r="J5450">
        <v>86.2</v>
      </c>
      <c r="K5450">
        <v>5</v>
      </c>
      <c r="L5450">
        <v>0</v>
      </c>
      <c r="M5450">
        <v>24.998000000000001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264</v>
      </c>
      <c r="E5451" t="s">
        <v>65</v>
      </c>
      <c r="F5451">
        <v>61107</v>
      </c>
      <c r="G5451" t="s">
        <v>47</v>
      </c>
      <c r="H5451" t="s">
        <v>26</v>
      </c>
      <c r="I5451" t="s">
        <v>41</v>
      </c>
      <c r="J5451">
        <v>38.015999999999998</v>
      </c>
      <c r="K5451">
        <v>6</v>
      </c>
      <c r="L5451">
        <v>0.2</v>
      </c>
      <c r="M5451">
        <v>13.780799999999999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32</v>
      </c>
      <c r="J5452">
        <v>8.3840000000000003</v>
      </c>
      <c r="K5452">
        <v>1</v>
      </c>
      <c r="L5452">
        <v>0.2</v>
      </c>
      <c r="M5452">
        <v>0.73360000000000003</v>
      </c>
    </row>
    <row r="5453" spans="1:13" x14ac:dyDescent="0.3">
      <c r="A5453" t="s">
        <v>28</v>
      </c>
      <c r="B5453" t="s">
        <v>22</v>
      </c>
      <c r="C5453" t="s">
        <v>15</v>
      </c>
      <c r="D5453" t="s">
        <v>55</v>
      </c>
      <c r="E5453" t="s">
        <v>56</v>
      </c>
      <c r="F5453">
        <v>19143</v>
      </c>
      <c r="G5453" t="s">
        <v>57</v>
      </c>
      <c r="H5453" t="s">
        <v>26</v>
      </c>
      <c r="I5453" t="s">
        <v>34</v>
      </c>
      <c r="J5453">
        <v>6.8479999999999999</v>
      </c>
      <c r="K5453">
        <v>2</v>
      </c>
      <c r="L5453">
        <v>0.2</v>
      </c>
      <c r="M5453">
        <v>0.77039999999999997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26</v>
      </c>
      <c r="I5454" t="s">
        <v>77</v>
      </c>
      <c r="J5454">
        <v>19.600000000000001</v>
      </c>
      <c r="K5454">
        <v>5</v>
      </c>
      <c r="L5454">
        <v>0</v>
      </c>
      <c r="M5454">
        <v>9.6039999999999992</v>
      </c>
    </row>
    <row r="5455" spans="1:13" x14ac:dyDescent="0.3">
      <c r="A5455" t="s">
        <v>28</v>
      </c>
      <c r="B5455" t="s">
        <v>14</v>
      </c>
      <c r="C5455" t="s">
        <v>15</v>
      </c>
      <c r="D5455" t="s">
        <v>239</v>
      </c>
      <c r="E5455" t="s">
        <v>43</v>
      </c>
      <c r="F5455">
        <v>98026</v>
      </c>
      <c r="G5455" t="s">
        <v>25</v>
      </c>
      <c r="H5455" t="s">
        <v>19</v>
      </c>
      <c r="I5455" t="s">
        <v>33</v>
      </c>
      <c r="J5455">
        <v>68.459999999999994</v>
      </c>
      <c r="K5455">
        <v>2</v>
      </c>
      <c r="L5455">
        <v>0</v>
      </c>
      <c r="M5455">
        <v>20.538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26</v>
      </c>
      <c r="I5456" t="s">
        <v>37</v>
      </c>
      <c r="J5456">
        <v>13.343999999999999</v>
      </c>
      <c r="K5456">
        <v>6</v>
      </c>
      <c r="L5456">
        <v>0.2</v>
      </c>
      <c r="M5456">
        <v>4.3368000000000002</v>
      </c>
    </row>
    <row r="5457" spans="1:13" x14ac:dyDescent="0.3">
      <c r="A5457" t="s">
        <v>13</v>
      </c>
      <c r="B5457" t="s">
        <v>14</v>
      </c>
      <c r="C5457" t="s">
        <v>15</v>
      </c>
      <c r="D5457" t="s">
        <v>52</v>
      </c>
      <c r="E5457" t="s">
        <v>24</v>
      </c>
      <c r="F5457">
        <v>94122</v>
      </c>
      <c r="G5457" t="s">
        <v>25</v>
      </c>
      <c r="H5457" t="s">
        <v>19</v>
      </c>
      <c r="I5457" t="s">
        <v>31</v>
      </c>
      <c r="J5457">
        <v>1478.2719999999999</v>
      </c>
      <c r="K5457">
        <v>8</v>
      </c>
      <c r="L5457">
        <v>0.2</v>
      </c>
      <c r="M5457">
        <v>92.391999999999996</v>
      </c>
    </row>
    <row r="5458" spans="1:13" x14ac:dyDescent="0.3">
      <c r="A5458" t="s">
        <v>28</v>
      </c>
      <c r="B5458" t="s">
        <v>22</v>
      </c>
      <c r="C5458" t="s">
        <v>15</v>
      </c>
      <c r="D5458" t="s">
        <v>236</v>
      </c>
      <c r="E5458" t="s">
        <v>40</v>
      </c>
      <c r="F5458">
        <v>28806</v>
      </c>
      <c r="G5458" t="s">
        <v>18</v>
      </c>
      <c r="H5458" t="s">
        <v>26</v>
      </c>
      <c r="I5458" t="s">
        <v>32</v>
      </c>
      <c r="J5458">
        <v>16.271999999999998</v>
      </c>
      <c r="K5458">
        <v>1</v>
      </c>
      <c r="L5458">
        <v>0.2</v>
      </c>
      <c r="M5458">
        <v>-3.8645999999999998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</v>
      </c>
      <c r="E5459" t="s">
        <v>24</v>
      </c>
      <c r="F5459">
        <v>90032</v>
      </c>
      <c r="G5459" t="s">
        <v>25</v>
      </c>
      <c r="H5459" t="s">
        <v>19</v>
      </c>
      <c r="I5459" t="s">
        <v>33</v>
      </c>
      <c r="J5459">
        <v>9.24</v>
      </c>
      <c r="K5459">
        <v>3</v>
      </c>
      <c r="L5459">
        <v>0</v>
      </c>
      <c r="M5459">
        <v>4.4352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37</v>
      </c>
      <c r="J5460">
        <v>32.340000000000003</v>
      </c>
      <c r="K5460">
        <v>10</v>
      </c>
      <c r="L5460">
        <v>0.7</v>
      </c>
      <c r="M5460">
        <v>-23.716000000000001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41</v>
      </c>
      <c r="J5461">
        <v>56.064</v>
      </c>
      <c r="K5461">
        <v>4</v>
      </c>
      <c r="L5461">
        <v>0.2</v>
      </c>
      <c r="M5461">
        <v>19.622399999999999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26</v>
      </c>
      <c r="I5462" t="s">
        <v>60</v>
      </c>
      <c r="J5462">
        <v>108.72</v>
      </c>
      <c r="K5462">
        <v>5</v>
      </c>
      <c r="L5462">
        <v>0.2</v>
      </c>
      <c r="M5462">
        <v>36.692999999999998</v>
      </c>
    </row>
    <row r="5463" spans="1:13" x14ac:dyDescent="0.3">
      <c r="A5463" t="s">
        <v>62</v>
      </c>
      <c r="B5463" t="s">
        <v>14</v>
      </c>
      <c r="C5463" t="s">
        <v>15</v>
      </c>
      <c r="D5463" t="s">
        <v>116</v>
      </c>
      <c r="E5463" t="s">
        <v>81</v>
      </c>
      <c r="F5463">
        <v>85254</v>
      </c>
      <c r="G5463" t="s">
        <v>25</v>
      </c>
      <c r="H5463" t="s">
        <v>19</v>
      </c>
      <c r="I5463" t="s">
        <v>20</v>
      </c>
      <c r="J5463">
        <v>181.47</v>
      </c>
      <c r="K5463">
        <v>5</v>
      </c>
      <c r="L5463">
        <v>0.7</v>
      </c>
      <c r="M5463">
        <v>-320.59699999999998</v>
      </c>
    </row>
    <row r="5464" spans="1:13" x14ac:dyDescent="0.3">
      <c r="A5464" t="s">
        <v>13</v>
      </c>
      <c r="B5464" t="s">
        <v>14</v>
      </c>
      <c r="C5464" t="s">
        <v>15</v>
      </c>
      <c r="D5464" t="s">
        <v>61</v>
      </c>
      <c r="E5464" t="s">
        <v>46</v>
      </c>
      <c r="F5464">
        <v>77095</v>
      </c>
      <c r="G5464" t="s">
        <v>47</v>
      </c>
      <c r="H5464" t="s">
        <v>26</v>
      </c>
      <c r="I5464" t="s">
        <v>41</v>
      </c>
      <c r="J5464">
        <v>16.175999999999998</v>
      </c>
      <c r="K5464">
        <v>3</v>
      </c>
      <c r="L5464">
        <v>0.2</v>
      </c>
      <c r="M5464">
        <v>6.0659999999999998</v>
      </c>
    </row>
    <row r="5465" spans="1:13" x14ac:dyDescent="0.3">
      <c r="A5465" t="s">
        <v>28</v>
      </c>
      <c r="B5465" t="s">
        <v>14</v>
      </c>
      <c r="C5465" t="s">
        <v>15</v>
      </c>
      <c r="D5465" t="s">
        <v>52</v>
      </c>
      <c r="E5465" t="s">
        <v>24</v>
      </c>
      <c r="F5465">
        <v>94109</v>
      </c>
      <c r="G5465" t="s">
        <v>25</v>
      </c>
      <c r="H5465" t="s">
        <v>19</v>
      </c>
      <c r="I5465" t="s">
        <v>21</v>
      </c>
      <c r="J5465">
        <v>122.352</v>
      </c>
      <c r="K5465">
        <v>3</v>
      </c>
      <c r="L5465">
        <v>0.2</v>
      </c>
      <c r="M5465">
        <v>13.7646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19</v>
      </c>
      <c r="I5466" t="s">
        <v>21</v>
      </c>
      <c r="J5466">
        <v>585.55200000000002</v>
      </c>
      <c r="K5466">
        <v>3</v>
      </c>
      <c r="L5466">
        <v>0.2</v>
      </c>
      <c r="M5466">
        <v>73.194000000000003</v>
      </c>
    </row>
    <row r="5467" spans="1:13" x14ac:dyDescent="0.3">
      <c r="A5467" t="s">
        <v>62</v>
      </c>
      <c r="B5467" t="s">
        <v>44</v>
      </c>
      <c r="C5467" t="s">
        <v>15</v>
      </c>
      <c r="D5467" t="s">
        <v>144</v>
      </c>
      <c r="E5467" t="s">
        <v>24</v>
      </c>
      <c r="F5467">
        <v>92105</v>
      </c>
      <c r="G5467" t="s">
        <v>25</v>
      </c>
      <c r="H5467" t="s">
        <v>26</v>
      </c>
      <c r="I5467" t="s">
        <v>41</v>
      </c>
      <c r="J5467">
        <v>19.440000000000001</v>
      </c>
      <c r="K5467">
        <v>3</v>
      </c>
      <c r="L5467">
        <v>0</v>
      </c>
      <c r="M5467">
        <v>9.3312000000000008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130</v>
      </c>
      <c r="E5468" t="s">
        <v>104</v>
      </c>
      <c r="F5468">
        <v>45011</v>
      </c>
      <c r="G5468" t="s">
        <v>57</v>
      </c>
      <c r="H5468" t="s">
        <v>26</v>
      </c>
      <c r="I5468" t="s">
        <v>38</v>
      </c>
      <c r="J5468">
        <v>123.92</v>
      </c>
      <c r="K5468">
        <v>5</v>
      </c>
      <c r="L5468">
        <v>0.2</v>
      </c>
      <c r="M5468">
        <v>9.2940000000000005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19</v>
      </c>
      <c r="I5469" t="s">
        <v>33</v>
      </c>
      <c r="J5469">
        <v>13.36</v>
      </c>
      <c r="K5469">
        <v>5</v>
      </c>
      <c r="L5469">
        <v>0.2</v>
      </c>
      <c r="M5469">
        <v>4.008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26</v>
      </c>
      <c r="I5470" t="s">
        <v>32</v>
      </c>
      <c r="J5470">
        <v>78.256</v>
      </c>
      <c r="K5470">
        <v>2</v>
      </c>
      <c r="L5470">
        <v>0.2</v>
      </c>
      <c r="M5470">
        <v>-17.607600000000001</v>
      </c>
    </row>
    <row r="5471" spans="1:13" x14ac:dyDescent="0.3">
      <c r="A5471" t="s">
        <v>28</v>
      </c>
      <c r="B5471" t="s">
        <v>14</v>
      </c>
      <c r="C5471" t="s">
        <v>15</v>
      </c>
      <c r="D5471" t="s">
        <v>199</v>
      </c>
      <c r="E5471" t="s">
        <v>98</v>
      </c>
      <c r="F5471">
        <v>80134</v>
      </c>
      <c r="G5471" t="s">
        <v>25</v>
      </c>
      <c r="H5471" t="s">
        <v>19</v>
      </c>
      <c r="I5471" t="s">
        <v>20</v>
      </c>
      <c r="J5471">
        <v>102.018</v>
      </c>
      <c r="K5471">
        <v>7</v>
      </c>
      <c r="L5471">
        <v>0.7</v>
      </c>
      <c r="M5471">
        <v>-183.63239999999999</v>
      </c>
    </row>
    <row r="5472" spans="1:13" x14ac:dyDescent="0.3">
      <c r="A5472" t="s">
        <v>168</v>
      </c>
      <c r="B5472" t="s">
        <v>22</v>
      </c>
      <c r="C5472" t="s">
        <v>15</v>
      </c>
      <c r="D5472" t="s">
        <v>53</v>
      </c>
      <c r="E5472" t="s">
        <v>54</v>
      </c>
      <c r="F5472">
        <v>68025</v>
      </c>
      <c r="G5472" t="s">
        <v>47</v>
      </c>
      <c r="H5472" t="s">
        <v>26</v>
      </c>
      <c r="I5472" t="s">
        <v>32</v>
      </c>
      <c r="J5472">
        <v>750.68</v>
      </c>
      <c r="K5472">
        <v>2</v>
      </c>
      <c r="L5472">
        <v>0</v>
      </c>
      <c r="M5472">
        <v>37.533999999999999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27</v>
      </c>
      <c r="J5473">
        <v>44.4</v>
      </c>
      <c r="K5473">
        <v>3</v>
      </c>
      <c r="L5473">
        <v>0</v>
      </c>
      <c r="M5473">
        <v>22.2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32</v>
      </c>
      <c r="J5474">
        <v>84.55</v>
      </c>
      <c r="K5474">
        <v>5</v>
      </c>
      <c r="L5474">
        <v>0</v>
      </c>
      <c r="M5474">
        <v>22.828499999999998</v>
      </c>
    </row>
    <row r="5475" spans="1:13" x14ac:dyDescent="0.3">
      <c r="A5475" t="s">
        <v>62</v>
      </c>
      <c r="B5475" t="s">
        <v>44</v>
      </c>
      <c r="C5475" t="s">
        <v>15</v>
      </c>
      <c r="D5475" t="s">
        <v>439</v>
      </c>
      <c r="E5475" t="s">
        <v>68</v>
      </c>
      <c r="F5475">
        <v>55369</v>
      </c>
      <c r="G5475" t="s">
        <v>47</v>
      </c>
      <c r="H5475" t="s">
        <v>26</v>
      </c>
      <c r="I5475" t="s">
        <v>41</v>
      </c>
      <c r="J5475">
        <v>17.940000000000001</v>
      </c>
      <c r="K5475">
        <v>3</v>
      </c>
      <c r="L5475">
        <v>0</v>
      </c>
      <c r="M5475">
        <v>8.7905999999999995</v>
      </c>
    </row>
    <row r="5476" spans="1:13" x14ac:dyDescent="0.3">
      <c r="A5476" t="s">
        <v>28</v>
      </c>
      <c r="B5476" t="s">
        <v>14</v>
      </c>
      <c r="C5476" t="s">
        <v>15</v>
      </c>
      <c r="D5476" t="s">
        <v>114</v>
      </c>
      <c r="E5476" t="s">
        <v>72</v>
      </c>
      <c r="F5476">
        <v>19711</v>
      </c>
      <c r="G5476" t="s">
        <v>57</v>
      </c>
      <c r="H5476" t="s">
        <v>26</v>
      </c>
      <c r="I5476" t="s">
        <v>37</v>
      </c>
      <c r="J5476">
        <v>128.4</v>
      </c>
      <c r="K5476">
        <v>3</v>
      </c>
      <c r="L5476">
        <v>0</v>
      </c>
      <c r="M5476">
        <v>62.915999999999997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180</v>
      </c>
      <c r="E5477" t="s">
        <v>30</v>
      </c>
      <c r="F5477">
        <v>33180</v>
      </c>
      <c r="G5477" t="s">
        <v>18</v>
      </c>
      <c r="H5477" t="s">
        <v>26</v>
      </c>
      <c r="I5477" t="s">
        <v>37</v>
      </c>
      <c r="J5477">
        <v>1.869</v>
      </c>
      <c r="K5477">
        <v>1</v>
      </c>
      <c r="L5477">
        <v>0.7</v>
      </c>
      <c r="M5477">
        <v>-1.3083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36</v>
      </c>
      <c r="J5478">
        <v>103.19199999999999</v>
      </c>
      <c r="K5478">
        <v>1</v>
      </c>
      <c r="L5478">
        <v>0.2</v>
      </c>
      <c r="M5478">
        <v>11.6091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36</v>
      </c>
      <c r="K5479">
        <v>2</v>
      </c>
      <c r="L5479">
        <v>0</v>
      </c>
      <c r="M5479">
        <v>6.48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35</v>
      </c>
      <c r="I5480" t="s">
        <v>59</v>
      </c>
      <c r="J5480">
        <v>239.96</v>
      </c>
      <c r="K5480">
        <v>4</v>
      </c>
      <c r="L5480">
        <v>0</v>
      </c>
      <c r="M5480">
        <v>115.1808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144</v>
      </c>
      <c r="E5481" t="s">
        <v>24</v>
      </c>
      <c r="F5481">
        <v>92105</v>
      </c>
      <c r="G5481" t="s">
        <v>25</v>
      </c>
      <c r="H5481" t="s">
        <v>26</v>
      </c>
      <c r="I5481" t="s">
        <v>32</v>
      </c>
      <c r="J5481">
        <v>40.68</v>
      </c>
      <c r="K5481">
        <v>2</v>
      </c>
      <c r="L5481">
        <v>0</v>
      </c>
      <c r="M5481">
        <v>0.40679999999999999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33142</v>
      </c>
      <c r="G5482" t="s">
        <v>18</v>
      </c>
      <c r="H5482" t="s">
        <v>19</v>
      </c>
      <c r="I5482" t="s">
        <v>21</v>
      </c>
      <c r="J5482">
        <v>419.13600000000002</v>
      </c>
      <c r="K5482">
        <v>4</v>
      </c>
      <c r="L5482">
        <v>0.2</v>
      </c>
      <c r="M5482">
        <v>-68.1096</v>
      </c>
    </row>
    <row r="5483" spans="1:13" x14ac:dyDescent="0.3">
      <c r="A5483" t="s">
        <v>28</v>
      </c>
      <c r="B5483" t="s">
        <v>14</v>
      </c>
      <c r="C5483" t="s">
        <v>15</v>
      </c>
      <c r="D5483" t="s">
        <v>180</v>
      </c>
      <c r="E5483" t="s">
        <v>30</v>
      </c>
      <c r="F5483">
        <v>33178</v>
      </c>
      <c r="G5483" t="s">
        <v>18</v>
      </c>
      <c r="H5483" t="s">
        <v>26</v>
      </c>
      <c r="I5483" t="s">
        <v>60</v>
      </c>
      <c r="J5483">
        <v>23.472000000000001</v>
      </c>
      <c r="K5483">
        <v>3</v>
      </c>
      <c r="L5483">
        <v>0.2</v>
      </c>
      <c r="M5483">
        <v>7.6284000000000001</v>
      </c>
    </row>
    <row r="5484" spans="1:13" x14ac:dyDescent="0.3">
      <c r="A5484" t="s">
        <v>28</v>
      </c>
      <c r="B5484" t="s">
        <v>44</v>
      </c>
      <c r="C5484" t="s">
        <v>15</v>
      </c>
      <c r="D5484" t="s">
        <v>122</v>
      </c>
      <c r="E5484" t="s">
        <v>46</v>
      </c>
      <c r="F5484">
        <v>78207</v>
      </c>
      <c r="G5484" t="s">
        <v>47</v>
      </c>
      <c r="H5484" t="s">
        <v>26</v>
      </c>
      <c r="I5484" t="s">
        <v>37</v>
      </c>
      <c r="J5484">
        <v>3.5920000000000001</v>
      </c>
      <c r="K5484">
        <v>4</v>
      </c>
      <c r="L5484">
        <v>0.8</v>
      </c>
      <c r="M5484">
        <v>-6.2859999999999996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35</v>
      </c>
      <c r="I5485" t="s">
        <v>36</v>
      </c>
      <c r="J5485">
        <v>23.975999999999999</v>
      </c>
      <c r="K5485">
        <v>3</v>
      </c>
      <c r="L5485">
        <v>0.2</v>
      </c>
      <c r="M5485">
        <v>-5.6943000000000001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27</v>
      </c>
      <c r="J5486">
        <v>6.2640000000000002</v>
      </c>
      <c r="K5486">
        <v>3</v>
      </c>
      <c r="L5486">
        <v>0.2</v>
      </c>
      <c r="M5486">
        <v>2.0358000000000001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26</v>
      </c>
      <c r="I5487" t="s">
        <v>38</v>
      </c>
      <c r="J5487">
        <v>20.808</v>
      </c>
      <c r="K5487">
        <v>3</v>
      </c>
      <c r="L5487">
        <v>0.2</v>
      </c>
      <c r="M5487">
        <v>1.8207</v>
      </c>
    </row>
    <row r="5488" spans="1:13" x14ac:dyDescent="0.3">
      <c r="A5488" t="s">
        <v>13</v>
      </c>
      <c r="B5488" t="s">
        <v>22</v>
      </c>
      <c r="C5488" t="s">
        <v>15</v>
      </c>
      <c r="D5488" t="s">
        <v>189</v>
      </c>
      <c r="E5488" t="s">
        <v>30</v>
      </c>
      <c r="F5488">
        <v>32216</v>
      </c>
      <c r="G5488" t="s">
        <v>18</v>
      </c>
      <c r="H5488" t="s">
        <v>19</v>
      </c>
      <c r="I5488" t="s">
        <v>21</v>
      </c>
      <c r="J5488">
        <v>218.352</v>
      </c>
      <c r="K5488">
        <v>3</v>
      </c>
      <c r="L5488">
        <v>0.2</v>
      </c>
      <c r="M5488">
        <v>-19.105799999999999</v>
      </c>
    </row>
    <row r="5489" spans="1:13" x14ac:dyDescent="0.3">
      <c r="A5489" t="s">
        <v>62</v>
      </c>
      <c r="B5489" t="s">
        <v>14</v>
      </c>
      <c r="C5489" t="s">
        <v>15</v>
      </c>
      <c r="D5489" t="s">
        <v>61</v>
      </c>
      <c r="E5489" t="s">
        <v>46</v>
      </c>
      <c r="F5489">
        <v>77070</v>
      </c>
      <c r="G5489" t="s">
        <v>47</v>
      </c>
      <c r="H5489" t="s">
        <v>26</v>
      </c>
      <c r="I5489" t="s">
        <v>32</v>
      </c>
      <c r="J5489">
        <v>18.16</v>
      </c>
      <c r="K5489">
        <v>2</v>
      </c>
      <c r="L5489">
        <v>0.2</v>
      </c>
      <c r="M5489">
        <v>1.8160000000000001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110</v>
      </c>
      <c r="J5490">
        <v>7.36</v>
      </c>
      <c r="K5490">
        <v>2</v>
      </c>
      <c r="L5490">
        <v>0</v>
      </c>
      <c r="M5490">
        <v>0.1472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26</v>
      </c>
      <c r="I5491" t="s">
        <v>27</v>
      </c>
      <c r="J5491">
        <v>41.4</v>
      </c>
      <c r="K5491">
        <v>4</v>
      </c>
      <c r="L5491">
        <v>0</v>
      </c>
      <c r="M5491">
        <v>19.872</v>
      </c>
    </row>
    <row r="5492" spans="1:13" x14ac:dyDescent="0.3">
      <c r="A5492" t="s">
        <v>168</v>
      </c>
      <c r="B5492" t="s">
        <v>44</v>
      </c>
      <c r="C5492" t="s">
        <v>15</v>
      </c>
      <c r="D5492" t="s">
        <v>52</v>
      </c>
      <c r="E5492" t="s">
        <v>24</v>
      </c>
      <c r="F5492">
        <v>94122</v>
      </c>
      <c r="G5492" t="s">
        <v>25</v>
      </c>
      <c r="H5492" t="s">
        <v>19</v>
      </c>
      <c r="I5492" t="s">
        <v>20</v>
      </c>
      <c r="J5492">
        <v>411.33199999999999</v>
      </c>
      <c r="K5492">
        <v>4</v>
      </c>
      <c r="L5492">
        <v>0.15</v>
      </c>
      <c r="M5492">
        <v>-4.8391999999999999</v>
      </c>
    </row>
    <row r="5493" spans="1:13" x14ac:dyDescent="0.3">
      <c r="A5493" t="s">
        <v>28</v>
      </c>
      <c r="B5493" t="s">
        <v>22</v>
      </c>
      <c r="C5493" t="s">
        <v>15</v>
      </c>
      <c r="D5493" t="s">
        <v>55</v>
      </c>
      <c r="E5493" t="s">
        <v>56</v>
      </c>
      <c r="F5493">
        <v>19140</v>
      </c>
      <c r="G5493" t="s">
        <v>57</v>
      </c>
      <c r="H5493" t="s">
        <v>26</v>
      </c>
      <c r="I5493" t="s">
        <v>37</v>
      </c>
      <c r="J5493">
        <v>7.6559999999999997</v>
      </c>
      <c r="K5493">
        <v>4</v>
      </c>
      <c r="L5493">
        <v>0.7</v>
      </c>
      <c r="M5493">
        <v>-6.1247999999999996</v>
      </c>
    </row>
    <row r="5494" spans="1:13" x14ac:dyDescent="0.3">
      <c r="A5494" t="s">
        <v>28</v>
      </c>
      <c r="B5494" t="s">
        <v>14</v>
      </c>
      <c r="C5494" t="s">
        <v>15</v>
      </c>
      <c r="D5494" t="s">
        <v>378</v>
      </c>
      <c r="E5494" t="s">
        <v>104</v>
      </c>
      <c r="F5494">
        <v>43302</v>
      </c>
      <c r="G5494" t="s">
        <v>57</v>
      </c>
      <c r="H5494" t="s">
        <v>35</v>
      </c>
      <c r="I5494" t="s">
        <v>59</v>
      </c>
      <c r="J5494">
        <v>63.92</v>
      </c>
      <c r="K5494">
        <v>2</v>
      </c>
      <c r="L5494">
        <v>0.2</v>
      </c>
      <c r="M5494">
        <v>19.175999999999998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34</v>
      </c>
      <c r="J5495">
        <v>6.56</v>
      </c>
      <c r="K5495">
        <v>2</v>
      </c>
      <c r="L5495">
        <v>0</v>
      </c>
      <c r="M5495">
        <v>1.9024000000000001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26</v>
      </c>
      <c r="I5496" t="s">
        <v>27</v>
      </c>
      <c r="J5496">
        <v>7.83</v>
      </c>
      <c r="K5496">
        <v>3</v>
      </c>
      <c r="L5496">
        <v>0</v>
      </c>
      <c r="M5496">
        <v>3.6017999999999999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35</v>
      </c>
      <c r="I5497" t="s">
        <v>59</v>
      </c>
      <c r="J5497">
        <v>41.9</v>
      </c>
      <c r="K5497">
        <v>2</v>
      </c>
      <c r="L5497">
        <v>0</v>
      </c>
      <c r="M5497">
        <v>8.7989999999999995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19</v>
      </c>
      <c r="I5498" t="s">
        <v>21</v>
      </c>
      <c r="J5498">
        <v>664.14599999999996</v>
      </c>
      <c r="K5498">
        <v>6</v>
      </c>
      <c r="L5498">
        <v>0.1</v>
      </c>
      <c r="M5498">
        <v>88.552800000000005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41</v>
      </c>
      <c r="J5499">
        <v>8.9600000000000009</v>
      </c>
      <c r="K5499">
        <v>2</v>
      </c>
      <c r="L5499">
        <v>0</v>
      </c>
      <c r="M5499">
        <v>4.3903999999999996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19</v>
      </c>
      <c r="I5500" t="s">
        <v>33</v>
      </c>
      <c r="J5500">
        <v>3.3119999999999998</v>
      </c>
      <c r="K5500">
        <v>1</v>
      </c>
      <c r="L5500">
        <v>0.2</v>
      </c>
      <c r="M5500">
        <v>0.66239999999999999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38</v>
      </c>
      <c r="J5501">
        <v>20.135999999999999</v>
      </c>
      <c r="K5501">
        <v>3</v>
      </c>
      <c r="L5501">
        <v>0.2</v>
      </c>
      <c r="M5501">
        <v>1.2585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26</v>
      </c>
      <c r="I5502" t="s">
        <v>60</v>
      </c>
      <c r="J5502">
        <v>8.8559999999999999</v>
      </c>
      <c r="K5502">
        <v>3</v>
      </c>
      <c r="L5502">
        <v>0.2</v>
      </c>
      <c r="M5502">
        <v>2.8782000000000001</v>
      </c>
    </row>
    <row r="5503" spans="1:13" x14ac:dyDescent="0.3">
      <c r="A5503" t="s">
        <v>28</v>
      </c>
      <c r="B5503" t="s">
        <v>22</v>
      </c>
      <c r="C5503" t="s">
        <v>15</v>
      </c>
      <c r="D5503" t="s">
        <v>55</v>
      </c>
      <c r="E5503" t="s">
        <v>56</v>
      </c>
      <c r="F5503">
        <v>19140</v>
      </c>
      <c r="G5503" t="s">
        <v>57</v>
      </c>
      <c r="H5503" t="s">
        <v>35</v>
      </c>
      <c r="I5503" t="s">
        <v>36</v>
      </c>
      <c r="J5503">
        <v>859.2</v>
      </c>
      <c r="K5503">
        <v>4</v>
      </c>
      <c r="L5503">
        <v>0.4</v>
      </c>
      <c r="M5503">
        <v>-186.16</v>
      </c>
    </row>
    <row r="5504" spans="1:13" x14ac:dyDescent="0.3">
      <c r="A5504" t="s">
        <v>168</v>
      </c>
      <c r="B5504" t="s">
        <v>14</v>
      </c>
      <c r="C5504" t="s">
        <v>15</v>
      </c>
      <c r="D5504" t="s">
        <v>23</v>
      </c>
      <c r="E5504" t="s">
        <v>24</v>
      </c>
      <c r="F5504">
        <v>90036</v>
      </c>
      <c r="G5504" t="s">
        <v>25</v>
      </c>
      <c r="H5504" t="s">
        <v>26</v>
      </c>
      <c r="I5504" t="s">
        <v>41</v>
      </c>
      <c r="J5504">
        <v>61.96</v>
      </c>
      <c r="K5504">
        <v>2</v>
      </c>
      <c r="L5504">
        <v>0</v>
      </c>
      <c r="M5504">
        <v>27.882000000000001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299</v>
      </c>
      <c r="E5505" t="s">
        <v>167</v>
      </c>
      <c r="F5505">
        <v>30080</v>
      </c>
      <c r="G5505" t="s">
        <v>18</v>
      </c>
      <c r="H5505" t="s">
        <v>26</v>
      </c>
      <c r="I5505" t="s">
        <v>60</v>
      </c>
      <c r="J5505">
        <v>17.920000000000002</v>
      </c>
      <c r="K5505">
        <v>4</v>
      </c>
      <c r="L5505">
        <v>0</v>
      </c>
      <c r="M5505">
        <v>8.6015999999999995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52</v>
      </c>
      <c r="E5506" t="s">
        <v>24</v>
      </c>
      <c r="F5506">
        <v>94122</v>
      </c>
      <c r="G5506" t="s">
        <v>25</v>
      </c>
      <c r="H5506" t="s">
        <v>19</v>
      </c>
      <c r="I5506" t="s">
        <v>33</v>
      </c>
      <c r="J5506">
        <v>145.9</v>
      </c>
      <c r="K5506">
        <v>5</v>
      </c>
      <c r="L5506">
        <v>0</v>
      </c>
      <c r="M5506">
        <v>62.737000000000002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26</v>
      </c>
      <c r="I5507" t="s">
        <v>41</v>
      </c>
      <c r="J5507">
        <v>56.704000000000001</v>
      </c>
      <c r="K5507">
        <v>2</v>
      </c>
      <c r="L5507">
        <v>0.2</v>
      </c>
      <c r="M5507">
        <v>19.137599999999999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79</v>
      </c>
      <c r="E5508" t="s">
        <v>65</v>
      </c>
      <c r="F5508">
        <v>60653</v>
      </c>
      <c r="G5508" t="s">
        <v>47</v>
      </c>
      <c r="H5508" t="s">
        <v>35</v>
      </c>
      <c r="I5508" t="s">
        <v>36</v>
      </c>
      <c r="J5508">
        <v>11.12</v>
      </c>
      <c r="K5508">
        <v>2</v>
      </c>
      <c r="L5508">
        <v>0.2</v>
      </c>
      <c r="M5508">
        <v>3.4750000000000001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32.896000000000001</v>
      </c>
      <c r="K5509">
        <v>4</v>
      </c>
      <c r="L5509">
        <v>0.2</v>
      </c>
      <c r="M5509">
        <v>11.102399999999999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347</v>
      </c>
      <c r="E5510" t="s">
        <v>95</v>
      </c>
      <c r="F5510">
        <v>97504</v>
      </c>
      <c r="G5510" t="s">
        <v>25</v>
      </c>
      <c r="H5510" t="s">
        <v>26</v>
      </c>
      <c r="I5510" t="s">
        <v>41</v>
      </c>
      <c r="J5510">
        <v>22.776</v>
      </c>
      <c r="K5510">
        <v>3</v>
      </c>
      <c r="L5510">
        <v>0.2</v>
      </c>
      <c r="M5510">
        <v>7.6868999999999996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35</v>
      </c>
      <c r="I5511" t="s">
        <v>36</v>
      </c>
      <c r="J5511">
        <v>239.97</v>
      </c>
      <c r="K5511">
        <v>3</v>
      </c>
      <c r="L5511">
        <v>0</v>
      </c>
      <c r="M5511">
        <v>2.3997000000000002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26</v>
      </c>
      <c r="I5512" t="s">
        <v>38</v>
      </c>
      <c r="J5512">
        <v>160.32</v>
      </c>
      <c r="K5512">
        <v>2</v>
      </c>
      <c r="L5512">
        <v>0</v>
      </c>
      <c r="M5512">
        <v>44.889600000000002</v>
      </c>
    </row>
    <row r="5513" spans="1:13" x14ac:dyDescent="0.3">
      <c r="A5513" t="s">
        <v>62</v>
      </c>
      <c r="B5513" t="s">
        <v>14</v>
      </c>
      <c r="C5513" t="s">
        <v>15</v>
      </c>
      <c r="D5513" t="s">
        <v>75</v>
      </c>
      <c r="E5513" t="s">
        <v>76</v>
      </c>
      <c r="F5513">
        <v>10009</v>
      </c>
      <c r="G5513" t="s">
        <v>57</v>
      </c>
      <c r="H5513" t="s">
        <v>35</v>
      </c>
      <c r="I5513" t="s">
        <v>36</v>
      </c>
      <c r="J5513">
        <v>128.85</v>
      </c>
      <c r="K5513">
        <v>3</v>
      </c>
      <c r="L5513">
        <v>0</v>
      </c>
      <c r="M5513">
        <v>3.8654999999999999</v>
      </c>
    </row>
    <row r="5514" spans="1:13" x14ac:dyDescent="0.3">
      <c r="A5514" t="s">
        <v>13</v>
      </c>
      <c r="B5514" t="s">
        <v>22</v>
      </c>
      <c r="C5514" t="s">
        <v>15</v>
      </c>
      <c r="D5514" t="s">
        <v>195</v>
      </c>
      <c r="E5514" t="s">
        <v>88</v>
      </c>
      <c r="F5514">
        <v>35810</v>
      </c>
      <c r="G5514" t="s">
        <v>18</v>
      </c>
      <c r="H5514" t="s">
        <v>35</v>
      </c>
      <c r="I5514" t="s">
        <v>59</v>
      </c>
      <c r="J5514">
        <v>1319.96</v>
      </c>
      <c r="K5514">
        <v>4</v>
      </c>
      <c r="L5514">
        <v>0</v>
      </c>
      <c r="M5514">
        <v>527.98400000000004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21</v>
      </c>
      <c r="J5515">
        <v>239.96</v>
      </c>
      <c r="K5515">
        <v>10</v>
      </c>
      <c r="L5515">
        <v>0.3</v>
      </c>
      <c r="M5515">
        <v>-10.284000000000001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19</v>
      </c>
      <c r="I5516" t="s">
        <v>33</v>
      </c>
      <c r="J5516">
        <v>54.768000000000001</v>
      </c>
      <c r="K5516">
        <v>2</v>
      </c>
      <c r="L5516">
        <v>0.2</v>
      </c>
      <c r="M5516">
        <v>6.8460000000000001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34</v>
      </c>
      <c r="J5517">
        <v>13.391999999999999</v>
      </c>
      <c r="K5517">
        <v>3</v>
      </c>
      <c r="L5517">
        <v>0.2</v>
      </c>
      <c r="M5517">
        <v>3.1806000000000001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26</v>
      </c>
      <c r="I5518" t="s">
        <v>41</v>
      </c>
      <c r="J5518">
        <v>23.92</v>
      </c>
      <c r="K5518">
        <v>5</v>
      </c>
      <c r="L5518">
        <v>0.2</v>
      </c>
      <c r="M5518">
        <v>8.6709999999999994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35</v>
      </c>
      <c r="I5519" t="s">
        <v>59</v>
      </c>
      <c r="J5519">
        <v>255.96799999999999</v>
      </c>
      <c r="K5519">
        <v>4</v>
      </c>
      <c r="L5519">
        <v>0.2</v>
      </c>
      <c r="M5519">
        <v>-28.796399999999998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37</v>
      </c>
      <c r="J5520">
        <v>21.552</v>
      </c>
      <c r="K5520">
        <v>6</v>
      </c>
      <c r="L5520">
        <v>0.2</v>
      </c>
      <c r="M5520">
        <v>7.0044000000000004</v>
      </c>
    </row>
    <row r="5521" spans="1:13" x14ac:dyDescent="0.3">
      <c r="A5521" t="s">
        <v>62</v>
      </c>
      <c r="B5521" t="s">
        <v>14</v>
      </c>
      <c r="C5521" t="s">
        <v>15</v>
      </c>
      <c r="D5521" t="s">
        <v>142</v>
      </c>
      <c r="E5521" t="s">
        <v>24</v>
      </c>
      <c r="F5521">
        <v>95051</v>
      </c>
      <c r="G5521" t="s">
        <v>25</v>
      </c>
      <c r="H5521" t="s">
        <v>26</v>
      </c>
      <c r="I5521" t="s">
        <v>38</v>
      </c>
      <c r="J5521">
        <v>58.24</v>
      </c>
      <c r="K5521">
        <v>4</v>
      </c>
      <c r="L5521">
        <v>0</v>
      </c>
      <c r="M5521">
        <v>15.7248</v>
      </c>
    </row>
    <row r="5522" spans="1:13" x14ac:dyDescent="0.3">
      <c r="A5522" t="s">
        <v>62</v>
      </c>
      <c r="B5522" t="s">
        <v>44</v>
      </c>
      <c r="C5522" t="s">
        <v>15</v>
      </c>
      <c r="D5522" t="s">
        <v>159</v>
      </c>
      <c r="E5522" t="s">
        <v>24</v>
      </c>
      <c r="F5522">
        <v>90805</v>
      </c>
      <c r="G5522" t="s">
        <v>25</v>
      </c>
      <c r="H5522" t="s">
        <v>26</v>
      </c>
      <c r="I5522" t="s">
        <v>41</v>
      </c>
      <c r="J5522">
        <v>80.28</v>
      </c>
      <c r="K5522">
        <v>12</v>
      </c>
      <c r="L5522">
        <v>0</v>
      </c>
      <c r="M5522">
        <v>36.928800000000003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23</v>
      </c>
      <c r="E5523" t="s">
        <v>24</v>
      </c>
      <c r="F5523">
        <v>90008</v>
      </c>
      <c r="G5523" t="s">
        <v>25</v>
      </c>
      <c r="H5523" t="s">
        <v>26</v>
      </c>
      <c r="I5523" t="s">
        <v>34</v>
      </c>
      <c r="J5523">
        <v>9.7799999999999994</v>
      </c>
      <c r="K5523">
        <v>2</v>
      </c>
      <c r="L5523">
        <v>0</v>
      </c>
      <c r="M5523">
        <v>4.0098000000000003</v>
      </c>
    </row>
    <row r="5524" spans="1:13" x14ac:dyDescent="0.3">
      <c r="A5524" t="s">
        <v>28</v>
      </c>
      <c r="B5524" t="s">
        <v>44</v>
      </c>
      <c r="C5524" t="s">
        <v>15</v>
      </c>
      <c r="D5524" t="s">
        <v>534</v>
      </c>
      <c r="E5524" t="s">
        <v>24</v>
      </c>
      <c r="F5524">
        <v>93101</v>
      </c>
      <c r="G5524" t="s">
        <v>25</v>
      </c>
      <c r="H5524" t="s">
        <v>26</v>
      </c>
      <c r="I5524" t="s">
        <v>77</v>
      </c>
      <c r="J5524">
        <v>1.81</v>
      </c>
      <c r="K5524">
        <v>1</v>
      </c>
      <c r="L5524">
        <v>0</v>
      </c>
      <c r="M5524">
        <v>0.65159999999999996</v>
      </c>
    </row>
    <row r="5525" spans="1:13" x14ac:dyDescent="0.3">
      <c r="A5525" t="s">
        <v>62</v>
      </c>
      <c r="B5525" t="s">
        <v>44</v>
      </c>
      <c r="C5525" t="s">
        <v>15</v>
      </c>
      <c r="D5525" t="s">
        <v>75</v>
      </c>
      <c r="E5525" t="s">
        <v>76</v>
      </c>
      <c r="F5525">
        <v>10009</v>
      </c>
      <c r="G5525" t="s">
        <v>57</v>
      </c>
      <c r="H5525" t="s">
        <v>26</v>
      </c>
      <c r="I5525" t="s">
        <v>41</v>
      </c>
      <c r="J5525">
        <v>37.94</v>
      </c>
      <c r="K5525">
        <v>2</v>
      </c>
      <c r="L5525">
        <v>0</v>
      </c>
      <c r="M5525">
        <v>18.211200000000002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189</v>
      </c>
      <c r="E5526" t="s">
        <v>30</v>
      </c>
      <c r="F5526">
        <v>32216</v>
      </c>
      <c r="G5526" t="s">
        <v>18</v>
      </c>
      <c r="H5526" t="s">
        <v>35</v>
      </c>
      <c r="I5526" t="s">
        <v>36</v>
      </c>
      <c r="J5526">
        <v>79.959999999999994</v>
      </c>
      <c r="K5526">
        <v>5</v>
      </c>
      <c r="L5526">
        <v>0.2</v>
      </c>
      <c r="M5526">
        <v>27.986000000000001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535</v>
      </c>
      <c r="E5527" t="s">
        <v>46</v>
      </c>
      <c r="F5527">
        <v>75104</v>
      </c>
      <c r="G5527" t="s">
        <v>47</v>
      </c>
      <c r="H5527" t="s">
        <v>26</v>
      </c>
      <c r="I5527" t="s">
        <v>41</v>
      </c>
      <c r="J5527">
        <v>115.29600000000001</v>
      </c>
      <c r="K5527">
        <v>3</v>
      </c>
      <c r="L5527">
        <v>0.2</v>
      </c>
      <c r="M5527">
        <v>40.3536</v>
      </c>
    </row>
    <row r="5528" spans="1:13" x14ac:dyDescent="0.3">
      <c r="A5528" t="s">
        <v>28</v>
      </c>
      <c r="B5528" t="s">
        <v>14</v>
      </c>
      <c r="C5528" t="s">
        <v>15</v>
      </c>
      <c r="D5528" t="s">
        <v>238</v>
      </c>
      <c r="E5528" t="s">
        <v>54</v>
      </c>
      <c r="F5528">
        <v>68104</v>
      </c>
      <c r="G5528" t="s">
        <v>47</v>
      </c>
      <c r="H5528" t="s">
        <v>35</v>
      </c>
      <c r="I5528" t="s">
        <v>36</v>
      </c>
      <c r="J5528">
        <v>2479.96</v>
      </c>
      <c r="K5528">
        <v>4</v>
      </c>
      <c r="L5528">
        <v>0</v>
      </c>
      <c r="M5528">
        <v>743.98800000000006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179.94</v>
      </c>
      <c r="K5529">
        <v>6</v>
      </c>
      <c r="L5529">
        <v>0</v>
      </c>
      <c r="M5529">
        <v>75.574799999999996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26.85</v>
      </c>
      <c r="K5530">
        <v>3</v>
      </c>
      <c r="L5530">
        <v>0</v>
      </c>
      <c r="M5530">
        <v>5.1014999999999997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35</v>
      </c>
      <c r="I5531" t="s">
        <v>59</v>
      </c>
      <c r="J5531">
        <v>323.37</v>
      </c>
      <c r="K5531">
        <v>3</v>
      </c>
      <c r="L5531">
        <v>0</v>
      </c>
      <c r="M5531">
        <v>129.34800000000001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41</v>
      </c>
      <c r="J5532">
        <v>59.94</v>
      </c>
      <c r="K5532">
        <v>3</v>
      </c>
      <c r="L5532">
        <v>0</v>
      </c>
      <c r="M5532">
        <v>28.171800000000001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64.14</v>
      </c>
      <c r="K5533">
        <v>3</v>
      </c>
      <c r="L5533">
        <v>0</v>
      </c>
      <c r="M5533">
        <v>30.787199999999999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37</v>
      </c>
      <c r="J5534">
        <v>11.67</v>
      </c>
      <c r="K5534">
        <v>3</v>
      </c>
      <c r="L5534">
        <v>0</v>
      </c>
      <c r="M5534">
        <v>5.6016000000000004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26</v>
      </c>
      <c r="I5535" t="s">
        <v>41</v>
      </c>
      <c r="J5535">
        <v>12.96</v>
      </c>
      <c r="K5535">
        <v>2</v>
      </c>
      <c r="L5535">
        <v>0</v>
      </c>
      <c r="M5535">
        <v>6.2207999999999997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536</v>
      </c>
      <c r="E5536" t="s">
        <v>54</v>
      </c>
      <c r="F5536">
        <v>68701</v>
      </c>
      <c r="G5536" t="s">
        <v>47</v>
      </c>
      <c r="H5536" t="s">
        <v>26</v>
      </c>
      <c r="I5536" t="s">
        <v>37</v>
      </c>
      <c r="J5536">
        <v>17.43</v>
      </c>
      <c r="K5536">
        <v>3</v>
      </c>
      <c r="L5536">
        <v>0</v>
      </c>
      <c r="M5536">
        <v>8.0177999999999994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19</v>
      </c>
      <c r="I5537" t="s">
        <v>21</v>
      </c>
      <c r="J5537">
        <v>181.98599999999999</v>
      </c>
      <c r="K5537">
        <v>2</v>
      </c>
      <c r="L5537">
        <v>0.3</v>
      </c>
      <c r="M5537">
        <v>-54.595799999999997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37</v>
      </c>
      <c r="J5538">
        <v>1.5920000000000001</v>
      </c>
      <c r="K5538">
        <v>2</v>
      </c>
      <c r="L5538">
        <v>0.8</v>
      </c>
      <c r="M5538">
        <v>-2.6267999999999998</v>
      </c>
    </row>
    <row r="5539" spans="1:13" x14ac:dyDescent="0.3">
      <c r="A5539" t="s">
        <v>28</v>
      </c>
      <c r="B5539" t="s">
        <v>14</v>
      </c>
      <c r="C5539" t="s">
        <v>15</v>
      </c>
      <c r="D5539" t="s">
        <v>79</v>
      </c>
      <c r="E5539" t="s">
        <v>65</v>
      </c>
      <c r="F5539">
        <v>60653</v>
      </c>
      <c r="G5539" t="s">
        <v>47</v>
      </c>
      <c r="H5539" t="s">
        <v>26</v>
      </c>
      <c r="I5539" t="s">
        <v>110</v>
      </c>
      <c r="J5539">
        <v>22.344000000000001</v>
      </c>
      <c r="K5539">
        <v>3</v>
      </c>
      <c r="L5539">
        <v>0.2</v>
      </c>
      <c r="M5539">
        <v>2.5137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19</v>
      </c>
      <c r="I5540" t="s">
        <v>31</v>
      </c>
      <c r="J5540">
        <v>455.97</v>
      </c>
      <c r="K5540">
        <v>6</v>
      </c>
      <c r="L5540">
        <v>0.5</v>
      </c>
      <c r="M5540">
        <v>-218.8656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10.44</v>
      </c>
      <c r="K5541">
        <v>6</v>
      </c>
      <c r="L5541">
        <v>0.7</v>
      </c>
      <c r="M5541">
        <v>-7.6559999999999997</v>
      </c>
    </row>
    <row r="5542" spans="1:13" x14ac:dyDescent="0.3">
      <c r="A5542" t="s">
        <v>28</v>
      </c>
      <c r="B5542" t="s">
        <v>22</v>
      </c>
      <c r="C5542" t="s">
        <v>15</v>
      </c>
      <c r="D5542" t="s">
        <v>171</v>
      </c>
      <c r="E5542" t="s">
        <v>81</v>
      </c>
      <c r="F5542">
        <v>85705</v>
      </c>
      <c r="G5542" t="s">
        <v>25</v>
      </c>
      <c r="H5542" t="s">
        <v>26</v>
      </c>
      <c r="I5542" t="s">
        <v>37</v>
      </c>
      <c r="J5542">
        <v>5.2140000000000004</v>
      </c>
      <c r="K5542">
        <v>2</v>
      </c>
      <c r="L5542">
        <v>0.7</v>
      </c>
      <c r="M5542">
        <v>-4.1711999999999998</v>
      </c>
    </row>
    <row r="5543" spans="1:13" x14ac:dyDescent="0.3">
      <c r="A5543" t="s">
        <v>28</v>
      </c>
      <c r="B5543" t="s">
        <v>44</v>
      </c>
      <c r="C5543" t="s">
        <v>15</v>
      </c>
      <c r="D5543" t="s">
        <v>39</v>
      </c>
      <c r="E5543" t="s">
        <v>247</v>
      </c>
      <c r="F5543">
        <v>3301</v>
      </c>
      <c r="G5543" t="s">
        <v>57</v>
      </c>
      <c r="H5543" t="s">
        <v>26</v>
      </c>
      <c r="I5543" t="s">
        <v>32</v>
      </c>
      <c r="J5543">
        <v>67.400000000000006</v>
      </c>
      <c r="K5543">
        <v>5</v>
      </c>
      <c r="L5543">
        <v>0</v>
      </c>
      <c r="M5543">
        <v>17.524000000000001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19</v>
      </c>
      <c r="I5544" t="s">
        <v>33</v>
      </c>
      <c r="J5544">
        <v>25.16</v>
      </c>
      <c r="K5544">
        <v>2</v>
      </c>
      <c r="L5544">
        <v>0</v>
      </c>
      <c r="M5544">
        <v>10.5672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537</v>
      </c>
      <c r="E5545" t="s">
        <v>51</v>
      </c>
      <c r="F5545">
        <v>84020</v>
      </c>
      <c r="G5545" t="s">
        <v>25</v>
      </c>
      <c r="H5545" t="s">
        <v>35</v>
      </c>
      <c r="I5545" t="s">
        <v>36</v>
      </c>
      <c r="J5545">
        <v>126.56</v>
      </c>
      <c r="K5545">
        <v>4</v>
      </c>
      <c r="L5545">
        <v>0.2</v>
      </c>
      <c r="M5545">
        <v>47.46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26</v>
      </c>
      <c r="I5546" t="s">
        <v>38</v>
      </c>
      <c r="J5546">
        <v>43.68</v>
      </c>
      <c r="K5546">
        <v>3</v>
      </c>
      <c r="L5546">
        <v>0</v>
      </c>
      <c r="M5546">
        <v>11.7936</v>
      </c>
    </row>
    <row r="5547" spans="1:13" x14ac:dyDescent="0.3">
      <c r="A5547" t="s">
        <v>62</v>
      </c>
      <c r="B5547" t="s">
        <v>14</v>
      </c>
      <c r="C5547" t="s">
        <v>15</v>
      </c>
      <c r="D5547" t="s">
        <v>52</v>
      </c>
      <c r="E5547" t="s">
        <v>24</v>
      </c>
      <c r="F5547">
        <v>94109</v>
      </c>
      <c r="G5547" t="s">
        <v>25</v>
      </c>
      <c r="H5547" t="s">
        <v>35</v>
      </c>
      <c r="I5547" t="s">
        <v>59</v>
      </c>
      <c r="J5547">
        <v>139.93</v>
      </c>
      <c r="K5547">
        <v>7</v>
      </c>
      <c r="L5547">
        <v>0</v>
      </c>
      <c r="M5547">
        <v>34.982500000000002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34</v>
      </c>
      <c r="J5548">
        <v>2.6720000000000002</v>
      </c>
      <c r="K5548">
        <v>1</v>
      </c>
      <c r="L5548">
        <v>0.2</v>
      </c>
      <c r="M5548">
        <v>0.33400000000000002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26</v>
      </c>
      <c r="I5549" t="s">
        <v>110</v>
      </c>
      <c r="J5549">
        <v>16.655999999999999</v>
      </c>
      <c r="K5549">
        <v>6</v>
      </c>
      <c r="L5549">
        <v>0.2</v>
      </c>
      <c r="M5549">
        <v>-3.1230000000000002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35</v>
      </c>
      <c r="I5550" t="s">
        <v>59</v>
      </c>
      <c r="J5550">
        <v>79.512</v>
      </c>
      <c r="K5550">
        <v>3</v>
      </c>
      <c r="L5550">
        <v>0.2</v>
      </c>
      <c r="M5550">
        <v>20.8719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26</v>
      </c>
      <c r="I5551" t="s">
        <v>41</v>
      </c>
      <c r="J5551">
        <v>36.287999999999997</v>
      </c>
      <c r="K5551">
        <v>7</v>
      </c>
      <c r="L5551">
        <v>0.2</v>
      </c>
      <c r="M5551">
        <v>12.700799999999999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19</v>
      </c>
      <c r="I5552" t="s">
        <v>20</v>
      </c>
      <c r="J5552">
        <v>67.993200000000002</v>
      </c>
      <c r="K5552">
        <v>1</v>
      </c>
      <c r="L5552">
        <v>0.32</v>
      </c>
      <c r="M5552">
        <v>-12.998699999999999</v>
      </c>
    </row>
    <row r="5553" spans="1:13" x14ac:dyDescent="0.3">
      <c r="A5553" t="s">
        <v>13</v>
      </c>
      <c r="B5553" t="s">
        <v>22</v>
      </c>
      <c r="C5553" t="s">
        <v>15</v>
      </c>
      <c r="D5553" t="s">
        <v>205</v>
      </c>
      <c r="E5553" t="s">
        <v>88</v>
      </c>
      <c r="F5553">
        <v>36116</v>
      </c>
      <c r="G5553" t="s">
        <v>18</v>
      </c>
      <c r="H5553" t="s">
        <v>19</v>
      </c>
      <c r="I5553" t="s">
        <v>33</v>
      </c>
      <c r="J5553">
        <v>10.16</v>
      </c>
      <c r="K5553">
        <v>2</v>
      </c>
      <c r="L5553">
        <v>0</v>
      </c>
      <c r="M5553">
        <v>3.4544000000000001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19</v>
      </c>
      <c r="I5554" t="s">
        <v>33</v>
      </c>
      <c r="J5554">
        <v>6.16</v>
      </c>
      <c r="K5554">
        <v>2</v>
      </c>
      <c r="L5554">
        <v>0</v>
      </c>
      <c r="M5554">
        <v>1.9712000000000001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84</v>
      </c>
      <c r="E5555" t="s">
        <v>185</v>
      </c>
      <c r="F5555">
        <v>39212</v>
      </c>
      <c r="G5555" t="s">
        <v>18</v>
      </c>
      <c r="H5555" t="s">
        <v>26</v>
      </c>
      <c r="I5555" t="s">
        <v>34</v>
      </c>
      <c r="J5555">
        <v>56.3</v>
      </c>
      <c r="K5555">
        <v>2</v>
      </c>
      <c r="L5555">
        <v>0</v>
      </c>
      <c r="M5555">
        <v>15.763999999999999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41</v>
      </c>
      <c r="J5556">
        <v>6.48</v>
      </c>
      <c r="K5556">
        <v>1</v>
      </c>
      <c r="L5556">
        <v>0</v>
      </c>
      <c r="M5556">
        <v>3.1103999999999998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32</v>
      </c>
      <c r="J5557">
        <v>1325.85</v>
      </c>
      <c r="K5557">
        <v>5</v>
      </c>
      <c r="L5557">
        <v>0</v>
      </c>
      <c r="M5557">
        <v>238.65299999999999</v>
      </c>
    </row>
    <row r="5558" spans="1:13" x14ac:dyDescent="0.3">
      <c r="A5558" t="s">
        <v>28</v>
      </c>
      <c r="B5558" t="s">
        <v>14</v>
      </c>
      <c r="C5558" t="s">
        <v>15</v>
      </c>
      <c r="D5558" t="s">
        <v>311</v>
      </c>
      <c r="E5558" t="s">
        <v>177</v>
      </c>
      <c r="F5558">
        <v>89031</v>
      </c>
      <c r="G5558" t="s">
        <v>25</v>
      </c>
      <c r="H5558" t="s">
        <v>26</v>
      </c>
      <c r="I5558" t="s">
        <v>27</v>
      </c>
      <c r="J5558">
        <v>14.94</v>
      </c>
      <c r="K5558">
        <v>3</v>
      </c>
      <c r="L5558">
        <v>0</v>
      </c>
      <c r="M5558">
        <v>6.8723999999999998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26</v>
      </c>
      <c r="I5559" t="s">
        <v>37</v>
      </c>
      <c r="J5559">
        <v>34.54</v>
      </c>
      <c r="K5559">
        <v>1</v>
      </c>
      <c r="L5559">
        <v>0</v>
      </c>
      <c r="M5559">
        <v>17.27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35</v>
      </c>
      <c r="I5560" t="s">
        <v>162</v>
      </c>
      <c r="J5560">
        <v>2999.95</v>
      </c>
      <c r="K5560">
        <v>5</v>
      </c>
      <c r="L5560">
        <v>0</v>
      </c>
      <c r="M5560">
        <v>1439.9760000000001</v>
      </c>
    </row>
    <row r="5561" spans="1:13" x14ac:dyDescent="0.3">
      <c r="A5561" t="s">
        <v>13</v>
      </c>
      <c r="B5561" t="s">
        <v>22</v>
      </c>
      <c r="C5561" t="s">
        <v>15</v>
      </c>
      <c r="D5561" t="s">
        <v>200</v>
      </c>
      <c r="E5561" t="s">
        <v>167</v>
      </c>
      <c r="F5561">
        <v>30318</v>
      </c>
      <c r="G5561" t="s">
        <v>18</v>
      </c>
      <c r="H5561" t="s">
        <v>26</v>
      </c>
      <c r="I5561" t="s">
        <v>37</v>
      </c>
      <c r="J5561">
        <v>64.12</v>
      </c>
      <c r="K5561">
        <v>4</v>
      </c>
      <c r="L5561">
        <v>0</v>
      </c>
      <c r="M5561">
        <v>30.7776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26</v>
      </c>
      <c r="I5562" t="s">
        <v>34</v>
      </c>
      <c r="J5562">
        <v>19.456</v>
      </c>
      <c r="K5562">
        <v>4</v>
      </c>
      <c r="L5562">
        <v>0.2</v>
      </c>
      <c r="M5562">
        <v>2.1888000000000001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35</v>
      </c>
      <c r="I5563" t="s">
        <v>123</v>
      </c>
      <c r="J5563">
        <v>209.98599999999999</v>
      </c>
      <c r="K5563">
        <v>2</v>
      </c>
      <c r="L5563">
        <v>0.3</v>
      </c>
      <c r="M5563">
        <v>8.9993999999999996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26</v>
      </c>
      <c r="I5564" t="s">
        <v>34</v>
      </c>
      <c r="J5564">
        <v>29.76</v>
      </c>
      <c r="K5564">
        <v>5</v>
      </c>
      <c r="L5564">
        <v>0.2</v>
      </c>
      <c r="M5564">
        <v>1.86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19</v>
      </c>
      <c r="I5565" t="s">
        <v>21</v>
      </c>
      <c r="J5565">
        <v>89.768000000000001</v>
      </c>
      <c r="K5565">
        <v>1</v>
      </c>
      <c r="L5565">
        <v>0.3</v>
      </c>
      <c r="M5565">
        <v>-2.5648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35</v>
      </c>
      <c r="I5566" t="s">
        <v>162</v>
      </c>
      <c r="J5566">
        <v>959.98400000000004</v>
      </c>
      <c r="K5566">
        <v>2</v>
      </c>
      <c r="L5566">
        <v>0.2</v>
      </c>
      <c r="M5566">
        <v>335.99439999999998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26</v>
      </c>
      <c r="I5567" t="s">
        <v>41</v>
      </c>
      <c r="J5567">
        <v>15.552</v>
      </c>
      <c r="K5567">
        <v>3</v>
      </c>
      <c r="L5567">
        <v>0.2</v>
      </c>
      <c r="M5567">
        <v>5.6375999999999999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35</v>
      </c>
      <c r="I5568" t="s">
        <v>36</v>
      </c>
      <c r="J5568">
        <v>34.36</v>
      </c>
      <c r="K5568">
        <v>1</v>
      </c>
      <c r="L5568">
        <v>0.2</v>
      </c>
      <c r="M5568">
        <v>-7.3014999999999999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41</v>
      </c>
      <c r="J5569">
        <v>98.376000000000005</v>
      </c>
      <c r="K5569">
        <v>3</v>
      </c>
      <c r="L5569">
        <v>0.2</v>
      </c>
      <c r="M5569">
        <v>35.661299999999997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37</v>
      </c>
      <c r="J5570">
        <v>29.94</v>
      </c>
      <c r="K5570">
        <v>4</v>
      </c>
      <c r="L5570">
        <v>0.7</v>
      </c>
      <c r="M5570">
        <v>-23.952000000000002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26</v>
      </c>
      <c r="I5571" t="s">
        <v>41</v>
      </c>
      <c r="J5571">
        <v>17.472000000000001</v>
      </c>
      <c r="K5571">
        <v>3</v>
      </c>
      <c r="L5571">
        <v>0.2</v>
      </c>
      <c r="M5571">
        <v>5.6783999999999999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36.738</v>
      </c>
      <c r="K5572">
        <v>1</v>
      </c>
      <c r="L5572">
        <v>0.4</v>
      </c>
      <c r="M5572">
        <v>-9.1844999999999999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35</v>
      </c>
      <c r="I5573" t="s">
        <v>36</v>
      </c>
      <c r="J5573">
        <v>179.94</v>
      </c>
      <c r="K5573">
        <v>2</v>
      </c>
      <c r="L5573">
        <v>0.4</v>
      </c>
      <c r="M5573">
        <v>-44.984999999999999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19</v>
      </c>
      <c r="I5574" t="s">
        <v>33</v>
      </c>
      <c r="J5574">
        <v>383.64</v>
      </c>
      <c r="K5574">
        <v>6</v>
      </c>
      <c r="L5574">
        <v>0</v>
      </c>
      <c r="M5574">
        <v>122.76479999999999</v>
      </c>
    </row>
    <row r="5575" spans="1:13" x14ac:dyDescent="0.3">
      <c r="A5575" t="s">
        <v>28</v>
      </c>
      <c r="B5575" t="s">
        <v>14</v>
      </c>
      <c r="C5575" t="s">
        <v>15</v>
      </c>
      <c r="D5575" t="s">
        <v>113</v>
      </c>
      <c r="E5575" t="s">
        <v>24</v>
      </c>
      <c r="F5575">
        <v>91104</v>
      </c>
      <c r="G5575" t="s">
        <v>25</v>
      </c>
      <c r="H5575" t="s">
        <v>26</v>
      </c>
      <c r="I5575" t="s">
        <v>38</v>
      </c>
      <c r="J5575">
        <v>56.52</v>
      </c>
      <c r="K5575">
        <v>3</v>
      </c>
      <c r="L5575">
        <v>0</v>
      </c>
      <c r="M5575">
        <v>15.8256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26</v>
      </c>
      <c r="I5576" t="s">
        <v>34</v>
      </c>
      <c r="J5576">
        <v>6.56</v>
      </c>
      <c r="K5576">
        <v>2</v>
      </c>
      <c r="L5576">
        <v>0</v>
      </c>
      <c r="M5576">
        <v>1.9024000000000001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19</v>
      </c>
      <c r="I5577" t="s">
        <v>21</v>
      </c>
      <c r="J5577">
        <v>243.92</v>
      </c>
      <c r="K5577">
        <v>5</v>
      </c>
      <c r="L5577">
        <v>0.2</v>
      </c>
      <c r="M5577">
        <v>-15.244999999999999</v>
      </c>
    </row>
    <row r="5578" spans="1:13" x14ac:dyDescent="0.3">
      <c r="A5578" t="s">
        <v>13</v>
      </c>
      <c r="B5578" t="s">
        <v>14</v>
      </c>
      <c r="C5578" t="s">
        <v>15</v>
      </c>
      <c r="D5578" t="s">
        <v>23</v>
      </c>
      <c r="E5578" t="s">
        <v>24</v>
      </c>
      <c r="F5578">
        <v>90004</v>
      </c>
      <c r="G5578" t="s">
        <v>25</v>
      </c>
      <c r="H5578" t="s">
        <v>26</v>
      </c>
      <c r="I5578" t="s">
        <v>41</v>
      </c>
      <c r="J5578">
        <v>47.52</v>
      </c>
      <c r="K5578">
        <v>9</v>
      </c>
      <c r="L5578">
        <v>0</v>
      </c>
      <c r="M5578">
        <v>22.8096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268</v>
      </c>
      <c r="E5579" t="s">
        <v>248</v>
      </c>
      <c r="F5579">
        <v>20735</v>
      </c>
      <c r="G5579" t="s">
        <v>57</v>
      </c>
      <c r="H5579" t="s">
        <v>19</v>
      </c>
      <c r="I5579" t="s">
        <v>33</v>
      </c>
      <c r="J5579">
        <v>19.98</v>
      </c>
      <c r="K5579">
        <v>1</v>
      </c>
      <c r="L5579">
        <v>0</v>
      </c>
      <c r="M5579">
        <v>8.5914000000000001</v>
      </c>
    </row>
    <row r="5580" spans="1:13" x14ac:dyDescent="0.3">
      <c r="A5580" t="s">
        <v>28</v>
      </c>
      <c r="B5580" t="s">
        <v>44</v>
      </c>
      <c r="C5580" t="s">
        <v>15</v>
      </c>
      <c r="D5580" t="s">
        <v>75</v>
      </c>
      <c r="E5580" t="s">
        <v>76</v>
      </c>
      <c r="F5580">
        <v>10024</v>
      </c>
      <c r="G5580" t="s">
        <v>57</v>
      </c>
      <c r="H5580" t="s">
        <v>26</v>
      </c>
      <c r="I5580" t="s">
        <v>34</v>
      </c>
      <c r="J5580">
        <v>8</v>
      </c>
      <c r="K5580">
        <v>5</v>
      </c>
      <c r="L5580">
        <v>0</v>
      </c>
      <c r="M5580">
        <v>3.44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144</v>
      </c>
      <c r="E5581" t="s">
        <v>24</v>
      </c>
      <c r="F5581">
        <v>92037</v>
      </c>
      <c r="G5581" t="s">
        <v>25</v>
      </c>
      <c r="H5581" t="s">
        <v>19</v>
      </c>
      <c r="I5581" t="s">
        <v>33</v>
      </c>
      <c r="J5581">
        <v>6.16</v>
      </c>
      <c r="K5581">
        <v>2</v>
      </c>
      <c r="L5581">
        <v>0</v>
      </c>
      <c r="M5581">
        <v>1.9712000000000001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26</v>
      </c>
      <c r="I5582" t="s">
        <v>32</v>
      </c>
      <c r="J5582">
        <v>83.56</v>
      </c>
      <c r="K5582">
        <v>4</v>
      </c>
      <c r="L5582">
        <v>0</v>
      </c>
      <c r="M5582">
        <v>1.6712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35</v>
      </c>
      <c r="I5583" t="s">
        <v>36</v>
      </c>
      <c r="J5583">
        <v>546.05999999999995</v>
      </c>
      <c r="K5583">
        <v>3</v>
      </c>
      <c r="L5583">
        <v>0</v>
      </c>
      <c r="M5583">
        <v>163.81800000000001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10011</v>
      </c>
      <c r="G5584" t="s">
        <v>57</v>
      </c>
      <c r="H5584" t="s">
        <v>26</v>
      </c>
      <c r="I5584" t="s">
        <v>32</v>
      </c>
      <c r="J5584">
        <v>269.49</v>
      </c>
      <c r="K5584">
        <v>3</v>
      </c>
      <c r="L5584">
        <v>0</v>
      </c>
      <c r="M5584">
        <v>5.3898000000000001</v>
      </c>
    </row>
    <row r="5585" spans="1:13" x14ac:dyDescent="0.3">
      <c r="A5585" t="s">
        <v>62</v>
      </c>
      <c r="B5585" t="s">
        <v>14</v>
      </c>
      <c r="C5585" t="s">
        <v>15</v>
      </c>
      <c r="D5585" t="s">
        <v>235</v>
      </c>
      <c r="E5585" t="s">
        <v>24</v>
      </c>
      <c r="F5585">
        <v>93534</v>
      </c>
      <c r="G5585" t="s">
        <v>25</v>
      </c>
      <c r="H5585" t="s">
        <v>26</v>
      </c>
      <c r="I5585" t="s">
        <v>77</v>
      </c>
      <c r="J5585">
        <v>10.9</v>
      </c>
      <c r="K5585">
        <v>5</v>
      </c>
      <c r="L5585">
        <v>0</v>
      </c>
      <c r="M5585">
        <v>3.597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202</v>
      </c>
      <c r="E5586" t="s">
        <v>203</v>
      </c>
      <c r="F5586">
        <v>59405</v>
      </c>
      <c r="G5586" t="s">
        <v>25</v>
      </c>
      <c r="H5586" t="s">
        <v>26</v>
      </c>
      <c r="I5586" t="s">
        <v>37</v>
      </c>
      <c r="J5586">
        <v>6.0960000000000001</v>
      </c>
      <c r="K5586">
        <v>2</v>
      </c>
      <c r="L5586">
        <v>0.2</v>
      </c>
      <c r="M5586">
        <v>2.2098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34.049999999999997</v>
      </c>
      <c r="K5587">
        <v>3</v>
      </c>
      <c r="L5587">
        <v>0</v>
      </c>
      <c r="M5587">
        <v>9.5340000000000007</v>
      </c>
    </row>
    <row r="5588" spans="1:13" x14ac:dyDescent="0.3">
      <c r="A5588" t="s">
        <v>13</v>
      </c>
      <c r="B5588" t="s">
        <v>14</v>
      </c>
      <c r="C5588" t="s">
        <v>15</v>
      </c>
      <c r="D5588" t="s">
        <v>52</v>
      </c>
      <c r="E5588" t="s">
        <v>24</v>
      </c>
      <c r="F5588">
        <v>94110</v>
      </c>
      <c r="G5588" t="s">
        <v>25</v>
      </c>
      <c r="H5588" t="s">
        <v>26</v>
      </c>
      <c r="I5588" t="s">
        <v>32</v>
      </c>
      <c r="J5588">
        <v>352.38</v>
      </c>
      <c r="K5588">
        <v>2</v>
      </c>
      <c r="L5588">
        <v>0</v>
      </c>
      <c r="M5588">
        <v>81.047399999999996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19</v>
      </c>
      <c r="I5589" t="s">
        <v>21</v>
      </c>
      <c r="J5589">
        <v>245.98</v>
      </c>
      <c r="K5589">
        <v>2</v>
      </c>
      <c r="L5589">
        <v>0</v>
      </c>
      <c r="M5589">
        <v>27.0578</v>
      </c>
    </row>
    <row r="5590" spans="1:13" x14ac:dyDescent="0.3">
      <c r="A5590" t="s">
        <v>13</v>
      </c>
      <c r="B5590" t="s">
        <v>22</v>
      </c>
      <c r="C5590" t="s">
        <v>15</v>
      </c>
      <c r="D5590" t="s">
        <v>154</v>
      </c>
      <c r="E5590" t="s">
        <v>132</v>
      </c>
      <c r="F5590">
        <v>8701</v>
      </c>
      <c r="G5590" t="s">
        <v>57</v>
      </c>
      <c r="H5590" t="s">
        <v>26</v>
      </c>
      <c r="I5590" t="s">
        <v>37</v>
      </c>
      <c r="J5590">
        <v>18.940000000000001</v>
      </c>
      <c r="K5590">
        <v>1</v>
      </c>
      <c r="L5590">
        <v>0</v>
      </c>
      <c r="M5590">
        <v>9.4700000000000006</v>
      </c>
    </row>
    <row r="5591" spans="1:13" x14ac:dyDescent="0.3">
      <c r="A5591" t="s">
        <v>28</v>
      </c>
      <c r="B5591" t="s">
        <v>14</v>
      </c>
      <c r="C5591" t="s">
        <v>15</v>
      </c>
      <c r="D5591" t="s">
        <v>221</v>
      </c>
      <c r="E5591" t="s">
        <v>104</v>
      </c>
      <c r="F5591">
        <v>44105</v>
      </c>
      <c r="G5591" t="s">
        <v>57</v>
      </c>
      <c r="H5591" t="s">
        <v>26</v>
      </c>
      <c r="I5591" t="s">
        <v>37</v>
      </c>
      <c r="J5591">
        <v>59.912999999999997</v>
      </c>
      <c r="K5591">
        <v>7</v>
      </c>
      <c r="L5591">
        <v>0.7</v>
      </c>
      <c r="M5591">
        <v>-45.933300000000003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391.98</v>
      </c>
      <c r="K5592">
        <v>2</v>
      </c>
      <c r="L5592">
        <v>0</v>
      </c>
      <c r="M5592">
        <v>109.7544</v>
      </c>
    </row>
    <row r="5593" spans="1:13" x14ac:dyDescent="0.3">
      <c r="A5593" t="s">
        <v>168</v>
      </c>
      <c r="B5593" t="s">
        <v>22</v>
      </c>
      <c r="C5593" t="s">
        <v>15</v>
      </c>
      <c r="D5593" t="s">
        <v>184</v>
      </c>
      <c r="E5593" t="s">
        <v>166</v>
      </c>
      <c r="F5593">
        <v>1841</v>
      </c>
      <c r="G5593" t="s">
        <v>57</v>
      </c>
      <c r="H5593" t="s">
        <v>35</v>
      </c>
      <c r="I5593" t="s">
        <v>36</v>
      </c>
      <c r="J5593">
        <v>437.85</v>
      </c>
      <c r="K5593">
        <v>3</v>
      </c>
      <c r="L5593">
        <v>0</v>
      </c>
      <c r="M5593">
        <v>131.35499999999999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39</v>
      </c>
      <c r="E5594" t="s">
        <v>247</v>
      </c>
      <c r="F5594">
        <v>3301</v>
      </c>
      <c r="G5594" t="s">
        <v>57</v>
      </c>
      <c r="H5594" t="s">
        <v>26</v>
      </c>
      <c r="I5594" t="s">
        <v>37</v>
      </c>
      <c r="J5594">
        <v>68.62</v>
      </c>
      <c r="K5594">
        <v>2</v>
      </c>
      <c r="L5594">
        <v>0</v>
      </c>
      <c r="M5594">
        <v>32.251399999999997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110</v>
      </c>
      <c r="J5595">
        <v>25.02</v>
      </c>
      <c r="K5595">
        <v>3</v>
      </c>
      <c r="L5595">
        <v>0</v>
      </c>
      <c r="M5595">
        <v>6.5052000000000003</v>
      </c>
    </row>
    <row r="5596" spans="1:13" x14ac:dyDescent="0.3">
      <c r="A5596" t="s">
        <v>28</v>
      </c>
      <c r="B5596" t="s">
        <v>14</v>
      </c>
      <c r="C5596" t="s">
        <v>15</v>
      </c>
      <c r="D5596" t="s">
        <v>333</v>
      </c>
      <c r="E5596" t="s">
        <v>248</v>
      </c>
      <c r="F5596">
        <v>21215</v>
      </c>
      <c r="G5596" t="s">
        <v>57</v>
      </c>
      <c r="H5596" t="s">
        <v>26</v>
      </c>
      <c r="I5596" t="s">
        <v>34</v>
      </c>
      <c r="J5596">
        <v>10.71</v>
      </c>
      <c r="K5596">
        <v>3</v>
      </c>
      <c r="L5596">
        <v>0</v>
      </c>
      <c r="M5596">
        <v>2.7846000000000002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34</v>
      </c>
      <c r="J5597">
        <v>55.984000000000002</v>
      </c>
      <c r="K5597">
        <v>2</v>
      </c>
      <c r="L5597">
        <v>0.2</v>
      </c>
      <c r="M5597">
        <v>4.1988000000000003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26</v>
      </c>
      <c r="I5598" t="s">
        <v>60</v>
      </c>
      <c r="J5598">
        <v>14.48</v>
      </c>
      <c r="K5598">
        <v>5</v>
      </c>
      <c r="L5598">
        <v>0.2</v>
      </c>
      <c r="M5598">
        <v>4.8869999999999996</v>
      </c>
    </row>
    <row r="5599" spans="1:13" x14ac:dyDescent="0.3">
      <c r="A5599" t="s">
        <v>168</v>
      </c>
      <c r="B5599" t="s">
        <v>14</v>
      </c>
      <c r="C5599" t="s">
        <v>15</v>
      </c>
      <c r="D5599" t="s">
        <v>103</v>
      </c>
      <c r="E5599" t="s">
        <v>104</v>
      </c>
      <c r="F5599">
        <v>43229</v>
      </c>
      <c r="G5599" t="s">
        <v>57</v>
      </c>
      <c r="H5599" t="s">
        <v>35</v>
      </c>
      <c r="I5599" t="s">
        <v>59</v>
      </c>
      <c r="J5599">
        <v>142.488</v>
      </c>
      <c r="K5599">
        <v>3</v>
      </c>
      <c r="L5599">
        <v>0.2</v>
      </c>
      <c r="M5599">
        <v>-3.5621999999999998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32</v>
      </c>
      <c r="J5600">
        <v>14.16</v>
      </c>
      <c r="K5600">
        <v>1</v>
      </c>
      <c r="L5600">
        <v>0.2</v>
      </c>
      <c r="M5600">
        <v>1.0620000000000001</v>
      </c>
    </row>
    <row r="5601" spans="1:13" x14ac:dyDescent="0.3">
      <c r="A5601" t="s">
        <v>13</v>
      </c>
      <c r="B5601" t="s">
        <v>22</v>
      </c>
      <c r="C5601" t="s">
        <v>15</v>
      </c>
      <c r="D5601" t="s">
        <v>61</v>
      </c>
      <c r="E5601" t="s">
        <v>46</v>
      </c>
      <c r="F5601">
        <v>77041</v>
      </c>
      <c r="G5601" t="s">
        <v>47</v>
      </c>
      <c r="H5601" t="s">
        <v>26</v>
      </c>
      <c r="I5601" t="s">
        <v>41</v>
      </c>
      <c r="J5601">
        <v>79.92</v>
      </c>
      <c r="K5601">
        <v>5</v>
      </c>
      <c r="L5601">
        <v>0.2</v>
      </c>
      <c r="M5601">
        <v>27.972000000000001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75</v>
      </c>
      <c r="E5602" t="s">
        <v>76</v>
      </c>
      <c r="F5602">
        <v>10011</v>
      </c>
      <c r="G5602" t="s">
        <v>57</v>
      </c>
      <c r="H5602" t="s">
        <v>26</v>
      </c>
      <c r="I5602" t="s">
        <v>37</v>
      </c>
      <c r="J5602">
        <v>590.35199999999998</v>
      </c>
      <c r="K5602">
        <v>6</v>
      </c>
      <c r="L5602">
        <v>0.2</v>
      </c>
      <c r="M5602">
        <v>206.6232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33</v>
      </c>
      <c r="J5603">
        <v>17.088000000000001</v>
      </c>
      <c r="K5603">
        <v>2</v>
      </c>
      <c r="L5603">
        <v>0.2</v>
      </c>
      <c r="M5603">
        <v>1.0680000000000001</v>
      </c>
    </row>
    <row r="5604" spans="1:13" x14ac:dyDescent="0.3">
      <c r="A5604" t="s">
        <v>28</v>
      </c>
      <c r="B5604" t="s">
        <v>22</v>
      </c>
      <c r="C5604" t="s">
        <v>15</v>
      </c>
      <c r="D5604" t="s">
        <v>332</v>
      </c>
      <c r="E5604" t="s">
        <v>40</v>
      </c>
      <c r="F5604">
        <v>27405</v>
      </c>
      <c r="G5604" t="s">
        <v>18</v>
      </c>
      <c r="H5604" t="s">
        <v>19</v>
      </c>
      <c r="I5604" t="s">
        <v>21</v>
      </c>
      <c r="J5604">
        <v>98.391999999999996</v>
      </c>
      <c r="K5604">
        <v>1</v>
      </c>
      <c r="L5604">
        <v>0.2</v>
      </c>
      <c r="M5604">
        <v>-11.069100000000001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75</v>
      </c>
      <c r="E5605" t="s">
        <v>76</v>
      </c>
      <c r="F5605">
        <v>10024</v>
      </c>
      <c r="G5605" t="s">
        <v>57</v>
      </c>
      <c r="H5605" t="s">
        <v>26</v>
      </c>
      <c r="I5605" t="s">
        <v>34</v>
      </c>
      <c r="J5605">
        <v>11.05</v>
      </c>
      <c r="K5605">
        <v>5</v>
      </c>
      <c r="L5605">
        <v>0</v>
      </c>
      <c r="M5605">
        <v>2.9834999999999998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52</v>
      </c>
      <c r="E5606" t="s">
        <v>24</v>
      </c>
      <c r="F5606">
        <v>94109</v>
      </c>
      <c r="G5606" t="s">
        <v>25</v>
      </c>
      <c r="H5606" t="s">
        <v>26</v>
      </c>
      <c r="I5606" t="s">
        <v>38</v>
      </c>
      <c r="J5606">
        <v>7.78</v>
      </c>
      <c r="K5606">
        <v>2</v>
      </c>
      <c r="L5606">
        <v>0</v>
      </c>
      <c r="M5606">
        <v>2.0228000000000002</v>
      </c>
    </row>
    <row r="5607" spans="1:13" x14ac:dyDescent="0.3">
      <c r="A5607" t="s">
        <v>28</v>
      </c>
      <c r="B5607" t="s">
        <v>14</v>
      </c>
      <c r="C5607" t="s">
        <v>15</v>
      </c>
      <c r="D5607" t="s">
        <v>124</v>
      </c>
      <c r="E5607" t="s">
        <v>125</v>
      </c>
      <c r="F5607">
        <v>71203</v>
      </c>
      <c r="G5607" t="s">
        <v>18</v>
      </c>
      <c r="H5607" t="s">
        <v>35</v>
      </c>
      <c r="I5607" t="s">
        <v>59</v>
      </c>
      <c r="J5607">
        <v>659.9</v>
      </c>
      <c r="K5607">
        <v>2</v>
      </c>
      <c r="L5607">
        <v>0</v>
      </c>
      <c r="M5607">
        <v>217.767</v>
      </c>
    </row>
    <row r="5608" spans="1:13" x14ac:dyDescent="0.3">
      <c r="A5608" t="s">
        <v>62</v>
      </c>
      <c r="B5608" t="s">
        <v>14</v>
      </c>
      <c r="C5608" t="s">
        <v>15</v>
      </c>
      <c r="D5608" t="s">
        <v>148</v>
      </c>
      <c r="E5608" t="s">
        <v>104</v>
      </c>
      <c r="F5608">
        <v>45231</v>
      </c>
      <c r="G5608" t="s">
        <v>57</v>
      </c>
      <c r="H5608" t="s">
        <v>35</v>
      </c>
      <c r="I5608" t="s">
        <v>59</v>
      </c>
      <c r="J5608">
        <v>53.04</v>
      </c>
      <c r="K5608">
        <v>3</v>
      </c>
      <c r="L5608">
        <v>0.2</v>
      </c>
      <c r="M5608">
        <v>-4.641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843.9</v>
      </c>
      <c r="K5609">
        <v>2</v>
      </c>
      <c r="L5609">
        <v>0</v>
      </c>
      <c r="M5609">
        <v>371.31599999999997</v>
      </c>
    </row>
    <row r="5610" spans="1:13" x14ac:dyDescent="0.3">
      <c r="A5610" t="s">
        <v>28</v>
      </c>
      <c r="B5610" t="s">
        <v>22</v>
      </c>
      <c r="C5610" t="s">
        <v>15</v>
      </c>
      <c r="D5610" t="s">
        <v>42</v>
      </c>
      <c r="E5610" t="s">
        <v>43</v>
      </c>
      <c r="F5610">
        <v>98105</v>
      </c>
      <c r="G5610" t="s">
        <v>25</v>
      </c>
      <c r="H5610" t="s">
        <v>35</v>
      </c>
      <c r="I5610" t="s">
        <v>59</v>
      </c>
      <c r="J5610">
        <v>1496.16</v>
      </c>
      <c r="K5610">
        <v>9</v>
      </c>
      <c r="L5610">
        <v>0</v>
      </c>
      <c r="M5610">
        <v>224.42400000000001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75</v>
      </c>
      <c r="E5611" t="s">
        <v>76</v>
      </c>
      <c r="F5611">
        <v>10011</v>
      </c>
      <c r="G5611" t="s">
        <v>57</v>
      </c>
      <c r="H5611" t="s">
        <v>26</v>
      </c>
      <c r="I5611" t="s">
        <v>32</v>
      </c>
      <c r="J5611">
        <v>117.96</v>
      </c>
      <c r="K5611">
        <v>2</v>
      </c>
      <c r="L5611">
        <v>0</v>
      </c>
      <c r="M5611">
        <v>5.8979999999999997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34</v>
      </c>
      <c r="J5612">
        <v>21.3</v>
      </c>
      <c r="K5612">
        <v>5</v>
      </c>
      <c r="L5612">
        <v>0</v>
      </c>
      <c r="M5612">
        <v>8.7330000000000005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38</v>
      </c>
      <c r="J5613">
        <v>1040.8</v>
      </c>
      <c r="K5613">
        <v>5</v>
      </c>
      <c r="L5613">
        <v>0</v>
      </c>
      <c r="M5613">
        <v>281.01600000000002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75</v>
      </c>
      <c r="E5614" t="s">
        <v>76</v>
      </c>
      <c r="F5614">
        <v>10035</v>
      </c>
      <c r="G5614" t="s">
        <v>57</v>
      </c>
      <c r="H5614" t="s">
        <v>26</v>
      </c>
      <c r="I5614" t="s">
        <v>34</v>
      </c>
      <c r="J5614">
        <v>29.34</v>
      </c>
      <c r="K5614">
        <v>6</v>
      </c>
      <c r="L5614">
        <v>0</v>
      </c>
      <c r="M5614">
        <v>7.9218000000000002</v>
      </c>
    </row>
    <row r="5615" spans="1:13" x14ac:dyDescent="0.3">
      <c r="A5615" t="s">
        <v>28</v>
      </c>
      <c r="B5615" t="s">
        <v>22</v>
      </c>
      <c r="C5615" t="s">
        <v>15</v>
      </c>
      <c r="D5615" t="s">
        <v>85</v>
      </c>
      <c r="E5615" t="s">
        <v>86</v>
      </c>
      <c r="F5615">
        <v>38109</v>
      </c>
      <c r="G5615" t="s">
        <v>18</v>
      </c>
      <c r="H5615" t="s">
        <v>19</v>
      </c>
      <c r="I5615" t="s">
        <v>33</v>
      </c>
      <c r="J5615">
        <v>19.52</v>
      </c>
      <c r="K5615">
        <v>2</v>
      </c>
      <c r="L5615">
        <v>0.2</v>
      </c>
      <c r="M5615">
        <v>5.3680000000000003</v>
      </c>
    </row>
    <row r="5616" spans="1:13" x14ac:dyDescent="0.3">
      <c r="A5616" t="s">
        <v>62</v>
      </c>
      <c r="B5616" t="s">
        <v>14</v>
      </c>
      <c r="C5616" t="s">
        <v>15</v>
      </c>
      <c r="D5616" t="s">
        <v>144</v>
      </c>
      <c r="E5616" t="s">
        <v>24</v>
      </c>
      <c r="F5616">
        <v>92105</v>
      </c>
      <c r="G5616" t="s">
        <v>25</v>
      </c>
      <c r="H5616" t="s">
        <v>26</v>
      </c>
      <c r="I5616" t="s">
        <v>32</v>
      </c>
      <c r="J5616">
        <v>443.92</v>
      </c>
      <c r="K5616">
        <v>4</v>
      </c>
      <c r="L5616">
        <v>0</v>
      </c>
      <c r="M5616">
        <v>8.8783999999999992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35</v>
      </c>
      <c r="I5617" t="s">
        <v>59</v>
      </c>
      <c r="J5617">
        <v>499.95</v>
      </c>
      <c r="K5617">
        <v>5</v>
      </c>
      <c r="L5617">
        <v>0</v>
      </c>
      <c r="M5617">
        <v>174.98249999999999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26</v>
      </c>
      <c r="I5618" t="s">
        <v>34</v>
      </c>
      <c r="J5618">
        <v>3.04</v>
      </c>
      <c r="K5618">
        <v>1</v>
      </c>
      <c r="L5618">
        <v>0</v>
      </c>
      <c r="M5618">
        <v>1.0336000000000001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21</v>
      </c>
      <c r="J5619">
        <v>201.96</v>
      </c>
      <c r="K5619">
        <v>2</v>
      </c>
      <c r="L5619">
        <v>0</v>
      </c>
      <c r="M5619">
        <v>50.49</v>
      </c>
    </row>
    <row r="5620" spans="1:13" x14ac:dyDescent="0.3">
      <c r="A5620" t="s">
        <v>28</v>
      </c>
      <c r="B5620" t="s">
        <v>22</v>
      </c>
      <c r="C5620" t="s">
        <v>15</v>
      </c>
      <c r="D5620" t="s">
        <v>502</v>
      </c>
      <c r="E5620" t="s">
        <v>49</v>
      </c>
      <c r="F5620">
        <v>54601</v>
      </c>
      <c r="G5620" t="s">
        <v>47</v>
      </c>
      <c r="H5620" t="s">
        <v>19</v>
      </c>
      <c r="I5620" t="s">
        <v>33</v>
      </c>
      <c r="J5620">
        <v>68.64</v>
      </c>
      <c r="K5620">
        <v>11</v>
      </c>
      <c r="L5620">
        <v>0</v>
      </c>
      <c r="M5620">
        <v>17.16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100</v>
      </c>
      <c r="K5621">
        <v>4</v>
      </c>
      <c r="L5621">
        <v>0</v>
      </c>
      <c r="M5621">
        <v>21</v>
      </c>
    </row>
    <row r="5622" spans="1:13" x14ac:dyDescent="0.3">
      <c r="A5622" t="s">
        <v>13</v>
      </c>
      <c r="B5622" t="s">
        <v>22</v>
      </c>
      <c r="C5622" t="s">
        <v>15</v>
      </c>
      <c r="D5622" t="s">
        <v>23</v>
      </c>
      <c r="E5622" t="s">
        <v>24</v>
      </c>
      <c r="F5622">
        <v>90032</v>
      </c>
      <c r="G5622" t="s">
        <v>25</v>
      </c>
      <c r="H5622" t="s">
        <v>35</v>
      </c>
      <c r="I5622" t="s">
        <v>59</v>
      </c>
      <c r="J5622">
        <v>359.98</v>
      </c>
      <c r="K5622">
        <v>2</v>
      </c>
      <c r="L5622">
        <v>0</v>
      </c>
      <c r="M5622">
        <v>21.598800000000001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33</v>
      </c>
      <c r="J5623">
        <v>6.16</v>
      </c>
      <c r="K5623">
        <v>2</v>
      </c>
      <c r="L5623">
        <v>0</v>
      </c>
      <c r="M5623">
        <v>2.9567999999999999</v>
      </c>
    </row>
    <row r="5624" spans="1:13" x14ac:dyDescent="0.3">
      <c r="A5624" t="s">
        <v>13</v>
      </c>
      <c r="B5624" t="s">
        <v>44</v>
      </c>
      <c r="C5624" t="s">
        <v>15</v>
      </c>
      <c r="D5624" t="s">
        <v>42</v>
      </c>
      <c r="E5624" t="s">
        <v>43</v>
      </c>
      <c r="F5624">
        <v>98115</v>
      </c>
      <c r="G5624" t="s">
        <v>25</v>
      </c>
      <c r="H5624" t="s">
        <v>19</v>
      </c>
      <c r="I5624" t="s">
        <v>31</v>
      </c>
      <c r="J5624">
        <v>2348.8200000000002</v>
      </c>
      <c r="K5624">
        <v>9</v>
      </c>
      <c r="L5624">
        <v>0</v>
      </c>
      <c r="M5624">
        <v>399.29939999999999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26</v>
      </c>
      <c r="I5625" t="s">
        <v>27</v>
      </c>
      <c r="J5625">
        <v>13.872</v>
      </c>
      <c r="K5625">
        <v>6</v>
      </c>
      <c r="L5625">
        <v>0.2</v>
      </c>
      <c r="M5625">
        <v>4.6818</v>
      </c>
    </row>
    <row r="5626" spans="1:13" x14ac:dyDescent="0.3">
      <c r="A5626" t="s">
        <v>28</v>
      </c>
      <c r="B5626" t="s">
        <v>22</v>
      </c>
      <c r="C5626" t="s">
        <v>15</v>
      </c>
      <c r="D5626" t="s">
        <v>180</v>
      </c>
      <c r="E5626" t="s">
        <v>30</v>
      </c>
      <c r="F5626">
        <v>33180</v>
      </c>
      <c r="G5626" t="s">
        <v>18</v>
      </c>
      <c r="H5626" t="s">
        <v>19</v>
      </c>
      <c r="I5626" t="s">
        <v>21</v>
      </c>
      <c r="J5626">
        <v>273.55200000000002</v>
      </c>
      <c r="K5626">
        <v>3</v>
      </c>
      <c r="L5626">
        <v>0.2</v>
      </c>
      <c r="M5626">
        <v>-13.6776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55</v>
      </c>
      <c r="E5627" t="s">
        <v>56</v>
      </c>
      <c r="F5627">
        <v>19143</v>
      </c>
      <c r="G5627" t="s">
        <v>57</v>
      </c>
      <c r="H5627" t="s">
        <v>19</v>
      </c>
      <c r="I5627" t="s">
        <v>31</v>
      </c>
      <c r="J5627">
        <v>815.29200000000003</v>
      </c>
      <c r="K5627">
        <v>9</v>
      </c>
      <c r="L5627">
        <v>0.4</v>
      </c>
      <c r="M5627">
        <v>-339.70499999999998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35</v>
      </c>
      <c r="I5628" t="s">
        <v>59</v>
      </c>
      <c r="J5628">
        <v>234.45</v>
      </c>
      <c r="K5628">
        <v>3</v>
      </c>
      <c r="L5628">
        <v>0</v>
      </c>
      <c r="M5628">
        <v>103.158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19</v>
      </c>
      <c r="I5629" t="s">
        <v>31</v>
      </c>
      <c r="J5629">
        <v>1256.22</v>
      </c>
      <c r="K5629">
        <v>6</v>
      </c>
      <c r="L5629">
        <v>0</v>
      </c>
      <c r="M5629">
        <v>75.373199999999997</v>
      </c>
    </row>
    <row r="5630" spans="1:13" x14ac:dyDescent="0.3">
      <c r="A5630" t="s">
        <v>28</v>
      </c>
      <c r="B5630" t="s">
        <v>14</v>
      </c>
      <c r="C5630" t="s">
        <v>15</v>
      </c>
      <c r="D5630" t="s">
        <v>355</v>
      </c>
      <c r="E5630" t="s">
        <v>83</v>
      </c>
      <c r="F5630">
        <v>23320</v>
      </c>
      <c r="G5630" t="s">
        <v>18</v>
      </c>
      <c r="H5630" t="s">
        <v>26</v>
      </c>
      <c r="I5630" t="s">
        <v>37</v>
      </c>
      <c r="J5630">
        <v>17.46</v>
      </c>
      <c r="K5630">
        <v>2</v>
      </c>
      <c r="L5630">
        <v>0</v>
      </c>
      <c r="M5630">
        <v>8.2062000000000008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75</v>
      </c>
      <c r="E5631" t="s">
        <v>76</v>
      </c>
      <c r="F5631">
        <v>10009</v>
      </c>
      <c r="G5631" t="s">
        <v>57</v>
      </c>
      <c r="H5631" t="s">
        <v>26</v>
      </c>
      <c r="I5631" t="s">
        <v>37</v>
      </c>
      <c r="J5631">
        <v>10.528</v>
      </c>
      <c r="K5631">
        <v>7</v>
      </c>
      <c r="L5631">
        <v>0.2</v>
      </c>
      <c r="M5631">
        <v>3.6848000000000001</v>
      </c>
    </row>
    <row r="5632" spans="1:13" x14ac:dyDescent="0.3">
      <c r="A5632" t="s">
        <v>62</v>
      </c>
      <c r="B5632" t="s">
        <v>44</v>
      </c>
      <c r="C5632" t="s">
        <v>15</v>
      </c>
      <c r="D5632" t="s">
        <v>538</v>
      </c>
      <c r="E5632" t="s">
        <v>70</v>
      </c>
      <c r="F5632">
        <v>48104</v>
      </c>
      <c r="G5632" t="s">
        <v>47</v>
      </c>
      <c r="H5632" t="s">
        <v>26</v>
      </c>
      <c r="I5632" t="s">
        <v>37</v>
      </c>
      <c r="J5632">
        <v>152.80000000000001</v>
      </c>
      <c r="K5632">
        <v>5</v>
      </c>
      <c r="L5632">
        <v>0</v>
      </c>
      <c r="M5632">
        <v>76.400000000000006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26</v>
      </c>
      <c r="I5633" t="s">
        <v>37</v>
      </c>
      <c r="J5633">
        <v>82.56</v>
      </c>
      <c r="K5633">
        <v>5</v>
      </c>
      <c r="L5633">
        <v>0.2</v>
      </c>
      <c r="M5633">
        <v>28.896000000000001</v>
      </c>
    </row>
    <row r="5634" spans="1:13" x14ac:dyDescent="0.3">
      <c r="A5634" t="s">
        <v>28</v>
      </c>
      <c r="B5634" t="s">
        <v>44</v>
      </c>
      <c r="C5634" t="s">
        <v>15</v>
      </c>
      <c r="D5634" t="s">
        <v>539</v>
      </c>
      <c r="E5634" t="s">
        <v>24</v>
      </c>
      <c r="F5634">
        <v>91941</v>
      </c>
      <c r="G5634" t="s">
        <v>25</v>
      </c>
      <c r="H5634" t="s">
        <v>35</v>
      </c>
      <c r="I5634" t="s">
        <v>59</v>
      </c>
      <c r="J5634">
        <v>284.97000000000003</v>
      </c>
      <c r="K5634">
        <v>3</v>
      </c>
      <c r="L5634">
        <v>0</v>
      </c>
      <c r="M5634">
        <v>85.491</v>
      </c>
    </row>
    <row r="5635" spans="1:13" x14ac:dyDescent="0.3">
      <c r="A5635" t="s">
        <v>28</v>
      </c>
      <c r="B5635" t="s">
        <v>22</v>
      </c>
      <c r="C5635" t="s">
        <v>15</v>
      </c>
      <c r="D5635" t="s">
        <v>213</v>
      </c>
      <c r="E5635" t="s">
        <v>70</v>
      </c>
      <c r="F5635">
        <v>48126</v>
      </c>
      <c r="G5635" t="s">
        <v>47</v>
      </c>
      <c r="H5635" t="s">
        <v>19</v>
      </c>
      <c r="I5635" t="s">
        <v>33</v>
      </c>
      <c r="J5635">
        <v>60.84</v>
      </c>
      <c r="K5635">
        <v>3</v>
      </c>
      <c r="L5635">
        <v>0</v>
      </c>
      <c r="M5635">
        <v>23.119199999999999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1325.76</v>
      </c>
      <c r="K5636">
        <v>6</v>
      </c>
      <c r="L5636">
        <v>0.2</v>
      </c>
      <c r="M5636">
        <v>149.148</v>
      </c>
    </row>
    <row r="5637" spans="1:13" x14ac:dyDescent="0.3">
      <c r="A5637" t="s">
        <v>28</v>
      </c>
      <c r="B5637" t="s">
        <v>14</v>
      </c>
      <c r="C5637" t="s">
        <v>15</v>
      </c>
      <c r="D5637" t="s">
        <v>144</v>
      </c>
      <c r="E5637" t="s">
        <v>24</v>
      </c>
      <c r="F5637">
        <v>92024</v>
      </c>
      <c r="G5637" t="s">
        <v>25</v>
      </c>
      <c r="H5637" t="s">
        <v>19</v>
      </c>
      <c r="I5637" t="s">
        <v>21</v>
      </c>
      <c r="J5637">
        <v>572.16</v>
      </c>
      <c r="K5637">
        <v>3</v>
      </c>
      <c r="L5637">
        <v>0.2</v>
      </c>
      <c r="M5637">
        <v>35.76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154</v>
      </c>
      <c r="E5638" t="s">
        <v>104</v>
      </c>
      <c r="F5638">
        <v>44107</v>
      </c>
      <c r="G5638" t="s">
        <v>57</v>
      </c>
      <c r="H5638" t="s">
        <v>26</v>
      </c>
      <c r="I5638" t="s">
        <v>41</v>
      </c>
      <c r="J5638">
        <v>28.8</v>
      </c>
      <c r="K5638">
        <v>9</v>
      </c>
      <c r="L5638">
        <v>0.2</v>
      </c>
      <c r="M5638">
        <v>10.08</v>
      </c>
    </row>
    <row r="5639" spans="1:13" x14ac:dyDescent="0.3">
      <c r="A5639" t="s">
        <v>62</v>
      </c>
      <c r="B5639" t="s">
        <v>44</v>
      </c>
      <c r="C5639" t="s">
        <v>15</v>
      </c>
      <c r="D5639" t="s">
        <v>341</v>
      </c>
      <c r="E5639" t="s">
        <v>127</v>
      </c>
      <c r="F5639">
        <v>6450</v>
      </c>
      <c r="G5639" t="s">
        <v>57</v>
      </c>
      <c r="H5639" t="s">
        <v>26</v>
      </c>
      <c r="I5639" t="s">
        <v>34</v>
      </c>
      <c r="J5639">
        <v>11.12</v>
      </c>
      <c r="K5639">
        <v>4</v>
      </c>
      <c r="L5639">
        <v>0</v>
      </c>
      <c r="M5639">
        <v>2.8912</v>
      </c>
    </row>
    <row r="5640" spans="1:13" x14ac:dyDescent="0.3">
      <c r="A5640" t="s">
        <v>13</v>
      </c>
      <c r="B5640" t="s">
        <v>44</v>
      </c>
      <c r="C5640" t="s">
        <v>15</v>
      </c>
      <c r="D5640" t="s">
        <v>103</v>
      </c>
      <c r="E5640" t="s">
        <v>167</v>
      </c>
      <c r="F5640">
        <v>31907</v>
      </c>
      <c r="G5640" t="s">
        <v>18</v>
      </c>
      <c r="H5640" t="s">
        <v>19</v>
      </c>
      <c r="I5640" t="s">
        <v>33</v>
      </c>
      <c r="J5640">
        <v>7.04</v>
      </c>
      <c r="K5640">
        <v>4</v>
      </c>
      <c r="L5640">
        <v>0</v>
      </c>
      <c r="M5640">
        <v>3.0975999999999999</v>
      </c>
    </row>
    <row r="5641" spans="1:13" x14ac:dyDescent="0.3">
      <c r="A5641" t="s">
        <v>13</v>
      </c>
      <c r="B5641" t="s">
        <v>22</v>
      </c>
      <c r="C5641" t="s">
        <v>15</v>
      </c>
      <c r="D5641" t="s">
        <v>270</v>
      </c>
      <c r="E5641" t="s">
        <v>167</v>
      </c>
      <c r="F5641">
        <v>30076</v>
      </c>
      <c r="G5641" t="s">
        <v>18</v>
      </c>
      <c r="H5641" t="s">
        <v>26</v>
      </c>
      <c r="I5641" t="s">
        <v>60</v>
      </c>
      <c r="J5641">
        <v>17.940000000000001</v>
      </c>
      <c r="K5641">
        <v>3</v>
      </c>
      <c r="L5641">
        <v>0</v>
      </c>
      <c r="M5641">
        <v>8.7905999999999995</v>
      </c>
    </row>
    <row r="5642" spans="1:13" x14ac:dyDescent="0.3">
      <c r="A5642" t="s">
        <v>62</v>
      </c>
      <c r="B5642" t="s">
        <v>44</v>
      </c>
      <c r="C5642" t="s">
        <v>15</v>
      </c>
      <c r="D5642" t="s">
        <v>42</v>
      </c>
      <c r="E5642" t="s">
        <v>43</v>
      </c>
      <c r="F5642">
        <v>98105</v>
      </c>
      <c r="G5642" t="s">
        <v>25</v>
      </c>
      <c r="H5642" t="s">
        <v>26</v>
      </c>
      <c r="I5642" t="s">
        <v>37</v>
      </c>
      <c r="J5642">
        <v>34.76</v>
      </c>
      <c r="K5642">
        <v>5</v>
      </c>
      <c r="L5642">
        <v>0.2</v>
      </c>
      <c r="M5642">
        <v>11.297000000000001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147</v>
      </c>
      <c r="E5643" t="s">
        <v>132</v>
      </c>
      <c r="F5643">
        <v>7960</v>
      </c>
      <c r="G5643" t="s">
        <v>57</v>
      </c>
      <c r="H5643" t="s">
        <v>19</v>
      </c>
      <c r="I5643" t="s">
        <v>33</v>
      </c>
      <c r="J5643">
        <v>74.45</v>
      </c>
      <c r="K5643">
        <v>5</v>
      </c>
      <c r="L5643">
        <v>0</v>
      </c>
      <c r="M5643">
        <v>20.101500000000001</v>
      </c>
    </row>
    <row r="5644" spans="1:13" x14ac:dyDescent="0.3">
      <c r="A5644" t="s">
        <v>28</v>
      </c>
      <c r="B5644" t="s">
        <v>22</v>
      </c>
      <c r="C5644" t="s">
        <v>15</v>
      </c>
      <c r="D5644" t="s">
        <v>251</v>
      </c>
      <c r="E5644" t="s">
        <v>83</v>
      </c>
      <c r="F5644">
        <v>22304</v>
      </c>
      <c r="G5644" t="s">
        <v>18</v>
      </c>
      <c r="H5644" t="s">
        <v>19</v>
      </c>
      <c r="I5644" t="s">
        <v>33</v>
      </c>
      <c r="J5644">
        <v>192.22</v>
      </c>
      <c r="K5644">
        <v>14</v>
      </c>
      <c r="L5644">
        <v>0</v>
      </c>
      <c r="M5644">
        <v>69.199200000000005</v>
      </c>
    </row>
    <row r="5645" spans="1:13" x14ac:dyDescent="0.3">
      <c r="A5645" t="s">
        <v>28</v>
      </c>
      <c r="B5645" t="s">
        <v>14</v>
      </c>
      <c r="C5645" t="s">
        <v>15</v>
      </c>
      <c r="D5645" t="s">
        <v>374</v>
      </c>
      <c r="E5645" t="s">
        <v>51</v>
      </c>
      <c r="F5645">
        <v>84106</v>
      </c>
      <c r="G5645" t="s">
        <v>25</v>
      </c>
      <c r="H5645" t="s">
        <v>26</v>
      </c>
      <c r="I5645" t="s">
        <v>41</v>
      </c>
      <c r="J5645">
        <v>19.440000000000001</v>
      </c>
      <c r="K5645">
        <v>3</v>
      </c>
      <c r="L5645">
        <v>0</v>
      </c>
      <c r="M5645">
        <v>9.3312000000000008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41</v>
      </c>
      <c r="J5646">
        <v>32.4</v>
      </c>
      <c r="K5646">
        <v>5</v>
      </c>
      <c r="L5646">
        <v>0</v>
      </c>
      <c r="M5646">
        <v>15.552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60</v>
      </c>
      <c r="J5647">
        <v>57.9</v>
      </c>
      <c r="K5647">
        <v>5</v>
      </c>
      <c r="L5647">
        <v>0</v>
      </c>
      <c r="M5647">
        <v>28.95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26</v>
      </c>
      <c r="I5648" t="s">
        <v>32</v>
      </c>
      <c r="J5648">
        <v>10.56</v>
      </c>
      <c r="K5648">
        <v>2</v>
      </c>
      <c r="L5648">
        <v>0</v>
      </c>
      <c r="M5648">
        <v>0</v>
      </c>
    </row>
    <row r="5649" spans="1:13" x14ac:dyDescent="0.3">
      <c r="A5649" t="s">
        <v>13</v>
      </c>
      <c r="B5649" t="s">
        <v>22</v>
      </c>
      <c r="C5649" t="s">
        <v>15</v>
      </c>
      <c r="D5649" t="s">
        <v>428</v>
      </c>
      <c r="E5649" t="s">
        <v>24</v>
      </c>
      <c r="F5649">
        <v>92307</v>
      </c>
      <c r="G5649" t="s">
        <v>25</v>
      </c>
      <c r="H5649" t="s">
        <v>19</v>
      </c>
      <c r="I5649" t="s">
        <v>20</v>
      </c>
      <c r="J5649">
        <v>1194.165</v>
      </c>
      <c r="K5649">
        <v>5</v>
      </c>
      <c r="L5649">
        <v>0.15</v>
      </c>
      <c r="M5649">
        <v>210.73500000000001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75</v>
      </c>
      <c r="E5650" t="s">
        <v>76</v>
      </c>
      <c r="F5650">
        <v>10009</v>
      </c>
      <c r="G5650" t="s">
        <v>57</v>
      </c>
      <c r="H5650" t="s">
        <v>26</v>
      </c>
      <c r="I5650" t="s">
        <v>41</v>
      </c>
      <c r="J5650">
        <v>40.99</v>
      </c>
      <c r="K5650">
        <v>1</v>
      </c>
      <c r="L5650">
        <v>0</v>
      </c>
      <c r="M5650">
        <v>20.085100000000001</v>
      </c>
    </row>
    <row r="5651" spans="1:13" x14ac:dyDescent="0.3">
      <c r="A5651" t="s">
        <v>28</v>
      </c>
      <c r="B5651" t="s">
        <v>22</v>
      </c>
      <c r="C5651" t="s">
        <v>15</v>
      </c>
      <c r="D5651" t="s">
        <v>159</v>
      </c>
      <c r="E5651" t="s">
        <v>24</v>
      </c>
      <c r="F5651">
        <v>90805</v>
      </c>
      <c r="G5651" t="s">
        <v>25</v>
      </c>
      <c r="H5651" t="s">
        <v>26</v>
      </c>
      <c r="I5651" t="s">
        <v>34</v>
      </c>
      <c r="J5651">
        <v>2.94</v>
      </c>
      <c r="K5651">
        <v>1</v>
      </c>
      <c r="L5651">
        <v>0</v>
      </c>
      <c r="M5651">
        <v>0.79379999999999995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37</v>
      </c>
      <c r="J5652">
        <v>45.24</v>
      </c>
      <c r="K5652">
        <v>4</v>
      </c>
      <c r="L5652">
        <v>0.7</v>
      </c>
      <c r="M5652">
        <v>-30.16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34</v>
      </c>
      <c r="J5653">
        <v>18.687999999999999</v>
      </c>
      <c r="K5653">
        <v>4</v>
      </c>
      <c r="L5653">
        <v>0.2</v>
      </c>
      <c r="M5653">
        <v>2.3359999999999999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26</v>
      </c>
      <c r="I5654" t="s">
        <v>41</v>
      </c>
      <c r="J5654">
        <v>11.648</v>
      </c>
      <c r="K5654">
        <v>2</v>
      </c>
      <c r="L5654">
        <v>0.2</v>
      </c>
      <c r="M5654">
        <v>3.7856000000000001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35</v>
      </c>
      <c r="I5655" t="s">
        <v>59</v>
      </c>
      <c r="J5655">
        <v>112.776</v>
      </c>
      <c r="K5655">
        <v>3</v>
      </c>
      <c r="L5655">
        <v>0.2</v>
      </c>
      <c r="M5655">
        <v>-8.4581999999999997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19</v>
      </c>
      <c r="I5656" t="s">
        <v>31</v>
      </c>
      <c r="J5656">
        <v>377.45</v>
      </c>
      <c r="K5656">
        <v>5</v>
      </c>
      <c r="L5656">
        <v>0.5</v>
      </c>
      <c r="M5656">
        <v>-264.21499999999997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27</v>
      </c>
      <c r="J5657">
        <v>15.936</v>
      </c>
      <c r="K5657">
        <v>4</v>
      </c>
      <c r="L5657">
        <v>0.2</v>
      </c>
      <c r="M5657">
        <v>5.1791999999999998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35</v>
      </c>
      <c r="I5658" t="s">
        <v>36</v>
      </c>
      <c r="J5658">
        <v>28.68</v>
      </c>
      <c r="K5658">
        <v>3</v>
      </c>
      <c r="L5658">
        <v>0.2</v>
      </c>
      <c r="M5658">
        <v>-7.17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19</v>
      </c>
      <c r="I5659" t="s">
        <v>33</v>
      </c>
      <c r="J5659">
        <v>21.44</v>
      </c>
      <c r="K5659">
        <v>2</v>
      </c>
      <c r="L5659">
        <v>0.2</v>
      </c>
      <c r="M5659">
        <v>7.5039999999999996</v>
      </c>
    </row>
    <row r="5660" spans="1:13" x14ac:dyDescent="0.3">
      <c r="A5660" t="s">
        <v>28</v>
      </c>
      <c r="B5660" t="s">
        <v>44</v>
      </c>
      <c r="C5660" t="s">
        <v>15</v>
      </c>
      <c r="D5660" t="s">
        <v>97</v>
      </c>
      <c r="E5660" t="s">
        <v>98</v>
      </c>
      <c r="F5660">
        <v>80013</v>
      </c>
      <c r="G5660" t="s">
        <v>25</v>
      </c>
      <c r="H5660" t="s">
        <v>26</v>
      </c>
      <c r="I5660" t="s">
        <v>32</v>
      </c>
      <c r="J5660">
        <v>511.05599999999998</v>
      </c>
      <c r="K5660">
        <v>9</v>
      </c>
      <c r="L5660">
        <v>0.2</v>
      </c>
      <c r="M5660">
        <v>-95.822999999999993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34</v>
      </c>
      <c r="J5661">
        <v>18.655999999999999</v>
      </c>
      <c r="K5661">
        <v>2</v>
      </c>
      <c r="L5661">
        <v>0.2</v>
      </c>
      <c r="M5661">
        <v>1.3992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37</v>
      </c>
      <c r="J5662">
        <v>11.087999999999999</v>
      </c>
      <c r="K5662">
        <v>7</v>
      </c>
      <c r="L5662">
        <v>0.7</v>
      </c>
      <c r="M5662">
        <v>-8.1311999999999998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66.688000000000002</v>
      </c>
      <c r="K5663">
        <v>1</v>
      </c>
      <c r="L5663">
        <v>0.2</v>
      </c>
      <c r="M5663">
        <v>4.1680000000000001</v>
      </c>
    </row>
    <row r="5664" spans="1:13" x14ac:dyDescent="0.3">
      <c r="A5664" t="s">
        <v>168</v>
      </c>
      <c r="B5664" t="s">
        <v>22</v>
      </c>
      <c r="C5664" t="s">
        <v>15</v>
      </c>
      <c r="D5664" t="s">
        <v>114</v>
      </c>
      <c r="E5664" t="s">
        <v>104</v>
      </c>
      <c r="F5664">
        <v>43055</v>
      </c>
      <c r="G5664" t="s">
        <v>57</v>
      </c>
      <c r="H5664" t="s">
        <v>26</v>
      </c>
      <c r="I5664" t="s">
        <v>32</v>
      </c>
      <c r="J5664">
        <v>99.488</v>
      </c>
      <c r="K5664">
        <v>2</v>
      </c>
      <c r="L5664">
        <v>0.2</v>
      </c>
      <c r="M5664">
        <v>8.7051999999999996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27</v>
      </c>
      <c r="J5665">
        <v>14.62</v>
      </c>
      <c r="K5665">
        <v>2</v>
      </c>
      <c r="L5665">
        <v>0</v>
      </c>
      <c r="M5665">
        <v>6.8714000000000004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26</v>
      </c>
      <c r="I5666" t="s">
        <v>37</v>
      </c>
      <c r="J5666">
        <v>53.984000000000002</v>
      </c>
      <c r="K5666">
        <v>14</v>
      </c>
      <c r="L5666">
        <v>0.2</v>
      </c>
      <c r="M5666">
        <v>17.544799999999999</v>
      </c>
    </row>
    <row r="5667" spans="1:13" x14ac:dyDescent="0.3">
      <c r="A5667" t="s">
        <v>28</v>
      </c>
      <c r="B5667" t="s">
        <v>14</v>
      </c>
      <c r="C5667" t="s">
        <v>15</v>
      </c>
      <c r="D5667" t="s">
        <v>42</v>
      </c>
      <c r="E5667" t="s">
        <v>43</v>
      </c>
      <c r="F5667">
        <v>98103</v>
      </c>
      <c r="G5667" t="s">
        <v>25</v>
      </c>
      <c r="H5667" t="s">
        <v>35</v>
      </c>
      <c r="I5667" t="s">
        <v>59</v>
      </c>
      <c r="J5667">
        <v>389.97</v>
      </c>
      <c r="K5667">
        <v>3</v>
      </c>
      <c r="L5667">
        <v>0</v>
      </c>
      <c r="M5667">
        <v>132.5898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19</v>
      </c>
      <c r="I5668" t="s">
        <v>33</v>
      </c>
      <c r="J5668">
        <v>355.36</v>
      </c>
      <c r="K5668">
        <v>4</v>
      </c>
      <c r="L5668">
        <v>0</v>
      </c>
      <c r="M5668">
        <v>92.393600000000006</v>
      </c>
    </row>
    <row r="5669" spans="1:13" x14ac:dyDescent="0.3">
      <c r="A5669" t="s">
        <v>13</v>
      </c>
      <c r="B5669" t="s">
        <v>14</v>
      </c>
      <c r="C5669" t="s">
        <v>15</v>
      </c>
      <c r="D5669" t="s">
        <v>540</v>
      </c>
      <c r="E5669" t="s">
        <v>437</v>
      </c>
      <c r="F5669">
        <v>83201</v>
      </c>
      <c r="G5669" t="s">
        <v>25</v>
      </c>
      <c r="H5669" t="s">
        <v>35</v>
      </c>
      <c r="I5669" t="s">
        <v>36</v>
      </c>
      <c r="J5669">
        <v>140.376</v>
      </c>
      <c r="K5669">
        <v>3</v>
      </c>
      <c r="L5669">
        <v>0.2</v>
      </c>
      <c r="M5669">
        <v>8.7735000000000003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60</v>
      </c>
      <c r="J5670">
        <v>15.84</v>
      </c>
      <c r="K5670">
        <v>2</v>
      </c>
      <c r="L5670">
        <v>0.2</v>
      </c>
      <c r="M5670">
        <v>5.5439999999999996</v>
      </c>
    </row>
    <row r="5671" spans="1:13" x14ac:dyDescent="0.3">
      <c r="A5671" t="s">
        <v>28</v>
      </c>
      <c r="B5671" t="s">
        <v>22</v>
      </c>
      <c r="C5671" t="s">
        <v>15</v>
      </c>
      <c r="D5671" t="s">
        <v>135</v>
      </c>
      <c r="E5671" t="s">
        <v>46</v>
      </c>
      <c r="F5671">
        <v>75081</v>
      </c>
      <c r="G5671" t="s">
        <v>47</v>
      </c>
      <c r="H5671" t="s">
        <v>26</v>
      </c>
      <c r="I5671" t="s">
        <v>41</v>
      </c>
      <c r="J5671">
        <v>8.4480000000000004</v>
      </c>
      <c r="K5671">
        <v>2</v>
      </c>
      <c r="L5671">
        <v>0.2</v>
      </c>
      <c r="M5671">
        <v>2.64</v>
      </c>
    </row>
    <row r="5672" spans="1:13" x14ac:dyDescent="0.3">
      <c r="A5672" t="s">
        <v>28</v>
      </c>
      <c r="B5672" t="s">
        <v>14</v>
      </c>
      <c r="C5672" t="s">
        <v>15</v>
      </c>
      <c r="D5672" t="s">
        <v>42</v>
      </c>
      <c r="E5672" t="s">
        <v>43</v>
      </c>
      <c r="F5672">
        <v>98105</v>
      </c>
      <c r="G5672" t="s">
        <v>25</v>
      </c>
      <c r="H5672" t="s">
        <v>26</v>
      </c>
      <c r="I5672" t="s">
        <v>41</v>
      </c>
      <c r="J5672">
        <v>12.96</v>
      </c>
      <c r="K5672">
        <v>2</v>
      </c>
      <c r="L5672">
        <v>0</v>
      </c>
      <c r="M5672">
        <v>6.2207999999999997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36</v>
      </c>
      <c r="J5673">
        <v>57.408000000000001</v>
      </c>
      <c r="K5673">
        <v>6</v>
      </c>
      <c r="L5673">
        <v>0.2</v>
      </c>
      <c r="M5673">
        <v>5.7408000000000001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42</v>
      </c>
      <c r="E5674" t="s">
        <v>43</v>
      </c>
      <c r="F5674">
        <v>98115</v>
      </c>
      <c r="G5674" t="s">
        <v>25</v>
      </c>
      <c r="H5674" t="s">
        <v>35</v>
      </c>
      <c r="I5674" t="s">
        <v>59</v>
      </c>
      <c r="J5674">
        <v>27.6</v>
      </c>
      <c r="K5674">
        <v>4</v>
      </c>
      <c r="L5674">
        <v>0</v>
      </c>
      <c r="M5674">
        <v>2.2080000000000002</v>
      </c>
    </row>
    <row r="5675" spans="1:13" x14ac:dyDescent="0.3">
      <c r="A5675" t="s">
        <v>28</v>
      </c>
      <c r="B5675" t="s">
        <v>14</v>
      </c>
      <c r="C5675" t="s">
        <v>15</v>
      </c>
      <c r="D5675" t="s">
        <v>79</v>
      </c>
      <c r="E5675" t="s">
        <v>65</v>
      </c>
      <c r="F5675">
        <v>60610</v>
      </c>
      <c r="G5675" t="s">
        <v>47</v>
      </c>
      <c r="H5675" t="s">
        <v>19</v>
      </c>
      <c r="I5675" t="s">
        <v>33</v>
      </c>
      <c r="J5675">
        <v>38.975999999999999</v>
      </c>
      <c r="K5675">
        <v>3</v>
      </c>
      <c r="L5675">
        <v>0.6</v>
      </c>
      <c r="M5675">
        <v>-50.668799999999997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77</v>
      </c>
      <c r="J5676">
        <v>20.440000000000001</v>
      </c>
      <c r="K5676">
        <v>7</v>
      </c>
      <c r="L5676">
        <v>0</v>
      </c>
      <c r="M5676">
        <v>9.1980000000000004</v>
      </c>
    </row>
    <row r="5677" spans="1:13" x14ac:dyDescent="0.3">
      <c r="A5677" t="s">
        <v>28</v>
      </c>
      <c r="B5677" t="s">
        <v>44</v>
      </c>
      <c r="C5677" t="s">
        <v>15</v>
      </c>
      <c r="D5677" t="s">
        <v>541</v>
      </c>
      <c r="E5677" t="s">
        <v>70</v>
      </c>
      <c r="F5677">
        <v>49423</v>
      </c>
      <c r="G5677" t="s">
        <v>47</v>
      </c>
      <c r="H5677" t="s">
        <v>26</v>
      </c>
      <c r="I5677" t="s">
        <v>41</v>
      </c>
      <c r="J5677">
        <v>109.92</v>
      </c>
      <c r="K5677">
        <v>2</v>
      </c>
      <c r="L5677">
        <v>0</v>
      </c>
      <c r="M5677">
        <v>53.860799999999998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37</v>
      </c>
      <c r="J5678">
        <v>6.38</v>
      </c>
      <c r="K5678">
        <v>1</v>
      </c>
      <c r="L5678">
        <v>0</v>
      </c>
      <c r="M5678">
        <v>2.9348000000000001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477</v>
      </c>
      <c r="E5679" t="s">
        <v>119</v>
      </c>
      <c r="F5679">
        <v>74012</v>
      </c>
      <c r="G5679" t="s">
        <v>47</v>
      </c>
      <c r="H5679" t="s">
        <v>26</v>
      </c>
      <c r="I5679" t="s">
        <v>41</v>
      </c>
      <c r="J5679">
        <v>6.48</v>
      </c>
      <c r="K5679">
        <v>1</v>
      </c>
      <c r="L5679">
        <v>0</v>
      </c>
      <c r="M5679">
        <v>3.1103999999999998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26</v>
      </c>
      <c r="I5680" t="s">
        <v>41</v>
      </c>
      <c r="J5680">
        <v>15.84</v>
      </c>
      <c r="K5680">
        <v>3</v>
      </c>
      <c r="L5680">
        <v>0</v>
      </c>
      <c r="M5680">
        <v>7.1280000000000001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35</v>
      </c>
      <c r="I5681" t="s">
        <v>36</v>
      </c>
      <c r="J5681">
        <v>1049.93</v>
      </c>
      <c r="K5681">
        <v>7</v>
      </c>
      <c r="L5681">
        <v>0</v>
      </c>
      <c r="M5681">
        <v>293.98039999999997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508</v>
      </c>
      <c r="E5682" t="s">
        <v>167</v>
      </c>
      <c r="F5682">
        <v>30605</v>
      </c>
      <c r="G5682" t="s">
        <v>18</v>
      </c>
      <c r="H5682" t="s">
        <v>26</v>
      </c>
      <c r="I5682" t="s">
        <v>38</v>
      </c>
      <c r="J5682">
        <v>154.9</v>
      </c>
      <c r="K5682">
        <v>5</v>
      </c>
      <c r="L5682">
        <v>0</v>
      </c>
      <c r="M5682">
        <v>40.274000000000001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42</v>
      </c>
      <c r="E5683" t="s">
        <v>43</v>
      </c>
      <c r="F5683">
        <v>98105</v>
      </c>
      <c r="G5683" t="s">
        <v>25</v>
      </c>
      <c r="H5683" t="s">
        <v>26</v>
      </c>
      <c r="I5683" t="s">
        <v>37</v>
      </c>
      <c r="J5683">
        <v>98.352000000000004</v>
      </c>
      <c r="K5683">
        <v>3</v>
      </c>
      <c r="L5683">
        <v>0.2</v>
      </c>
      <c r="M5683">
        <v>35.6526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26</v>
      </c>
      <c r="I5684" t="s">
        <v>77</v>
      </c>
      <c r="J5684">
        <v>14.32</v>
      </c>
      <c r="K5684">
        <v>5</v>
      </c>
      <c r="L5684">
        <v>0.2</v>
      </c>
      <c r="M5684">
        <v>5.1909999999999998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19</v>
      </c>
      <c r="I5685" t="s">
        <v>33</v>
      </c>
      <c r="J5685">
        <v>129.88800000000001</v>
      </c>
      <c r="K5685">
        <v>6</v>
      </c>
      <c r="L5685">
        <v>0.2</v>
      </c>
      <c r="M5685">
        <v>12.988799999999999</v>
      </c>
    </row>
    <row r="5686" spans="1:13" x14ac:dyDescent="0.3">
      <c r="A5686" t="s">
        <v>168</v>
      </c>
      <c r="B5686" t="s">
        <v>14</v>
      </c>
      <c r="C5686" t="s">
        <v>15</v>
      </c>
      <c r="D5686" t="s">
        <v>350</v>
      </c>
      <c r="E5686" t="s">
        <v>30</v>
      </c>
      <c r="F5686">
        <v>32712</v>
      </c>
      <c r="G5686" t="s">
        <v>18</v>
      </c>
      <c r="H5686" t="s">
        <v>26</v>
      </c>
      <c r="I5686" t="s">
        <v>60</v>
      </c>
      <c r="J5686">
        <v>48.944000000000003</v>
      </c>
      <c r="K5686">
        <v>7</v>
      </c>
      <c r="L5686">
        <v>0.2</v>
      </c>
      <c r="M5686">
        <v>16.518599999999999</v>
      </c>
    </row>
    <row r="5687" spans="1:13" x14ac:dyDescent="0.3">
      <c r="A5687" t="s">
        <v>28</v>
      </c>
      <c r="B5687" t="s">
        <v>44</v>
      </c>
      <c r="C5687" t="s">
        <v>15</v>
      </c>
      <c r="D5687" t="s">
        <v>61</v>
      </c>
      <c r="E5687" t="s">
        <v>46</v>
      </c>
      <c r="F5687">
        <v>77070</v>
      </c>
      <c r="G5687" t="s">
        <v>47</v>
      </c>
      <c r="H5687" t="s">
        <v>19</v>
      </c>
      <c r="I5687" t="s">
        <v>21</v>
      </c>
      <c r="J5687">
        <v>275.05799999999999</v>
      </c>
      <c r="K5687">
        <v>3</v>
      </c>
      <c r="L5687">
        <v>0.3</v>
      </c>
      <c r="M5687">
        <v>-90.376199999999997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34</v>
      </c>
      <c r="J5688">
        <v>27.36</v>
      </c>
      <c r="K5688">
        <v>9</v>
      </c>
      <c r="L5688">
        <v>0</v>
      </c>
      <c r="M5688">
        <v>9.3024000000000004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26</v>
      </c>
      <c r="I5689" t="s">
        <v>41</v>
      </c>
      <c r="J5689">
        <v>44.75</v>
      </c>
      <c r="K5689">
        <v>5</v>
      </c>
      <c r="L5689">
        <v>0</v>
      </c>
      <c r="M5689">
        <v>20.585000000000001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35</v>
      </c>
      <c r="I5690" t="s">
        <v>36</v>
      </c>
      <c r="J5690">
        <v>134.99</v>
      </c>
      <c r="K5690">
        <v>1</v>
      </c>
      <c r="L5690">
        <v>0</v>
      </c>
      <c r="M5690">
        <v>36.447299999999998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26</v>
      </c>
      <c r="I5691" t="s">
        <v>41</v>
      </c>
      <c r="J5691">
        <v>26.4</v>
      </c>
      <c r="K5691">
        <v>5</v>
      </c>
      <c r="L5691">
        <v>0</v>
      </c>
      <c r="M5691">
        <v>12.672000000000001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19</v>
      </c>
      <c r="I5692" t="s">
        <v>21</v>
      </c>
      <c r="J5692">
        <v>542.94000000000005</v>
      </c>
      <c r="K5692">
        <v>3</v>
      </c>
      <c r="L5692">
        <v>0</v>
      </c>
      <c r="M5692">
        <v>141.1644</v>
      </c>
    </row>
    <row r="5693" spans="1:13" x14ac:dyDescent="0.3">
      <c r="A5693" t="s">
        <v>13</v>
      </c>
      <c r="B5693" t="s">
        <v>14</v>
      </c>
      <c r="C5693" t="s">
        <v>15</v>
      </c>
      <c r="D5693" t="s">
        <v>52</v>
      </c>
      <c r="E5693" t="s">
        <v>24</v>
      </c>
      <c r="F5693">
        <v>94109</v>
      </c>
      <c r="G5693" t="s">
        <v>25</v>
      </c>
      <c r="H5693" t="s">
        <v>19</v>
      </c>
      <c r="I5693" t="s">
        <v>31</v>
      </c>
      <c r="J5693">
        <v>71.087999999999994</v>
      </c>
      <c r="K5693">
        <v>2</v>
      </c>
      <c r="L5693">
        <v>0.2</v>
      </c>
      <c r="M5693">
        <v>-1.7771999999999999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27.396000000000001</v>
      </c>
      <c r="K5694">
        <v>9</v>
      </c>
      <c r="L5694">
        <v>0.8</v>
      </c>
      <c r="M5694">
        <v>-42.463799999999999</v>
      </c>
    </row>
    <row r="5695" spans="1:13" x14ac:dyDescent="0.3">
      <c r="A5695" t="s">
        <v>28</v>
      </c>
      <c r="B5695" t="s">
        <v>44</v>
      </c>
      <c r="C5695" t="s">
        <v>15</v>
      </c>
      <c r="D5695" t="s">
        <v>79</v>
      </c>
      <c r="E5695" t="s">
        <v>65</v>
      </c>
      <c r="F5695">
        <v>60623</v>
      </c>
      <c r="G5695" t="s">
        <v>47</v>
      </c>
      <c r="H5695" t="s">
        <v>26</v>
      </c>
      <c r="I5695" t="s">
        <v>37</v>
      </c>
      <c r="J5695">
        <v>13.456</v>
      </c>
      <c r="K5695">
        <v>1</v>
      </c>
      <c r="L5695">
        <v>0.8</v>
      </c>
      <c r="M5695">
        <v>-23.547999999999998</v>
      </c>
    </row>
    <row r="5696" spans="1:13" x14ac:dyDescent="0.3">
      <c r="A5696" t="s">
        <v>168</v>
      </c>
      <c r="B5696" t="s">
        <v>14</v>
      </c>
      <c r="C5696" t="s">
        <v>15</v>
      </c>
      <c r="D5696" t="s">
        <v>211</v>
      </c>
      <c r="E5696" t="s">
        <v>46</v>
      </c>
      <c r="F5696">
        <v>78041</v>
      </c>
      <c r="G5696" t="s">
        <v>47</v>
      </c>
      <c r="H5696" t="s">
        <v>26</v>
      </c>
      <c r="I5696" t="s">
        <v>27</v>
      </c>
      <c r="J5696">
        <v>11.84</v>
      </c>
      <c r="K5696">
        <v>1</v>
      </c>
      <c r="L5696">
        <v>0.2</v>
      </c>
      <c r="M5696">
        <v>4.4400000000000004</v>
      </c>
    </row>
    <row r="5697" spans="1:13" x14ac:dyDescent="0.3">
      <c r="A5697" t="s">
        <v>28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26</v>
      </c>
      <c r="I5697" t="s">
        <v>41</v>
      </c>
      <c r="J5697">
        <v>35.880000000000003</v>
      </c>
      <c r="K5697">
        <v>6</v>
      </c>
      <c r="L5697">
        <v>0</v>
      </c>
      <c r="M5697">
        <v>17.581199999999999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26</v>
      </c>
      <c r="I5698" t="s">
        <v>60</v>
      </c>
      <c r="J5698">
        <v>40.752000000000002</v>
      </c>
      <c r="K5698">
        <v>3</v>
      </c>
      <c r="L5698">
        <v>0.2</v>
      </c>
      <c r="M5698">
        <v>15.282</v>
      </c>
    </row>
    <row r="5699" spans="1:13" x14ac:dyDescent="0.3">
      <c r="A5699" t="s">
        <v>62</v>
      </c>
      <c r="B5699" t="s">
        <v>44</v>
      </c>
      <c r="C5699" t="s">
        <v>15</v>
      </c>
      <c r="D5699" t="s">
        <v>221</v>
      </c>
      <c r="E5699" t="s">
        <v>104</v>
      </c>
      <c r="F5699">
        <v>44105</v>
      </c>
      <c r="G5699" t="s">
        <v>57</v>
      </c>
      <c r="H5699" t="s">
        <v>35</v>
      </c>
      <c r="I5699" t="s">
        <v>59</v>
      </c>
      <c r="J5699">
        <v>139.96</v>
      </c>
      <c r="K5699">
        <v>5</v>
      </c>
      <c r="L5699">
        <v>0.2</v>
      </c>
      <c r="M5699">
        <v>-22.743500000000001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26</v>
      </c>
      <c r="I5700" t="s">
        <v>34</v>
      </c>
      <c r="J5700">
        <v>2.6240000000000001</v>
      </c>
      <c r="K5700">
        <v>1</v>
      </c>
      <c r="L5700">
        <v>0.2</v>
      </c>
      <c r="M5700">
        <v>0.29520000000000002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19</v>
      </c>
      <c r="I5701" t="s">
        <v>31</v>
      </c>
      <c r="J5701">
        <v>136.53</v>
      </c>
      <c r="K5701">
        <v>1</v>
      </c>
      <c r="L5701">
        <v>0.4</v>
      </c>
      <c r="M5701">
        <v>-52.336500000000001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378</v>
      </c>
      <c r="E5702" t="s">
        <v>104</v>
      </c>
      <c r="F5702">
        <v>43302</v>
      </c>
      <c r="G5702" t="s">
        <v>57</v>
      </c>
      <c r="H5702" t="s">
        <v>35</v>
      </c>
      <c r="I5702" t="s">
        <v>59</v>
      </c>
      <c r="J5702">
        <v>263.95999999999998</v>
      </c>
      <c r="K5702">
        <v>1</v>
      </c>
      <c r="L5702">
        <v>0.2</v>
      </c>
      <c r="M5702">
        <v>42.893500000000003</v>
      </c>
    </row>
    <row r="5703" spans="1:13" x14ac:dyDescent="0.3">
      <c r="A5703" t="s">
        <v>28</v>
      </c>
      <c r="B5703" t="s">
        <v>14</v>
      </c>
      <c r="C5703" t="s">
        <v>15</v>
      </c>
      <c r="D5703" t="s">
        <v>126</v>
      </c>
      <c r="E5703" t="s">
        <v>127</v>
      </c>
      <c r="F5703">
        <v>6824</v>
      </c>
      <c r="G5703" t="s">
        <v>57</v>
      </c>
      <c r="H5703" t="s">
        <v>26</v>
      </c>
      <c r="I5703" t="s">
        <v>110</v>
      </c>
      <c r="J5703">
        <v>11.64</v>
      </c>
      <c r="K5703">
        <v>3</v>
      </c>
      <c r="L5703">
        <v>0</v>
      </c>
      <c r="M5703">
        <v>3.3755999999999999</v>
      </c>
    </row>
    <row r="5704" spans="1:13" x14ac:dyDescent="0.3">
      <c r="A5704" t="s">
        <v>13</v>
      </c>
      <c r="B5704" t="s">
        <v>22</v>
      </c>
      <c r="C5704" t="s">
        <v>15</v>
      </c>
      <c r="D5704" t="s">
        <v>75</v>
      </c>
      <c r="E5704" t="s">
        <v>76</v>
      </c>
      <c r="F5704">
        <v>10009</v>
      </c>
      <c r="G5704" t="s">
        <v>57</v>
      </c>
      <c r="H5704" t="s">
        <v>26</v>
      </c>
      <c r="I5704" t="s">
        <v>37</v>
      </c>
      <c r="J5704">
        <v>40.176000000000002</v>
      </c>
      <c r="K5704">
        <v>3</v>
      </c>
      <c r="L5704">
        <v>0.2</v>
      </c>
      <c r="M5704">
        <v>14.563800000000001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19</v>
      </c>
      <c r="I5705" t="s">
        <v>33</v>
      </c>
      <c r="J5705">
        <v>79.44</v>
      </c>
      <c r="K5705">
        <v>3</v>
      </c>
      <c r="L5705">
        <v>0</v>
      </c>
      <c r="M5705">
        <v>30.187200000000001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26</v>
      </c>
      <c r="I5706" t="s">
        <v>110</v>
      </c>
      <c r="J5706">
        <v>357.93</v>
      </c>
      <c r="K5706">
        <v>3</v>
      </c>
      <c r="L5706">
        <v>0</v>
      </c>
      <c r="M5706">
        <v>7.1585999999999999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19</v>
      </c>
      <c r="I5707" t="s">
        <v>21</v>
      </c>
      <c r="J5707">
        <v>127.764</v>
      </c>
      <c r="K5707">
        <v>2</v>
      </c>
      <c r="L5707">
        <v>0.1</v>
      </c>
      <c r="M5707">
        <v>21.294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35</v>
      </c>
      <c r="I5708" t="s">
        <v>162</v>
      </c>
      <c r="J5708">
        <v>2799.944</v>
      </c>
      <c r="K5708">
        <v>7</v>
      </c>
      <c r="L5708">
        <v>0.2</v>
      </c>
      <c r="M5708">
        <v>1014.9797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26</v>
      </c>
      <c r="I5709" t="s">
        <v>41</v>
      </c>
      <c r="J5709">
        <v>19.440000000000001</v>
      </c>
      <c r="K5709">
        <v>3</v>
      </c>
      <c r="L5709">
        <v>0</v>
      </c>
      <c r="M5709">
        <v>9.3312000000000008</v>
      </c>
    </row>
    <row r="5710" spans="1:13" x14ac:dyDescent="0.3">
      <c r="A5710" t="s">
        <v>168</v>
      </c>
      <c r="B5710" t="s">
        <v>14</v>
      </c>
      <c r="C5710" t="s">
        <v>15</v>
      </c>
      <c r="D5710" t="s">
        <v>79</v>
      </c>
      <c r="E5710" t="s">
        <v>65</v>
      </c>
      <c r="F5710">
        <v>60653</v>
      </c>
      <c r="G5710" t="s">
        <v>47</v>
      </c>
      <c r="H5710" t="s">
        <v>35</v>
      </c>
      <c r="I5710" t="s">
        <v>36</v>
      </c>
      <c r="J5710">
        <v>36.792000000000002</v>
      </c>
      <c r="K5710">
        <v>1</v>
      </c>
      <c r="L5710">
        <v>0.2</v>
      </c>
      <c r="M5710">
        <v>4.1391</v>
      </c>
    </row>
    <row r="5711" spans="1:13" x14ac:dyDescent="0.3">
      <c r="A5711" t="s">
        <v>28</v>
      </c>
      <c r="B5711" t="s">
        <v>44</v>
      </c>
      <c r="C5711" t="s">
        <v>15</v>
      </c>
      <c r="D5711" t="s">
        <v>75</v>
      </c>
      <c r="E5711" t="s">
        <v>76</v>
      </c>
      <c r="F5711">
        <v>10035</v>
      </c>
      <c r="G5711" t="s">
        <v>57</v>
      </c>
      <c r="H5711" t="s">
        <v>35</v>
      </c>
      <c r="I5711" t="s">
        <v>36</v>
      </c>
      <c r="J5711">
        <v>5.94</v>
      </c>
      <c r="K5711">
        <v>3</v>
      </c>
      <c r="L5711">
        <v>0</v>
      </c>
      <c r="M5711">
        <v>1.6037999999999999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182</v>
      </c>
      <c r="E5712" t="s">
        <v>83</v>
      </c>
      <c r="F5712">
        <v>23223</v>
      </c>
      <c r="G5712" t="s">
        <v>18</v>
      </c>
      <c r="H5712" t="s">
        <v>26</v>
      </c>
      <c r="I5712" t="s">
        <v>32</v>
      </c>
      <c r="J5712">
        <v>177.55</v>
      </c>
      <c r="K5712">
        <v>5</v>
      </c>
      <c r="L5712">
        <v>0</v>
      </c>
      <c r="M5712">
        <v>47.938499999999998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59</v>
      </c>
      <c r="J5713">
        <v>619.95000000000005</v>
      </c>
      <c r="K5713">
        <v>5</v>
      </c>
      <c r="L5713">
        <v>0</v>
      </c>
      <c r="M5713">
        <v>111.59099999999999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35</v>
      </c>
      <c r="I5714" t="s">
        <v>36</v>
      </c>
      <c r="J5714">
        <v>29.16</v>
      </c>
      <c r="K5714">
        <v>3</v>
      </c>
      <c r="L5714">
        <v>0</v>
      </c>
      <c r="M5714">
        <v>8.4564000000000004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60</v>
      </c>
      <c r="J5715">
        <v>57.96</v>
      </c>
      <c r="K5715">
        <v>7</v>
      </c>
      <c r="L5715">
        <v>0</v>
      </c>
      <c r="M5715">
        <v>27.241199999999999</v>
      </c>
    </row>
    <row r="5716" spans="1:13" x14ac:dyDescent="0.3">
      <c r="A5716" t="s">
        <v>13</v>
      </c>
      <c r="B5716" t="s">
        <v>22</v>
      </c>
      <c r="C5716" t="s">
        <v>15</v>
      </c>
      <c r="D5716" t="s">
        <v>538</v>
      </c>
      <c r="E5716" t="s">
        <v>70</v>
      </c>
      <c r="F5716">
        <v>48104</v>
      </c>
      <c r="G5716" t="s">
        <v>47</v>
      </c>
      <c r="H5716" t="s">
        <v>26</v>
      </c>
      <c r="I5716" t="s">
        <v>38</v>
      </c>
      <c r="J5716">
        <v>29.402999999999999</v>
      </c>
      <c r="K5716">
        <v>3</v>
      </c>
      <c r="L5716">
        <v>0.1</v>
      </c>
      <c r="M5716">
        <v>5.2271999999999998</v>
      </c>
    </row>
    <row r="5717" spans="1:13" x14ac:dyDescent="0.3">
      <c r="A5717" t="s">
        <v>13</v>
      </c>
      <c r="B5717" t="s">
        <v>14</v>
      </c>
      <c r="C5717" t="s">
        <v>15</v>
      </c>
      <c r="D5717" t="s">
        <v>325</v>
      </c>
      <c r="E5717" t="s">
        <v>74</v>
      </c>
      <c r="F5717">
        <v>47905</v>
      </c>
      <c r="G5717" t="s">
        <v>47</v>
      </c>
      <c r="H5717" t="s">
        <v>26</v>
      </c>
      <c r="I5717" t="s">
        <v>32</v>
      </c>
      <c r="J5717">
        <v>81.400000000000006</v>
      </c>
      <c r="K5717">
        <v>5</v>
      </c>
      <c r="L5717">
        <v>0</v>
      </c>
      <c r="M5717">
        <v>21.164000000000001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26</v>
      </c>
      <c r="I5718" t="s">
        <v>77</v>
      </c>
      <c r="J5718">
        <v>8.7200000000000006</v>
      </c>
      <c r="K5718">
        <v>5</v>
      </c>
      <c r="L5718">
        <v>0.2</v>
      </c>
      <c r="M5718">
        <v>2.2890000000000001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91.176000000000002</v>
      </c>
      <c r="K5719">
        <v>3</v>
      </c>
      <c r="L5719">
        <v>0.2</v>
      </c>
      <c r="M5719">
        <v>4.5587999999999997</v>
      </c>
    </row>
    <row r="5720" spans="1:13" x14ac:dyDescent="0.3">
      <c r="A5720" t="s">
        <v>62</v>
      </c>
      <c r="B5720" t="s">
        <v>22</v>
      </c>
      <c r="C5720" t="s">
        <v>15</v>
      </c>
      <c r="D5720" t="s">
        <v>82</v>
      </c>
      <c r="E5720" t="s">
        <v>95</v>
      </c>
      <c r="F5720">
        <v>97477</v>
      </c>
      <c r="G5720" t="s">
        <v>25</v>
      </c>
      <c r="H5720" t="s">
        <v>35</v>
      </c>
      <c r="I5720" t="s">
        <v>59</v>
      </c>
      <c r="J5720">
        <v>159.96799999999999</v>
      </c>
      <c r="K5720">
        <v>4</v>
      </c>
      <c r="L5720">
        <v>0.2</v>
      </c>
      <c r="M5720">
        <v>29.994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52</v>
      </c>
      <c r="E5721" t="s">
        <v>24</v>
      </c>
      <c r="F5721">
        <v>94109</v>
      </c>
      <c r="G5721" t="s">
        <v>25</v>
      </c>
      <c r="H5721" t="s">
        <v>26</v>
      </c>
      <c r="I5721" t="s">
        <v>41</v>
      </c>
      <c r="J5721">
        <v>12.96</v>
      </c>
      <c r="K5721">
        <v>2</v>
      </c>
      <c r="L5721">
        <v>0</v>
      </c>
      <c r="M5721">
        <v>6.2207999999999997</v>
      </c>
    </row>
    <row r="5722" spans="1:13" x14ac:dyDescent="0.3">
      <c r="A5722" t="s">
        <v>28</v>
      </c>
      <c r="B5722" t="s">
        <v>22</v>
      </c>
      <c r="C5722" t="s">
        <v>15</v>
      </c>
      <c r="D5722" t="s">
        <v>79</v>
      </c>
      <c r="E5722" t="s">
        <v>65</v>
      </c>
      <c r="F5722">
        <v>60653</v>
      </c>
      <c r="G5722" t="s">
        <v>47</v>
      </c>
      <c r="H5722" t="s">
        <v>26</v>
      </c>
      <c r="I5722" t="s">
        <v>32</v>
      </c>
      <c r="J5722">
        <v>331.536</v>
      </c>
      <c r="K5722">
        <v>3</v>
      </c>
      <c r="L5722">
        <v>0.2</v>
      </c>
      <c r="M5722">
        <v>-82.884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75</v>
      </c>
      <c r="E5723" t="s">
        <v>76</v>
      </c>
      <c r="F5723">
        <v>10011</v>
      </c>
      <c r="G5723" t="s">
        <v>57</v>
      </c>
      <c r="H5723" t="s">
        <v>35</v>
      </c>
      <c r="I5723" t="s">
        <v>59</v>
      </c>
      <c r="J5723">
        <v>899.91</v>
      </c>
      <c r="K5723">
        <v>9</v>
      </c>
      <c r="L5723">
        <v>0</v>
      </c>
      <c r="M5723">
        <v>395.96039999999999</v>
      </c>
    </row>
    <row r="5724" spans="1:13" x14ac:dyDescent="0.3">
      <c r="A5724" t="s">
        <v>28</v>
      </c>
      <c r="B5724" t="s">
        <v>22</v>
      </c>
      <c r="C5724" t="s">
        <v>15</v>
      </c>
      <c r="D5724" t="s">
        <v>61</v>
      </c>
      <c r="E5724" t="s">
        <v>46</v>
      </c>
      <c r="F5724">
        <v>77095</v>
      </c>
      <c r="G5724" t="s">
        <v>47</v>
      </c>
      <c r="H5724" t="s">
        <v>35</v>
      </c>
      <c r="I5724" t="s">
        <v>36</v>
      </c>
      <c r="J5724">
        <v>946.34400000000005</v>
      </c>
      <c r="K5724">
        <v>7</v>
      </c>
      <c r="L5724">
        <v>0.2</v>
      </c>
      <c r="M5724">
        <v>118.29300000000001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35</v>
      </c>
      <c r="I5725" t="s">
        <v>59</v>
      </c>
      <c r="J5725">
        <v>178.11</v>
      </c>
      <c r="K5725">
        <v>3</v>
      </c>
      <c r="L5725">
        <v>0</v>
      </c>
      <c r="M5725">
        <v>32.059800000000003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38</v>
      </c>
      <c r="J5726">
        <v>1089.75</v>
      </c>
      <c r="K5726">
        <v>3</v>
      </c>
      <c r="L5726">
        <v>0</v>
      </c>
      <c r="M5726">
        <v>305.13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26</v>
      </c>
      <c r="I5727" t="s">
        <v>27</v>
      </c>
      <c r="J5727">
        <v>61.06</v>
      </c>
      <c r="K5727">
        <v>2</v>
      </c>
      <c r="L5727">
        <v>0</v>
      </c>
      <c r="M5727">
        <v>28.087599999999998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19</v>
      </c>
      <c r="I5728" t="s">
        <v>20</v>
      </c>
      <c r="J5728">
        <v>459.92</v>
      </c>
      <c r="K5728">
        <v>4</v>
      </c>
      <c r="L5728">
        <v>0</v>
      </c>
      <c r="M5728">
        <v>41.392800000000001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26</v>
      </c>
      <c r="I5729" t="s">
        <v>41</v>
      </c>
      <c r="J5729">
        <v>27.52</v>
      </c>
      <c r="K5729">
        <v>4</v>
      </c>
      <c r="L5729">
        <v>0</v>
      </c>
      <c r="M5729">
        <v>12.6592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19</v>
      </c>
      <c r="I5730" t="s">
        <v>20</v>
      </c>
      <c r="J5730">
        <v>638.82000000000005</v>
      </c>
      <c r="K5730">
        <v>9</v>
      </c>
      <c r="L5730">
        <v>0</v>
      </c>
      <c r="M5730">
        <v>185.2578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26</v>
      </c>
      <c r="I5731" t="s">
        <v>110</v>
      </c>
      <c r="J5731">
        <v>30.69</v>
      </c>
      <c r="K5731">
        <v>3</v>
      </c>
      <c r="L5731">
        <v>0</v>
      </c>
      <c r="M5731">
        <v>7.9794</v>
      </c>
    </row>
    <row r="5732" spans="1:13" x14ac:dyDescent="0.3">
      <c r="A5732" t="s">
        <v>62</v>
      </c>
      <c r="B5732" t="s">
        <v>22</v>
      </c>
      <c r="C5732" t="s">
        <v>15</v>
      </c>
      <c r="D5732" t="s">
        <v>542</v>
      </c>
      <c r="E5732" t="s">
        <v>127</v>
      </c>
      <c r="F5732">
        <v>6460</v>
      </c>
      <c r="G5732" t="s">
        <v>57</v>
      </c>
      <c r="H5732" t="s">
        <v>19</v>
      </c>
      <c r="I5732" t="s">
        <v>33</v>
      </c>
      <c r="J5732">
        <v>25.16</v>
      </c>
      <c r="K5732">
        <v>2</v>
      </c>
      <c r="L5732">
        <v>0</v>
      </c>
      <c r="M5732">
        <v>8.5543999999999993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75</v>
      </c>
      <c r="E5733" t="s">
        <v>76</v>
      </c>
      <c r="F5733">
        <v>10024</v>
      </c>
      <c r="G5733" t="s">
        <v>57</v>
      </c>
      <c r="H5733" t="s">
        <v>26</v>
      </c>
      <c r="I5733" t="s">
        <v>37</v>
      </c>
      <c r="J5733">
        <v>13.92</v>
      </c>
      <c r="K5733">
        <v>3</v>
      </c>
      <c r="L5733">
        <v>0.2</v>
      </c>
      <c r="M5733">
        <v>4.8719999999999999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26</v>
      </c>
      <c r="I5734" t="s">
        <v>41</v>
      </c>
      <c r="J5734">
        <v>19.36</v>
      </c>
      <c r="K5734">
        <v>2</v>
      </c>
      <c r="L5734">
        <v>0</v>
      </c>
      <c r="M5734">
        <v>9.2927999999999997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23</v>
      </c>
      <c r="E5735" t="s">
        <v>24</v>
      </c>
      <c r="F5735">
        <v>90049</v>
      </c>
      <c r="G5735" t="s">
        <v>25</v>
      </c>
      <c r="H5735" t="s">
        <v>19</v>
      </c>
      <c r="I5735" t="s">
        <v>33</v>
      </c>
      <c r="J5735">
        <v>19.3</v>
      </c>
      <c r="K5735">
        <v>2</v>
      </c>
      <c r="L5735">
        <v>0</v>
      </c>
      <c r="M5735">
        <v>5.79</v>
      </c>
    </row>
    <row r="5736" spans="1:13" x14ac:dyDescent="0.3">
      <c r="A5736" t="s">
        <v>28</v>
      </c>
      <c r="B5736" t="s">
        <v>14</v>
      </c>
      <c r="C5736" t="s">
        <v>15</v>
      </c>
      <c r="D5736" t="s">
        <v>52</v>
      </c>
      <c r="E5736" t="s">
        <v>24</v>
      </c>
      <c r="F5736">
        <v>94109</v>
      </c>
      <c r="G5736" t="s">
        <v>25</v>
      </c>
      <c r="H5736" t="s">
        <v>26</v>
      </c>
      <c r="I5736" t="s">
        <v>37</v>
      </c>
      <c r="J5736">
        <v>38.375999999999998</v>
      </c>
      <c r="K5736">
        <v>3</v>
      </c>
      <c r="L5736">
        <v>0.2</v>
      </c>
      <c r="M5736">
        <v>13.4316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26</v>
      </c>
      <c r="I5737" t="s">
        <v>41</v>
      </c>
      <c r="J5737">
        <v>12.96</v>
      </c>
      <c r="K5737">
        <v>2</v>
      </c>
      <c r="L5737">
        <v>0</v>
      </c>
      <c r="M5737">
        <v>6.3503999999999996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19</v>
      </c>
      <c r="I5738" t="s">
        <v>33</v>
      </c>
      <c r="J5738">
        <v>26.48</v>
      </c>
      <c r="K5738">
        <v>1</v>
      </c>
      <c r="L5738">
        <v>0</v>
      </c>
      <c r="M5738">
        <v>10.0624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35</v>
      </c>
      <c r="I5739" t="s">
        <v>123</v>
      </c>
      <c r="J5739">
        <v>532.72</v>
      </c>
      <c r="K5739">
        <v>2</v>
      </c>
      <c r="L5739">
        <v>0.2</v>
      </c>
      <c r="M5739">
        <v>53.271999999999998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26.72</v>
      </c>
      <c r="K5740">
        <v>4</v>
      </c>
      <c r="L5740">
        <v>0</v>
      </c>
      <c r="M5740">
        <v>12.8256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20.04</v>
      </c>
      <c r="K5741">
        <v>3</v>
      </c>
      <c r="L5741">
        <v>0</v>
      </c>
      <c r="M5741">
        <v>9.6191999999999993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26</v>
      </c>
      <c r="I5742" t="s">
        <v>32</v>
      </c>
      <c r="J5742">
        <v>795.48</v>
      </c>
      <c r="K5742">
        <v>7</v>
      </c>
      <c r="L5742">
        <v>0</v>
      </c>
      <c r="M5742">
        <v>7.9547999999999996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19</v>
      </c>
      <c r="I5743" t="s">
        <v>33</v>
      </c>
      <c r="J5743">
        <v>21.56</v>
      </c>
      <c r="K5743">
        <v>7</v>
      </c>
      <c r="L5743">
        <v>0</v>
      </c>
      <c r="M5743">
        <v>6.8992000000000004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36</v>
      </c>
      <c r="J5744">
        <v>249.584</v>
      </c>
      <c r="K5744">
        <v>2</v>
      </c>
      <c r="L5744">
        <v>0.2</v>
      </c>
      <c r="M5744">
        <v>31.198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68.111999999999995</v>
      </c>
      <c r="K5745">
        <v>3</v>
      </c>
      <c r="L5745">
        <v>0.2</v>
      </c>
      <c r="M5745">
        <v>17.8794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287</v>
      </c>
      <c r="E5746" t="s">
        <v>40</v>
      </c>
      <c r="F5746">
        <v>27834</v>
      </c>
      <c r="G5746" t="s">
        <v>18</v>
      </c>
      <c r="H5746" t="s">
        <v>35</v>
      </c>
      <c r="I5746" t="s">
        <v>59</v>
      </c>
      <c r="J5746">
        <v>16.559999999999999</v>
      </c>
      <c r="K5746">
        <v>3</v>
      </c>
      <c r="L5746">
        <v>0.2</v>
      </c>
      <c r="M5746">
        <v>-2.484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159</v>
      </c>
      <c r="E5747" t="s">
        <v>76</v>
      </c>
      <c r="F5747">
        <v>11561</v>
      </c>
      <c r="G5747" t="s">
        <v>57</v>
      </c>
      <c r="H5747" t="s">
        <v>35</v>
      </c>
      <c r="I5747" t="s">
        <v>36</v>
      </c>
      <c r="J5747">
        <v>74.95</v>
      </c>
      <c r="K5747">
        <v>5</v>
      </c>
      <c r="L5747">
        <v>0</v>
      </c>
      <c r="M5747">
        <v>36.725499999999997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543</v>
      </c>
      <c r="E5748" t="s">
        <v>65</v>
      </c>
      <c r="F5748">
        <v>60089</v>
      </c>
      <c r="G5748" t="s">
        <v>47</v>
      </c>
      <c r="H5748" t="s">
        <v>19</v>
      </c>
      <c r="I5748" t="s">
        <v>31</v>
      </c>
      <c r="J5748">
        <v>355.45499999999998</v>
      </c>
      <c r="K5748">
        <v>3</v>
      </c>
      <c r="L5748">
        <v>0.5</v>
      </c>
      <c r="M5748">
        <v>-184.8366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44.4</v>
      </c>
      <c r="K5749">
        <v>3</v>
      </c>
      <c r="L5749">
        <v>0</v>
      </c>
      <c r="M5749">
        <v>22.2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144</v>
      </c>
      <c r="E5750" t="s">
        <v>24</v>
      </c>
      <c r="F5750">
        <v>92037</v>
      </c>
      <c r="G5750" t="s">
        <v>25</v>
      </c>
      <c r="H5750" t="s">
        <v>26</v>
      </c>
      <c r="I5750" t="s">
        <v>27</v>
      </c>
      <c r="J5750">
        <v>20.65</v>
      </c>
      <c r="K5750">
        <v>5</v>
      </c>
      <c r="L5750">
        <v>0</v>
      </c>
      <c r="M5750">
        <v>9.4990000000000006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182</v>
      </c>
      <c r="E5751" t="s">
        <v>17</v>
      </c>
      <c r="F5751">
        <v>40475</v>
      </c>
      <c r="G5751" t="s">
        <v>18</v>
      </c>
      <c r="H5751" t="s">
        <v>19</v>
      </c>
      <c r="I5751" t="s">
        <v>21</v>
      </c>
      <c r="J5751">
        <v>866.4</v>
      </c>
      <c r="K5751">
        <v>4</v>
      </c>
      <c r="L5751">
        <v>0</v>
      </c>
      <c r="M5751">
        <v>225.26400000000001</v>
      </c>
    </row>
    <row r="5752" spans="1:13" x14ac:dyDescent="0.3">
      <c r="A5752" t="s">
        <v>13</v>
      </c>
      <c r="B5752" t="s">
        <v>14</v>
      </c>
      <c r="C5752" t="s">
        <v>15</v>
      </c>
      <c r="D5752" t="s">
        <v>82</v>
      </c>
      <c r="E5752" t="s">
        <v>83</v>
      </c>
      <c r="F5752">
        <v>22153</v>
      </c>
      <c r="G5752" t="s">
        <v>18</v>
      </c>
      <c r="H5752" t="s">
        <v>26</v>
      </c>
      <c r="I5752" t="s">
        <v>34</v>
      </c>
      <c r="J5752">
        <v>5.56</v>
      </c>
      <c r="K5752">
        <v>2</v>
      </c>
      <c r="L5752">
        <v>0</v>
      </c>
      <c r="M5752">
        <v>1.4456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26</v>
      </c>
      <c r="I5753" t="s">
        <v>38</v>
      </c>
      <c r="J5753">
        <v>3.16</v>
      </c>
      <c r="K5753">
        <v>4</v>
      </c>
      <c r="L5753">
        <v>0.8</v>
      </c>
      <c r="M5753">
        <v>-8.532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45</v>
      </c>
      <c r="E5754" t="s">
        <v>46</v>
      </c>
      <c r="F5754">
        <v>76106</v>
      </c>
      <c r="G5754" t="s">
        <v>47</v>
      </c>
      <c r="H5754" t="s">
        <v>35</v>
      </c>
      <c r="I5754" t="s">
        <v>162</v>
      </c>
      <c r="J5754">
        <v>1999.96</v>
      </c>
      <c r="K5754">
        <v>5</v>
      </c>
      <c r="L5754">
        <v>0.2</v>
      </c>
      <c r="M5754">
        <v>624.98749999999995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339</v>
      </c>
      <c r="E5755" t="s">
        <v>40</v>
      </c>
      <c r="F5755">
        <v>27604</v>
      </c>
      <c r="G5755" t="s">
        <v>18</v>
      </c>
      <c r="H5755" t="s">
        <v>19</v>
      </c>
      <c r="I5755" t="s">
        <v>33</v>
      </c>
      <c r="J5755">
        <v>46.152000000000001</v>
      </c>
      <c r="K5755">
        <v>3</v>
      </c>
      <c r="L5755">
        <v>0.2</v>
      </c>
      <c r="M5755">
        <v>12.1149</v>
      </c>
    </row>
    <row r="5756" spans="1:13" x14ac:dyDescent="0.3">
      <c r="A5756" t="s">
        <v>62</v>
      </c>
      <c r="B5756" t="s">
        <v>14</v>
      </c>
      <c r="C5756" t="s">
        <v>15</v>
      </c>
      <c r="D5756" t="s">
        <v>229</v>
      </c>
      <c r="E5756" t="s">
        <v>30</v>
      </c>
      <c r="F5756">
        <v>33012</v>
      </c>
      <c r="G5756" t="s">
        <v>18</v>
      </c>
      <c r="H5756" t="s">
        <v>35</v>
      </c>
      <c r="I5756" t="s">
        <v>123</v>
      </c>
      <c r="J5756">
        <v>32.984999999999999</v>
      </c>
      <c r="K5756">
        <v>3</v>
      </c>
      <c r="L5756">
        <v>0.5</v>
      </c>
      <c r="M5756">
        <v>-1.9791000000000001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32</v>
      </c>
      <c r="J5757">
        <v>481.32</v>
      </c>
      <c r="K5757">
        <v>4</v>
      </c>
      <c r="L5757">
        <v>0</v>
      </c>
      <c r="M5757">
        <v>125.14319999999999</v>
      </c>
    </row>
    <row r="5758" spans="1:13" x14ac:dyDescent="0.3">
      <c r="A5758" t="s">
        <v>168</v>
      </c>
      <c r="B5758" t="s">
        <v>44</v>
      </c>
      <c r="C5758" t="s">
        <v>15</v>
      </c>
      <c r="D5758" t="s">
        <v>23</v>
      </c>
      <c r="E5758" t="s">
        <v>24</v>
      </c>
      <c r="F5758">
        <v>90032</v>
      </c>
      <c r="G5758" t="s">
        <v>25</v>
      </c>
      <c r="H5758" t="s">
        <v>26</v>
      </c>
      <c r="I5758" t="s">
        <v>37</v>
      </c>
      <c r="J5758">
        <v>6.3840000000000003</v>
      </c>
      <c r="K5758">
        <v>1</v>
      </c>
      <c r="L5758">
        <v>0.2</v>
      </c>
      <c r="M5758">
        <v>2.1545999999999998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26</v>
      </c>
      <c r="I5759" t="s">
        <v>38</v>
      </c>
      <c r="J5759">
        <v>542.94000000000005</v>
      </c>
      <c r="K5759">
        <v>3</v>
      </c>
      <c r="L5759">
        <v>0</v>
      </c>
      <c r="M5759">
        <v>152.0232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544</v>
      </c>
      <c r="E5760" t="s">
        <v>24</v>
      </c>
      <c r="F5760">
        <v>92630</v>
      </c>
      <c r="G5760" t="s">
        <v>25</v>
      </c>
      <c r="H5760" t="s">
        <v>19</v>
      </c>
      <c r="I5760" t="s">
        <v>33</v>
      </c>
      <c r="J5760">
        <v>54.92</v>
      </c>
      <c r="K5760">
        <v>4</v>
      </c>
      <c r="L5760">
        <v>0</v>
      </c>
      <c r="M5760">
        <v>19.7712</v>
      </c>
    </row>
    <row r="5761" spans="1:13" x14ac:dyDescent="0.3">
      <c r="A5761" t="s">
        <v>62</v>
      </c>
      <c r="B5761" t="s">
        <v>22</v>
      </c>
      <c r="C5761" t="s">
        <v>15</v>
      </c>
      <c r="D5761" t="s">
        <v>159</v>
      </c>
      <c r="E5761" t="s">
        <v>76</v>
      </c>
      <c r="F5761">
        <v>11561</v>
      </c>
      <c r="G5761" t="s">
        <v>57</v>
      </c>
      <c r="H5761" t="s">
        <v>19</v>
      </c>
      <c r="I5761" t="s">
        <v>21</v>
      </c>
      <c r="J5761">
        <v>1448.82</v>
      </c>
      <c r="K5761">
        <v>10</v>
      </c>
      <c r="L5761">
        <v>0.1</v>
      </c>
      <c r="M5761">
        <v>209.274</v>
      </c>
    </row>
    <row r="5762" spans="1:13" x14ac:dyDescent="0.3">
      <c r="A5762" t="s">
        <v>13</v>
      </c>
      <c r="B5762" t="s">
        <v>14</v>
      </c>
      <c r="C5762" t="s">
        <v>15</v>
      </c>
      <c r="D5762" t="s">
        <v>42</v>
      </c>
      <c r="E5762" t="s">
        <v>43</v>
      </c>
      <c r="F5762">
        <v>98103</v>
      </c>
      <c r="G5762" t="s">
        <v>25</v>
      </c>
      <c r="H5762" t="s">
        <v>26</v>
      </c>
      <c r="I5762" t="s">
        <v>32</v>
      </c>
      <c r="J5762">
        <v>353.88</v>
      </c>
      <c r="K5762">
        <v>6</v>
      </c>
      <c r="L5762">
        <v>0</v>
      </c>
      <c r="M5762">
        <v>17.693999999999999</v>
      </c>
    </row>
    <row r="5763" spans="1:13" x14ac:dyDescent="0.3">
      <c r="A5763" t="s">
        <v>28</v>
      </c>
      <c r="B5763" t="s">
        <v>14</v>
      </c>
      <c r="C5763" t="s">
        <v>15</v>
      </c>
      <c r="D5763" t="s">
        <v>545</v>
      </c>
      <c r="E5763" t="s">
        <v>24</v>
      </c>
      <c r="F5763">
        <v>96003</v>
      </c>
      <c r="G5763" t="s">
        <v>25</v>
      </c>
      <c r="H5763" t="s">
        <v>35</v>
      </c>
      <c r="I5763" t="s">
        <v>36</v>
      </c>
      <c r="J5763">
        <v>333.57600000000002</v>
      </c>
      <c r="K5763">
        <v>3</v>
      </c>
      <c r="L5763">
        <v>0.2</v>
      </c>
      <c r="M5763">
        <v>25.0182</v>
      </c>
    </row>
    <row r="5764" spans="1:13" x14ac:dyDescent="0.3">
      <c r="A5764" t="s">
        <v>28</v>
      </c>
      <c r="B5764" t="s">
        <v>44</v>
      </c>
      <c r="C5764" t="s">
        <v>15</v>
      </c>
      <c r="D5764" t="s">
        <v>122</v>
      </c>
      <c r="E5764" t="s">
        <v>46</v>
      </c>
      <c r="F5764">
        <v>78207</v>
      </c>
      <c r="G5764" t="s">
        <v>47</v>
      </c>
      <c r="H5764" t="s">
        <v>26</v>
      </c>
      <c r="I5764" t="s">
        <v>27</v>
      </c>
      <c r="J5764">
        <v>60.143999999999998</v>
      </c>
      <c r="K5764">
        <v>6</v>
      </c>
      <c r="L5764">
        <v>0.2</v>
      </c>
      <c r="M5764">
        <v>20.2986</v>
      </c>
    </row>
    <row r="5765" spans="1:13" x14ac:dyDescent="0.3">
      <c r="A5765" t="s">
        <v>13</v>
      </c>
      <c r="B5765" t="s">
        <v>22</v>
      </c>
      <c r="C5765" t="s">
        <v>15</v>
      </c>
      <c r="D5765" t="s">
        <v>61</v>
      </c>
      <c r="E5765" t="s">
        <v>46</v>
      </c>
      <c r="F5765">
        <v>77070</v>
      </c>
      <c r="G5765" t="s">
        <v>47</v>
      </c>
      <c r="H5765" t="s">
        <v>35</v>
      </c>
      <c r="I5765" t="s">
        <v>59</v>
      </c>
      <c r="J5765">
        <v>85.2</v>
      </c>
      <c r="K5765">
        <v>6</v>
      </c>
      <c r="L5765">
        <v>0.2</v>
      </c>
      <c r="M5765">
        <v>20.234999999999999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27</v>
      </c>
      <c r="J5766">
        <v>3.15</v>
      </c>
      <c r="K5766">
        <v>1</v>
      </c>
      <c r="L5766">
        <v>0</v>
      </c>
      <c r="M5766">
        <v>1.512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359</v>
      </c>
      <c r="E5767" t="s">
        <v>166</v>
      </c>
      <c r="F5767">
        <v>1453</v>
      </c>
      <c r="G5767" t="s">
        <v>57</v>
      </c>
      <c r="H5767" t="s">
        <v>26</v>
      </c>
      <c r="I5767" t="s">
        <v>41</v>
      </c>
      <c r="J5767">
        <v>22.72</v>
      </c>
      <c r="K5767">
        <v>4</v>
      </c>
      <c r="L5767">
        <v>0</v>
      </c>
      <c r="M5767">
        <v>10.224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19</v>
      </c>
      <c r="I5768" t="s">
        <v>33</v>
      </c>
      <c r="J5768">
        <v>14.91</v>
      </c>
      <c r="K5768">
        <v>3</v>
      </c>
      <c r="L5768">
        <v>0</v>
      </c>
      <c r="M5768">
        <v>4.6220999999999997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23</v>
      </c>
      <c r="E5769" t="s">
        <v>24</v>
      </c>
      <c r="F5769">
        <v>90032</v>
      </c>
      <c r="G5769" t="s">
        <v>25</v>
      </c>
      <c r="H5769" t="s">
        <v>26</v>
      </c>
      <c r="I5769" t="s">
        <v>38</v>
      </c>
      <c r="J5769">
        <v>1158.1199999999999</v>
      </c>
      <c r="K5769">
        <v>4</v>
      </c>
      <c r="L5769">
        <v>0</v>
      </c>
      <c r="M5769">
        <v>335.85480000000001</v>
      </c>
    </row>
    <row r="5770" spans="1:13" x14ac:dyDescent="0.3">
      <c r="A5770" t="s">
        <v>28</v>
      </c>
      <c r="B5770" t="s">
        <v>22</v>
      </c>
      <c r="C5770" t="s">
        <v>15</v>
      </c>
      <c r="D5770" t="s">
        <v>82</v>
      </c>
      <c r="E5770" t="s">
        <v>112</v>
      </c>
      <c r="F5770">
        <v>65807</v>
      </c>
      <c r="G5770" t="s">
        <v>47</v>
      </c>
      <c r="H5770" t="s">
        <v>35</v>
      </c>
      <c r="I5770" t="s">
        <v>162</v>
      </c>
      <c r="J5770">
        <v>599.99</v>
      </c>
      <c r="K5770">
        <v>1</v>
      </c>
      <c r="L5770">
        <v>0</v>
      </c>
      <c r="M5770">
        <v>233.99610000000001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526</v>
      </c>
      <c r="E5771" t="s">
        <v>46</v>
      </c>
      <c r="F5771">
        <v>76706</v>
      </c>
      <c r="G5771" t="s">
        <v>47</v>
      </c>
      <c r="H5771" t="s">
        <v>26</v>
      </c>
      <c r="I5771" t="s">
        <v>32</v>
      </c>
      <c r="J5771">
        <v>23.968</v>
      </c>
      <c r="K5771">
        <v>2</v>
      </c>
      <c r="L5771">
        <v>0.2</v>
      </c>
      <c r="M5771">
        <v>2.3967999999999998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19</v>
      </c>
      <c r="I5772" t="s">
        <v>21</v>
      </c>
      <c r="J5772">
        <v>638.28800000000001</v>
      </c>
      <c r="K5772">
        <v>7</v>
      </c>
      <c r="L5772">
        <v>0.2</v>
      </c>
      <c r="M5772">
        <v>-31.914400000000001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23</v>
      </c>
      <c r="E5773" t="s">
        <v>24</v>
      </c>
      <c r="F5773">
        <v>90036</v>
      </c>
      <c r="G5773" t="s">
        <v>25</v>
      </c>
      <c r="H5773" t="s">
        <v>26</v>
      </c>
      <c r="I5773" t="s">
        <v>37</v>
      </c>
      <c r="J5773">
        <v>13.208</v>
      </c>
      <c r="K5773">
        <v>1</v>
      </c>
      <c r="L5773">
        <v>0.2</v>
      </c>
      <c r="M5773">
        <v>4.6227999999999998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190</v>
      </c>
      <c r="E5774" t="s">
        <v>76</v>
      </c>
      <c r="F5774">
        <v>13021</v>
      </c>
      <c r="G5774" t="s">
        <v>57</v>
      </c>
      <c r="H5774" t="s">
        <v>26</v>
      </c>
      <c r="I5774" t="s">
        <v>37</v>
      </c>
      <c r="J5774">
        <v>15.528</v>
      </c>
      <c r="K5774">
        <v>3</v>
      </c>
      <c r="L5774">
        <v>0.2</v>
      </c>
      <c r="M5774">
        <v>5.8230000000000004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</v>
      </c>
      <c r="E5775" t="s">
        <v>24</v>
      </c>
      <c r="F5775">
        <v>94109</v>
      </c>
      <c r="G5775" t="s">
        <v>25</v>
      </c>
      <c r="H5775" t="s">
        <v>26</v>
      </c>
      <c r="I5775" t="s">
        <v>41</v>
      </c>
      <c r="J5775">
        <v>104.85</v>
      </c>
      <c r="K5775">
        <v>1</v>
      </c>
      <c r="L5775">
        <v>0</v>
      </c>
      <c r="M5775">
        <v>50.328000000000003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26</v>
      </c>
      <c r="I5776" t="s">
        <v>34</v>
      </c>
      <c r="J5776">
        <v>30.48</v>
      </c>
      <c r="K5776">
        <v>3</v>
      </c>
      <c r="L5776">
        <v>0</v>
      </c>
      <c r="M5776">
        <v>7.9248000000000003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90008</v>
      </c>
      <c r="G5777" t="s">
        <v>25</v>
      </c>
      <c r="H5777" t="s">
        <v>19</v>
      </c>
      <c r="I5777" t="s">
        <v>21</v>
      </c>
      <c r="J5777">
        <v>112.648</v>
      </c>
      <c r="K5777">
        <v>1</v>
      </c>
      <c r="L5777">
        <v>0.2</v>
      </c>
      <c r="M5777">
        <v>11.264799999999999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23</v>
      </c>
      <c r="E5778" t="s">
        <v>24</v>
      </c>
      <c r="F5778">
        <v>90049</v>
      </c>
      <c r="G5778" t="s">
        <v>25</v>
      </c>
      <c r="H5778" t="s">
        <v>35</v>
      </c>
      <c r="I5778" t="s">
        <v>123</v>
      </c>
      <c r="J5778">
        <v>71.975999999999999</v>
      </c>
      <c r="K5778">
        <v>3</v>
      </c>
      <c r="L5778">
        <v>0.2</v>
      </c>
      <c r="M5778">
        <v>24.291899999999998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34</v>
      </c>
      <c r="J5779">
        <v>2.21</v>
      </c>
      <c r="K5779">
        <v>1</v>
      </c>
      <c r="L5779">
        <v>0</v>
      </c>
      <c r="M5779">
        <v>0.59670000000000001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60</v>
      </c>
      <c r="J5780">
        <v>15.52</v>
      </c>
      <c r="K5780">
        <v>4</v>
      </c>
      <c r="L5780">
        <v>0</v>
      </c>
      <c r="M5780">
        <v>7.4496000000000002</v>
      </c>
    </row>
    <row r="5781" spans="1:13" x14ac:dyDescent="0.3">
      <c r="A5781" t="s">
        <v>13</v>
      </c>
      <c r="B5781" t="s">
        <v>14</v>
      </c>
      <c r="C5781" t="s">
        <v>15</v>
      </c>
      <c r="D5781" t="s">
        <v>546</v>
      </c>
      <c r="E5781" t="s">
        <v>24</v>
      </c>
      <c r="F5781">
        <v>95928</v>
      </c>
      <c r="G5781" t="s">
        <v>25</v>
      </c>
      <c r="H5781" t="s">
        <v>26</v>
      </c>
      <c r="I5781" t="s">
        <v>41</v>
      </c>
      <c r="J5781">
        <v>36.44</v>
      </c>
      <c r="K5781">
        <v>4</v>
      </c>
      <c r="L5781">
        <v>0</v>
      </c>
      <c r="M5781">
        <v>16.398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19</v>
      </c>
      <c r="I5782" t="s">
        <v>20</v>
      </c>
      <c r="J5782">
        <v>217.76400000000001</v>
      </c>
      <c r="K5782">
        <v>6</v>
      </c>
      <c r="L5782">
        <v>0.7</v>
      </c>
      <c r="M5782">
        <v>-384.71640000000002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110</v>
      </c>
      <c r="J5783">
        <v>39.072000000000003</v>
      </c>
      <c r="K5783">
        <v>6</v>
      </c>
      <c r="L5783">
        <v>0.2</v>
      </c>
      <c r="M5783">
        <v>4.3956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37</v>
      </c>
      <c r="J5784">
        <v>22.638000000000002</v>
      </c>
      <c r="K5784">
        <v>7</v>
      </c>
      <c r="L5784">
        <v>0.7</v>
      </c>
      <c r="M5784">
        <v>-16.601199999999999</v>
      </c>
    </row>
    <row r="5785" spans="1:13" x14ac:dyDescent="0.3">
      <c r="A5785" t="s">
        <v>28</v>
      </c>
      <c r="B5785" t="s">
        <v>14</v>
      </c>
      <c r="C5785" t="s">
        <v>15</v>
      </c>
      <c r="D5785" t="s">
        <v>82</v>
      </c>
      <c r="E5785" t="s">
        <v>95</v>
      </c>
      <c r="F5785">
        <v>97477</v>
      </c>
      <c r="G5785" t="s">
        <v>25</v>
      </c>
      <c r="H5785" t="s">
        <v>26</v>
      </c>
      <c r="I5785" t="s">
        <v>34</v>
      </c>
      <c r="J5785">
        <v>95.144000000000005</v>
      </c>
      <c r="K5785">
        <v>7</v>
      </c>
      <c r="L5785">
        <v>0.2</v>
      </c>
      <c r="M5785">
        <v>10.7037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19</v>
      </c>
      <c r="I5786" t="s">
        <v>33</v>
      </c>
      <c r="J5786">
        <v>12.32</v>
      </c>
      <c r="K5786">
        <v>5</v>
      </c>
      <c r="L5786">
        <v>0.2</v>
      </c>
      <c r="M5786">
        <v>1.8480000000000001</v>
      </c>
    </row>
    <row r="5787" spans="1:13" x14ac:dyDescent="0.3">
      <c r="A5787" t="s">
        <v>13</v>
      </c>
      <c r="B5787" t="s">
        <v>22</v>
      </c>
      <c r="C5787" t="s">
        <v>15</v>
      </c>
      <c r="D5787" t="s">
        <v>189</v>
      </c>
      <c r="E5787" t="s">
        <v>30</v>
      </c>
      <c r="F5787">
        <v>32216</v>
      </c>
      <c r="G5787" t="s">
        <v>18</v>
      </c>
      <c r="H5787" t="s">
        <v>26</v>
      </c>
      <c r="I5787" t="s">
        <v>37</v>
      </c>
      <c r="J5787">
        <v>4.4189999999999996</v>
      </c>
      <c r="K5787">
        <v>3</v>
      </c>
      <c r="L5787">
        <v>0.7</v>
      </c>
      <c r="M5787">
        <v>-3.0933000000000002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26</v>
      </c>
      <c r="I5788" t="s">
        <v>77</v>
      </c>
      <c r="J5788">
        <v>35</v>
      </c>
      <c r="K5788">
        <v>7</v>
      </c>
      <c r="L5788">
        <v>0</v>
      </c>
      <c r="M5788">
        <v>16.8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19</v>
      </c>
      <c r="I5789" t="s">
        <v>21</v>
      </c>
      <c r="J5789">
        <v>72.784000000000006</v>
      </c>
      <c r="K5789">
        <v>1</v>
      </c>
      <c r="L5789">
        <v>0.2</v>
      </c>
      <c r="M5789">
        <v>0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26</v>
      </c>
      <c r="I5790" t="s">
        <v>38</v>
      </c>
      <c r="J5790">
        <v>97.84</v>
      </c>
      <c r="K5790">
        <v>2</v>
      </c>
      <c r="L5790">
        <v>0</v>
      </c>
      <c r="M5790">
        <v>25.438400000000001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19</v>
      </c>
      <c r="I5791" t="s">
        <v>33</v>
      </c>
      <c r="J5791">
        <v>51.75</v>
      </c>
      <c r="K5791">
        <v>1</v>
      </c>
      <c r="L5791">
        <v>0</v>
      </c>
      <c r="M5791">
        <v>15.525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37</v>
      </c>
      <c r="J5792">
        <v>46.671999999999997</v>
      </c>
      <c r="K5792">
        <v>2</v>
      </c>
      <c r="L5792">
        <v>0.2</v>
      </c>
      <c r="M5792">
        <v>16.3352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26</v>
      </c>
      <c r="I5793" t="s">
        <v>32</v>
      </c>
      <c r="J5793">
        <v>1395.54</v>
      </c>
      <c r="K5793">
        <v>9</v>
      </c>
      <c r="L5793">
        <v>0</v>
      </c>
      <c r="M5793">
        <v>362.84039999999999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19</v>
      </c>
      <c r="I5794" t="s">
        <v>33</v>
      </c>
      <c r="J5794">
        <v>117.36</v>
      </c>
      <c r="K5794">
        <v>4</v>
      </c>
      <c r="L5794">
        <v>0</v>
      </c>
      <c r="M5794">
        <v>36.381599999999999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27</v>
      </c>
      <c r="J5795">
        <v>18.899999999999999</v>
      </c>
      <c r="K5795">
        <v>3</v>
      </c>
      <c r="L5795">
        <v>0</v>
      </c>
      <c r="M5795">
        <v>8.6940000000000008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75</v>
      </c>
      <c r="E5796" t="s">
        <v>76</v>
      </c>
      <c r="F5796">
        <v>10011</v>
      </c>
      <c r="G5796" t="s">
        <v>57</v>
      </c>
      <c r="H5796" t="s">
        <v>26</v>
      </c>
      <c r="I5796" t="s">
        <v>41</v>
      </c>
      <c r="J5796">
        <v>77.52</v>
      </c>
      <c r="K5796">
        <v>2</v>
      </c>
      <c r="L5796">
        <v>0</v>
      </c>
      <c r="M5796">
        <v>37.9848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79</v>
      </c>
      <c r="E5797" t="s">
        <v>65</v>
      </c>
      <c r="F5797">
        <v>60610</v>
      </c>
      <c r="G5797" t="s">
        <v>47</v>
      </c>
      <c r="H5797" t="s">
        <v>19</v>
      </c>
      <c r="I5797" t="s">
        <v>21</v>
      </c>
      <c r="J5797">
        <v>421.37200000000001</v>
      </c>
      <c r="K5797">
        <v>2</v>
      </c>
      <c r="L5797">
        <v>0.3</v>
      </c>
      <c r="M5797">
        <v>-6.0195999999999996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35</v>
      </c>
      <c r="I5798" t="s">
        <v>36</v>
      </c>
      <c r="J5798">
        <v>575.96799999999996</v>
      </c>
      <c r="K5798">
        <v>4</v>
      </c>
      <c r="L5798">
        <v>0.2</v>
      </c>
      <c r="M5798">
        <v>43.197600000000001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321</v>
      </c>
      <c r="E5799" t="s">
        <v>46</v>
      </c>
      <c r="F5799">
        <v>79907</v>
      </c>
      <c r="G5799" t="s">
        <v>47</v>
      </c>
      <c r="H5799" t="s">
        <v>26</v>
      </c>
      <c r="I5799" t="s">
        <v>41</v>
      </c>
      <c r="J5799">
        <v>10.368</v>
      </c>
      <c r="K5799">
        <v>2</v>
      </c>
      <c r="L5799">
        <v>0.2</v>
      </c>
      <c r="M5799">
        <v>3.6288</v>
      </c>
    </row>
    <row r="5800" spans="1:13" x14ac:dyDescent="0.3">
      <c r="A5800" t="s">
        <v>62</v>
      </c>
      <c r="B5800" t="s">
        <v>14</v>
      </c>
      <c r="C5800" t="s">
        <v>15</v>
      </c>
      <c r="D5800" t="s">
        <v>391</v>
      </c>
      <c r="E5800" t="s">
        <v>24</v>
      </c>
      <c r="F5800">
        <v>91360</v>
      </c>
      <c r="G5800" t="s">
        <v>25</v>
      </c>
      <c r="H5800" t="s">
        <v>35</v>
      </c>
      <c r="I5800" t="s">
        <v>36</v>
      </c>
      <c r="J5800">
        <v>15.984</v>
      </c>
      <c r="K5800">
        <v>2</v>
      </c>
      <c r="L5800">
        <v>0.2</v>
      </c>
      <c r="M5800">
        <v>1.1988000000000001</v>
      </c>
    </row>
    <row r="5801" spans="1:13" x14ac:dyDescent="0.3">
      <c r="A5801" t="s">
        <v>28</v>
      </c>
      <c r="B5801" t="s">
        <v>44</v>
      </c>
      <c r="C5801" t="s">
        <v>15</v>
      </c>
      <c r="D5801" t="s">
        <v>82</v>
      </c>
      <c r="E5801" t="s">
        <v>104</v>
      </c>
      <c r="F5801">
        <v>45503</v>
      </c>
      <c r="G5801" t="s">
        <v>57</v>
      </c>
      <c r="H5801" t="s">
        <v>26</v>
      </c>
      <c r="I5801" t="s">
        <v>34</v>
      </c>
      <c r="J5801">
        <v>10.272</v>
      </c>
      <c r="K5801">
        <v>3</v>
      </c>
      <c r="L5801">
        <v>0.2</v>
      </c>
      <c r="M5801">
        <v>1.1556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26</v>
      </c>
      <c r="I5802" t="s">
        <v>32</v>
      </c>
      <c r="J5802">
        <v>61.792000000000002</v>
      </c>
      <c r="K5802">
        <v>4</v>
      </c>
      <c r="L5802">
        <v>0.2</v>
      </c>
      <c r="M5802">
        <v>6.1791999999999998</v>
      </c>
    </row>
    <row r="5803" spans="1:13" x14ac:dyDescent="0.3">
      <c r="A5803" t="s">
        <v>28</v>
      </c>
      <c r="B5803" t="s">
        <v>22</v>
      </c>
      <c r="C5803" t="s">
        <v>15</v>
      </c>
      <c r="D5803" t="s">
        <v>135</v>
      </c>
      <c r="E5803" t="s">
        <v>46</v>
      </c>
      <c r="F5803">
        <v>75220</v>
      </c>
      <c r="G5803" t="s">
        <v>47</v>
      </c>
      <c r="H5803" t="s">
        <v>19</v>
      </c>
      <c r="I5803" t="s">
        <v>20</v>
      </c>
      <c r="J5803">
        <v>205.9992</v>
      </c>
      <c r="K5803">
        <v>3</v>
      </c>
      <c r="L5803">
        <v>0.32</v>
      </c>
      <c r="M5803">
        <v>-27.264600000000002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41</v>
      </c>
      <c r="J5804">
        <v>12.192</v>
      </c>
      <c r="K5804">
        <v>3</v>
      </c>
      <c r="L5804">
        <v>0.2</v>
      </c>
      <c r="M5804">
        <v>4.1147999999999998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38</v>
      </c>
      <c r="J5805">
        <v>87.168000000000006</v>
      </c>
      <c r="K5805">
        <v>2</v>
      </c>
      <c r="L5805">
        <v>0.2</v>
      </c>
      <c r="M5805">
        <v>8.7167999999999992</v>
      </c>
    </row>
    <row r="5806" spans="1:13" x14ac:dyDescent="0.3">
      <c r="A5806" t="s">
        <v>13</v>
      </c>
      <c r="B5806" t="s">
        <v>14</v>
      </c>
      <c r="C5806" t="s">
        <v>15</v>
      </c>
      <c r="D5806" t="s">
        <v>375</v>
      </c>
      <c r="E5806" t="s">
        <v>86</v>
      </c>
      <c r="F5806">
        <v>37918</v>
      </c>
      <c r="G5806" t="s">
        <v>18</v>
      </c>
      <c r="H5806" t="s">
        <v>26</v>
      </c>
      <c r="I5806" t="s">
        <v>34</v>
      </c>
      <c r="J5806">
        <v>31.744</v>
      </c>
      <c r="K5806">
        <v>2</v>
      </c>
      <c r="L5806">
        <v>0.2</v>
      </c>
      <c r="M5806">
        <v>8.3328000000000007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435</v>
      </c>
      <c r="E5807" t="s">
        <v>86</v>
      </c>
      <c r="F5807">
        <v>37421</v>
      </c>
      <c r="G5807" t="s">
        <v>18</v>
      </c>
      <c r="H5807" t="s">
        <v>19</v>
      </c>
      <c r="I5807" t="s">
        <v>33</v>
      </c>
      <c r="J5807">
        <v>132.22399999999999</v>
      </c>
      <c r="K5807">
        <v>4</v>
      </c>
      <c r="L5807">
        <v>0.2</v>
      </c>
      <c r="M5807">
        <v>-18.180800000000001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26</v>
      </c>
      <c r="I5808" t="s">
        <v>41</v>
      </c>
      <c r="J5808">
        <v>105.52</v>
      </c>
      <c r="K5808">
        <v>4</v>
      </c>
      <c r="L5808">
        <v>0</v>
      </c>
      <c r="M5808">
        <v>48.539200000000001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19</v>
      </c>
      <c r="I5809" t="s">
        <v>33</v>
      </c>
      <c r="J5809">
        <v>91.96</v>
      </c>
      <c r="K5809">
        <v>2</v>
      </c>
      <c r="L5809">
        <v>0</v>
      </c>
      <c r="M5809">
        <v>15.6332</v>
      </c>
    </row>
    <row r="5810" spans="1:13" x14ac:dyDescent="0.3">
      <c r="A5810" t="s">
        <v>28</v>
      </c>
      <c r="B5810" t="s">
        <v>22</v>
      </c>
      <c r="C5810" t="s">
        <v>15</v>
      </c>
      <c r="D5810" t="s">
        <v>144</v>
      </c>
      <c r="E5810" t="s">
        <v>24</v>
      </c>
      <c r="F5810">
        <v>92037</v>
      </c>
      <c r="G5810" t="s">
        <v>25</v>
      </c>
      <c r="H5810" t="s">
        <v>35</v>
      </c>
      <c r="I5810" t="s">
        <v>36</v>
      </c>
      <c r="J5810">
        <v>1487.9760000000001</v>
      </c>
      <c r="K5810">
        <v>3</v>
      </c>
      <c r="L5810">
        <v>0.2</v>
      </c>
      <c r="M5810">
        <v>185.99700000000001</v>
      </c>
    </row>
    <row r="5811" spans="1:13" x14ac:dyDescent="0.3">
      <c r="A5811" t="s">
        <v>62</v>
      </c>
      <c r="B5811" t="s">
        <v>44</v>
      </c>
      <c r="C5811" t="s">
        <v>15</v>
      </c>
      <c r="D5811" t="s">
        <v>75</v>
      </c>
      <c r="E5811" t="s">
        <v>76</v>
      </c>
      <c r="F5811">
        <v>10024</v>
      </c>
      <c r="G5811" t="s">
        <v>57</v>
      </c>
      <c r="H5811" t="s">
        <v>26</v>
      </c>
      <c r="I5811" t="s">
        <v>41</v>
      </c>
      <c r="J5811">
        <v>19.440000000000001</v>
      </c>
      <c r="K5811">
        <v>3</v>
      </c>
      <c r="L5811">
        <v>0</v>
      </c>
      <c r="M5811">
        <v>9.3312000000000008</v>
      </c>
    </row>
    <row r="5812" spans="1:13" x14ac:dyDescent="0.3">
      <c r="A5812" t="s">
        <v>62</v>
      </c>
      <c r="B5812" t="s">
        <v>14</v>
      </c>
      <c r="C5812" t="s">
        <v>15</v>
      </c>
      <c r="D5812" t="s">
        <v>141</v>
      </c>
      <c r="E5812" t="s">
        <v>30</v>
      </c>
      <c r="F5812">
        <v>33614</v>
      </c>
      <c r="G5812" t="s">
        <v>18</v>
      </c>
      <c r="H5812" t="s">
        <v>35</v>
      </c>
      <c r="I5812" t="s">
        <v>59</v>
      </c>
      <c r="J5812">
        <v>11.672000000000001</v>
      </c>
      <c r="K5812">
        <v>1</v>
      </c>
      <c r="L5812">
        <v>0.2</v>
      </c>
      <c r="M5812">
        <v>-0.72950000000000004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35</v>
      </c>
      <c r="I5813" t="s">
        <v>36</v>
      </c>
      <c r="J5813">
        <v>279.95999999999998</v>
      </c>
      <c r="K5813">
        <v>4</v>
      </c>
      <c r="L5813">
        <v>0</v>
      </c>
      <c r="M5813">
        <v>78.388800000000003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12.912000000000001</v>
      </c>
      <c r="K5814">
        <v>3</v>
      </c>
      <c r="L5814">
        <v>0.2</v>
      </c>
      <c r="M5814">
        <v>4.6806000000000001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37</v>
      </c>
      <c r="J5815">
        <v>17.088000000000001</v>
      </c>
      <c r="K5815">
        <v>4</v>
      </c>
      <c r="L5815">
        <v>0.2</v>
      </c>
      <c r="M5815">
        <v>5.7671999999999999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93.15</v>
      </c>
      <c r="K5816">
        <v>9</v>
      </c>
      <c r="L5816">
        <v>0</v>
      </c>
      <c r="M5816">
        <v>44.712000000000003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26</v>
      </c>
      <c r="I5817" t="s">
        <v>27</v>
      </c>
      <c r="J5817">
        <v>11.52</v>
      </c>
      <c r="K5817">
        <v>4</v>
      </c>
      <c r="L5817">
        <v>0</v>
      </c>
      <c r="M5817">
        <v>5.6448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110</v>
      </c>
      <c r="J5818">
        <v>238.62</v>
      </c>
      <c r="K5818">
        <v>2</v>
      </c>
      <c r="L5818">
        <v>0</v>
      </c>
      <c r="M5818">
        <v>4.7724000000000002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26</v>
      </c>
      <c r="I5819" t="s">
        <v>38</v>
      </c>
      <c r="J5819">
        <v>7.77</v>
      </c>
      <c r="K5819">
        <v>1</v>
      </c>
      <c r="L5819">
        <v>0</v>
      </c>
      <c r="M5819">
        <v>2.0979000000000001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19</v>
      </c>
      <c r="I5820" t="s">
        <v>31</v>
      </c>
      <c r="J5820">
        <v>285.48</v>
      </c>
      <c r="K5820">
        <v>5</v>
      </c>
      <c r="L5820">
        <v>0.2</v>
      </c>
      <c r="M5820">
        <v>-10.705500000000001</v>
      </c>
    </row>
    <row r="5821" spans="1:13" x14ac:dyDescent="0.3">
      <c r="A5821" t="s">
        <v>28</v>
      </c>
      <c r="B5821" t="s">
        <v>22</v>
      </c>
      <c r="C5821" t="s">
        <v>15</v>
      </c>
      <c r="D5821" t="s">
        <v>52</v>
      </c>
      <c r="E5821" t="s">
        <v>24</v>
      </c>
      <c r="F5821">
        <v>94122</v>
      </c>
      <c r="G5821" t="s">
        <v>25</v>
      </c>
      <c r="H5821" t="s">
        <v>26</v>
      </c>
      <c r="I5821" t="s">
        <v>37</v>
      </c>
      <c r="J5821">
        <v>19.167999999999999</v>
      </c>
      <c r="K5821">
        <v>4</v>
      </c>
      <c r="L5821">
        <v>0.2</v>
      </c>
      <c r="M5821">
        <v>6.4691999999999998</v>
      </c>
    </row>
    <row r="5822" spans="1:13" x14ac:dyDescent="0.3">
      <c r="A5822" t="s">
        <v>168</v>
      </c>
      <c r="B5822" t="s">
        <v>14</v>
      </c>
      <c r="C5822" t="s">
        <v>15</v>
      </c>
      <c r="D5822" t="s">
        <v>103</v>
      </c>
      <c r="E5822" t="s">
        <v>104</v>
      </c>
      <c r="F5822">
        <v>43229</v>
      </c>
      <c r="G5822" t="s">
        <v>57</v>
      </c>
      <c r="H5822" t="s">
        <v>26</v>
      </c>
      <c r="I5822" t="s">
        <v>38</v>
      </c>
      <c r="J5822">
        <v>26.135999999999999</v>
      </c>
      <c r="K5822">
        <v>3</v>
      </c>
      <c r="L5822">
        <v>0.2</v>
      </c>
      <c r="M5822">
        <v>1.9601999999999999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26</v>
      </c>
      <c r="I5823" t="s">
        <v>41</v>
      </c>
      <c r="J5823">
        <v>419.4</v>
      </c>
      <c r="K5823">
        <v>4</v>
      </c>
      <c r="L5823">
        <v>0</v>
      </c>
      <c r="M5823">
        <v>201.31200000000001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90.801000000000002</v>
      </c>
      <c r="K5824">
        <v>1</v>
      </c>
      <c r="L5824">
        <v>0.1</v>
      </c>
      <c r="M5824">
        <v>14.124599999999999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19</v>
      </c>
      <c r="I5825" t="s">
        <v>21</v>
      </c>
      <c r="J5825">
        <v>181.76400000000001</v>
      </c>
      <c r="K5825">
        <v>2</v>
      </c>
      <c r="L5825">
        <v>0.1</v>
      </c>
      <c r="M5825">
        <v>-8.0784000000000002</v>
      </c>
    </row>
    <row r="5826" spans="1:13" x14ac:dyDescent="0.3">
      <c r="A5826" t="s">
        <v>13</v>
      </c>
      <c r="B5826" t="s">
        <v>44</v>
      </c>
      <c r="C5826" t="s">
        <v>15</v>
      </c>
      <c r="D5826" t="s">
        <v>75</v>
      </c>
      <c r="E5826" t="s">
        <v>76</v>
      </c>
      <c r="F5826">
        <v>10035</v>
      </c>
      <c r="G5826" t="s">
        <v>57</v>
      </c>
      <c r="H5826" t="s">
        <v>26</v>
      </c>
      <c r="I5826" t="s">
        <v>34</v>
      </c>
      <c r="J5826">
        <v>5.56</v>
      </c>
      <c r="K5826">
        <v>2</v>
      </c>
      <c r="L5826">
        <v>0</v>
      </c>
      <c r="M5826">
        <v>2.2240000000000002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31</v>
      </c>
      <c r="J5827">
        <v>581.96</v>
      </c>
      <c r="K5827">
        <v>2</v>
      </c>
      <c r="L5827">
        <v>0</v>
      </c>
      <c r="M5827">
        <v>104.75279999999999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182</v>
      </c>
      <c r="E5828" t="s">
        <v>74</v>
      </c>
      <c r="F5828">
        <v>47374</v>
      </c>
      <c r="G5828" t="s">
        <v>47</v>
      </c>
      <c r="H5828" t="s">
        <v>19</v>
      </c>
      <c r="I5828" t="s">
        <v>21</v>
      </c>
      <c r="J5828">
        <v>29.98</v>
      </c>
      <c r="K5828">
        <v>1</v>
      </c>
      <c r="L5828">
        <v>0</v>
      </c>
      <c r="M5828">
        <v>8.0945999999999998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144</v>
      </c>
      <c r="E5829" t="s">
        <v>24</v>
      </c>
      <c r="F5829">
        <v>92105</v>
      </c>
      <c r="G5829" t="s">
        <v>25</v>
      </c>
      <c r="H5829" t="s">
        <v>35</v>
      </c>
      <c r="I5829" t="s">
        <v>59</v>
      </c>
      <c r="J5829">
        <v>519.96</v>
      </c>
      <c r="K5829">
        <v>4</v>
      </c>
      <c r="L5829">
        <v>0</v>
      </c>
      <c r="M5829">
        <v>176.78639999999999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26</v>
      </c>
      <c r="I5830" t="s">
        <v>27</v>
      </c>
      <c r="J5830">
        <v>6.2640000000000002</v>
      </c>
      <c r="K5830">
        <v>3</v>
      </c>
      <c r="L5830">
        <v>0.2</v>
      </c>
      <c r="M5830">
        <v>2.0358000000000001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39</v>
      </c>
      <c r="E5831" t="s">
        <v>40</v>
      </c>
      <c r="F5831">
        <v>28027</v>
      </c>
      <c r="G5831" t="s">
        <v>18</v>
      </c>
      <c r="H5831" t="s">
        <v>19</v>
      </c>
      <c r="I5831" t="s">
        <v>21</v>
      </c>
      <c r="J5831">
        <v>363.92</v>
      </c>
      <c r="K5831">
        <v>5</v>
      </c>
      <c r="L5831">
        <v>0.2</v>
      </c>
      <c r="M5831">
        <v>0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64.2</v>
      </c>
      <c r="K5832">
        <v>5</v>
      </c>
      <c r="L5832">
        <v>0.7</v>
      </c>
      <c r="M5832">
        <v>-42.8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26</v>
      </c>
      <c r="I5833" t="s">
        <v>37</v>
      </c>
      <c r="J5833">
        <v>38.520000000000003</v>
      </c>
      <c r="K5833">
        <v>3</v>
      </c>
      <c r="L5833">
        <v>0.7</v>
      </c>
      <c r="M5833">
        <v>-26.963999999999999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180</v>
      </c>
      <c r="E5834" t="s">
        <v>30</v>
      </c>
      <c r="F5834">
        <v>33178</v>
      </c>
      <c r="G5834" t="s">
        <v>18</v>
      </c>
      <c r="H5834" t="s">
        <v>35</v>
      </c>
      <c r="I5834" t="s">
        <v>59</v>
      </c>
      <c r="J5834">
        <v>72.599999999999994</v>
      </c>
      <c r="K5834">
        <v>5</v>
      </c>
      <c r="L5834">
        <v>0.2</v>
      </c>
      <c r="M5834">
        <v>-8.1675000000000004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23</v>
      </c>
      <c r="E5835" t="s">
        <v>24</v>
      </c>
      <c r="F5835">
        <v>90036</v>
      </c>
      <c r="G5835" t="s">
        <v>25</v>
      </c>
      <c r="H5835" t="s">
        <v>35</v>
      </c>
      <c r="I5835" t="s">
        <v>36</v>
      </c>
      <c r="J5835">
        <v>57.567999999999998</v>
      </c>
      <c r="K5835">
        <v>4</v>
      </c>
      <c r="L5835">
        <v>0.2</v>
      </c>
      <c r="M5835">
        <v>5.7568000000000001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42</v>
      </c>
      <c r="E5836" t="s">
        <v>43</v>
      </c>
      <c r="F5836">
        <v>98115</v>
      </c>
      <c r="G5836" t="s">
        <v>25</v>
      </c>
      <c r="H5836" t="s">
        <v>26</v>
      </c>
      <c r="I5836" t="s">
        <v>32</v>
      </c>
      <c r="J5836">
        <v>83.7</v>
      </c>
      <c r="K5836">
        <v>5</v>
      </c>
      <c r="L5836">
        <v>0</v>
      </c>
      <c r="M5836">
        <v>3.3479999999999999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26</v>
      </c>
      <c r="I5837" t="s">
        <v>41</v>
      </c>
      <c r="J5837">
        <v>32.4</v>
      </c>
      <c r="K5837">
        <v>5</v>
      </c>
      <c r="L5837">
        <v>0</v>
      </c>
      <c r="M5837">
        <v>15.552</v>
      </c>
    </row>
    <row r="5838" spans="1:13" x14ac:dyDescent="0.3">
      <c r="A5838" t="s">
        <v>13</v>
      </c>
      <c r="B5838" t="s">
        <v>44</v>
      </c>
      <c r="C5838" t="s">
        <v>15</v>
      </c>
      <c r="D5838" t="s">
        <v>155</v>
      </c>
      <c r="E5838" t="s">
        <v>83</v>
      </c>
      <c r="F5838">
        <v>22204</v>
      </c>
      <c r="G5838" t="s">
        <v>18</v>
      </c>
      <c r="H5838" t="s">
        <v>19</v>
      </c>
      <c r="I5838" t="s">
        <v>33</v>
      </c>
      <c r="J5838">
        <v>47.98</v>
      </c>
      <c r="K5838">
        <v>2</v>
      </c>
      <c r="L5838">
        <v>0</v>
      </c>
      <c r="M5838">
        <v>11.035399999999999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35</v>
      </c>
      <c r="I5839" t="s">
        <v>36</v>
      </c>
      <c r="J5839">
        <v>415.96800000000002</v>
      </c>
      <c r="K5839">
        <v>4</v>
      </c>
      <c r="L5839">
        <v>0.2</v>
      </c>
      <c r="M5839">
        <v>51.996000000000002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26</v>
      </c>
      <c r="I5840" t="s">
        <v>32</v>
      </c>
      <c r="J5840">
        <v>304.89999999999998</v>
      </c>
      <c r="K5840">
        <v>5</v>
      </c>
      <c r="L5840">
        <v>0</v>
      </c>
      <c r="M5840">
        <v>6.0979999999999999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19</v>
      </c>
      <c r="I5841" t="s">
        <v>33</v>
      </c>
      <c r="J5841">
        <v>80.959999999999994</v>
      </c>
      <c r="K5841">
        <v>4</v>
      </c>
      <c r="L5841">
        <v>0</v>
      </c>
      <c r="M5841">
        <v>29.145600000000002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32</v>
      </c>
      <c r="J5842">
        <v>777.21</v>
      </c>
      <c r="K5842">
        <v>7</v>
      </c>
      <c r="L5842">
        <v>0</v>
      </c>
      <c r="M5842">
        <v>54.404699999999998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26</v>
      </c>
      <c r="I5843" t="s">
        <v>41</v>
      </c>
      <c r="J5843">
        <v>32.4</v>
      </c>
      <c r="K5843">
        <v>5</v>
      </c>
      <c r="L5843">
        <v>0</v>
      </c>
      <c r="M5843">
        <v>15.552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21</v>
      </c>
      <c r="J5844">
        <v>225.56800000000001</v>
      </c>
      <c r="K5844">
        <v>2</v>
      </c>
      <c r="L5844">
        <v>0.2</v>
      </c>
      <c r="M5844">
        <v>2.8195999999999999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36.6</v>
      </c>
      <c r="K5845">
        <v>3</v>
      </c>
      <c r="L5845">
        <v>0</v>
      </c>
      <c r="M5845">
        <v>15.372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38</v>
      </c>
      <c r="J5846">
        <v>715.64</v>
      </c>
      <c r="K5846">
        <v>2</v>
      </c>
      <c r="L5846">
        <v>0</v>
      </c>
      <c r="M5846">
        <v>178.91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26</v>
      </c>
      <c r="I5847" t="s">
        <v>32</v>
      </c>
      <c r="J5847">
        <v>795.51</v>
      </c>
      <c r="K5847">
        <v>3</v>
      </c>
      <c r="L5847">
        <v>0</v>
      </c>
      <c r="M5847">
        <v>143.1918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35</v>
      </c>
      <c r="I5848" t="s">
        <v>162</v>
      </c>
      <c r="J5848">
        <v>549.99</v>
      </c>
      <c r="K5848">
        <v>1</v>
      </c>
      <c r="L5848">
        <v>0</v>
      </c>
      <c r="M5848">
        <v>274.995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26</v>
      </c>
      <c r="I5849" t="s">
        <v>37</v>
      </c>
      <c r="J5849">
        <v>74.760000000000005</v>
      </c>
      <c r="K5849">
        <v>3</v>
      </c>
      <c r="L5849">
        <v>0</v>
      </c>
      <c r="M5849">
        <v>34.389600000000002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19</v>
      </c>
      <c r="I5850" t="s">
        <v>33</v>
      </c>
      <c r="J5850">
        <v>29.22</v>
      </c>
      <c r="K5850">
        <v>3</v>
      </c>
      <c r="L5850">
        <v>0</v>
      </c>
      <c r="M5850">
        <v>12.8568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258</v>
      </c>
      <c r="E5851" t="s">
        <v>83</v>
      </c>
      <c r="F5851">
        <v>23464</v>
      </c>
      <c r="G5851" t="s">
        <v>18</v>
      </c>
      <c r="H5851" t="s">
        <v>26</v>
      </c>
      <c r="I5851" t="s">
        <v>37</v>
      </c>
      <c r="J5851">
        <v>9.64</v>
      </c>
      <c r="K5851">
        <v>2</v>
      </c>
      <c r="L5851">
        <v>0</v>
      </c>
      <c r="M5851">
        <v>4.7236000000000002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32</v>
      </c>
      <c r="J5852">
        <v>33.488</v>
      </c>
      <c r="K5852">
        <v>7</v>
      </c>
      <c r="L5852">
        <v>0.2</v>
      </c>
      <c r="M5852">
        <v>-1.2558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110</v>
      </c>
      <c r="J5853">
        <v>23.04</v>
      </c>
      <c r="K5853">
        <v>3</v>
      </c>
      <c r="L5853">
        <v>0.2</v>
      </c>
      <c r="M5853">
        <v>-4.8959999999999999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26</v>
      </c>
      <c r="I5854" t="s">
        <v>37</v>
      </c>
      <c r="J5854">
        <v>1.3620000000000001</v>
      </c>
      <c r="K5854">
        <v>1</v>
      </c>
      <c r="L5854">
        <v>0.8</v>
      </c>
      <c r="M5854">
        <v>-2.1791999999999998</v>
      </c>
    </row>
    <row r="5855" spans="1:13" x14ac:dyDescent="0.3">
      <c r="A5855" t="s">
        <v>28</v>
      </c>
      <c r="B5855" t="s">
        <v>22</v>
      </c>
      <c r="C5855" t="s">
        <v>15</v>
      </c>
      <c r="D5855" t="s">
        <v>135</v>
      </c>
      <c r="E5855" t="s">
        <v>46</v>
      </c>
      <c r="F5855">
        <v>75220</v>
      </c>
      <c r="G5855" t="s">
        <v>47</v>
      </c>
      <c r="H5855" t="s">
        <v>19</v>
      </c>
      <c r="I5855" t="s">
        <v>33</v>
      </c>
      <c r="J5855">
        <v>14.76</v>
      </c>
      <c r="K5855">
        <v>5</v>
      </c>
      <c r="L5855">
        <v>0.6</v>
      </c>
      <c r="M5855">
        <v>-11.439</v>
      </c>
    </row>
    <row r="5856" spans="1:13" x14ac:dyDescent="0.3">
      <c r="A5856" t="s">
        <v>13</v>
      </c>
      <c r="B5856" t="s">
        <v>14</v>
      </c>
      <c r="C5856" t="s">
        <v>15</v>
      </c>
      <c r="D5856" t="s">
        <v>39</v>
      </c>
      <c r="E5856" t="s">
        <v>24</v>
      </c>
      <c r="F5856">
        <v>94521</v>
      </c>
      <c r="G5856" t="s">
        <v>25</v>
      </c>
      <c r="H5856" t="s">
        <v>19</v>
      </c>
      <c r="I5856" t="s">
        <v>20</v>
      </c>
      <c r="J5856">
        <v>239.666</v>
      </c>
      <c r="K5856">
        <v>2</v>
      </c>
      <c r="L5856">
        <v>0.15</v>
      </c>
      <c r="M5856">
        <v>14.098000000000001</v>
      </c>
    </row>
    <row r="5857" spans="1:13" x14ac:dyDescent="0.3">
      <c r="A5857" t="s">
        <v>28</v>
      </c>
      <c r="B5857" t="s">
        <v>14</v>
      </c>
      <c r="C5857" t="s">
        <v>15</v>
      </c>
      <c r="D5857" t="s">
        <v>548</v>
      </c>
      <c r="E5857" t="s">
        <v>197</v>
      </c>
      <c r="F5857">
        <v>72032</v>
      </c>
      <c r="G5857" t="s">
        <v>18</v>
      </c>
      <c r="H5857" t="s">
        <v>19</v>
      </c>
      <c r="I5857" t="s">
        <v>31</v>
      </c>
      <c r="J5857">
        <v>301.95999999999998</v>
      </c>
      <c r="K5857">
        <v>2</v>
      </c>
      <c r="L5857">
        <v>0</v>
      </c>
      <c r="M5857">
        <v>45.293999999999997</v>
      </c>
    </row>
    <row r="5858" spans="1:13" x14ac:dyDescent="0.3">
      <c r="A5858" t="s">
        <v>13</v>
      </c>
      <c r="B5858" t="s">
        <v>44</v>
      </c>
      <c r="C5858" t="s">
        <v>15</v>
      </c>
      <c r="D5858" t="s">
        <v>55</v>
      </c>
      <c r="E5858" t="s">
        <v>56</v>
      </c>
      <c r="F5858">
        <v>19120</v>
      </c>
      <c r="G5858" t="s">
        <v>57</v>
      </c>
      <c r="H5858" t="s">
        <v>26</v>
      </c>
      <c r="I5858" t="s">
        <v>41</v>
      </c>
      <c r="J5858">
        <v>7.968</v>
      </c>
      <c r="K5858">
        <v>2</v>
      </c>
      <c r="L5858">
        <v>0.2</v>
      </c>
      <c r="M5858">
        <v>2.8883999999999999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109.92</v>
      </c>
      <c r="K5859">
        <v>2</v>
      </c>
      <c r="L5859">
        <v>0</v>
      </c>
      <c r="M5859">
        <v>53.860799999999998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41</v>
      </c>
      <c r="J5860">
        <v>19.440000000000001</v>
      </c>
      <c r="K5860">
        <v>3</v>
      </c>
      <c r="L5860">
        <v>0</v>
      </c>
      <c r="M5860">
        <v>9.3312000000000008</v>
      </c>
    </row>
    <row r="5861" spans="1:13" x14ac:dyDescent="0.3">
      <c r="A5861" t="s">
        <v>13</v>
      </c>
      <c r="B5861" t="s">
        <v>14</v>
      </c>
      <c r="C5861" t="s">
        <v>15</v>
      </c>
      <c r="D5861" t="s">
        <v>376</v>
      </c>
      <c r="E5861" t="s">
        <v>197</v>
      </c>
      <c r="F5861">
        <v>72209</v>
      </c>
      <c r="G5861" t="s">
        <v>18</v>
      </c>
      <c r="H5861" t="s">
        <v>26</v>
      </c>
      <c r="I5861" t="s">
        <v>34</v>
      </c>
      <c r="J5861">
        <v>11.16</v>
      </c>
      <c r="K5861">
        <v>2</v>
      </c>
      <c r="L5861">
        <v>0</v>
      </c>
      <c r="M5861">
        <v>4.3524000000000003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38</v>
      </c>
      <c r="J5862">
        <v>79.47</v>
      </c>
      <c r="K5862">
        <v>3</v>
      </c>
      <c r="L5862">
        <v>0</v>
      </c>
      <c r="M5862">
        <v>22.2516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26</v>
      </c>
      <c r="I5863" t="s">
        <v>34</v>
      </c>
      <c r="J5863">
        <v>4.5599999999999996</v>
      </c>
      <c r="K5863">
        <v>2</v>
      </c>
      <c r="L5863">
        <v>0</v>
      </c>
      <c r="M5863">
        <v>2.0064000000000002</v>
      </c>
    </row>
    <row r="5864" spans="1:13" x14ac:dyDescent="0.3">
      <c r="A5864" t="s">
        <v>13</v>
      </c>
      <c r="B5864" t="s">
        <v>22</v>
      </c>
      <c r="C5864" t="s">
        <v>15</v>
      </c>
      <c r="D5864" t="s">
        <v>341</v>
      </c>
      <c r="E5864" t="s">
        <v>127</v>
      </c>
      <c r="F5864">
        <v>6450</v>
      </c>
      <c r="G5864" t="s">
        <v>57</v>
      </c>
      <c r="H5864" t="s">
        <v>19</v>
      </c>
      <c r="I5864" t="s">
        <v>21</v>
      </c>
      <c r="J5864">
        <v>1133.3499999999999</v>
      </c>
      <c r="K5864">
        <v>5</v>
      </c>
      <c r="L5864">
        <v>0</v>
      </c>
      <c r="M5864">
        <v>294.67099999999999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34</v>
      </c>
      <c r="J5865">
        <v>4.6719999999999997</v>
      </c>
      <c r="K5865">
        <v>1</v>
      </c>
      <c r="L5865">
        <v>0.2</v>
      </c>
      <c r="M5865">
        <v>0.58399999999999996</v>
      </c>
    </row>
    <row r="5866" spans="1:13" x14ac:dyDescent="0.3">
      <c r="A5866" t="s">
        <v>28</v>
      </c>
      <c r="B5866" t="s">
        <v>22</v>
      </c>
      <c r="C5866" t="s">
        <v>15</v>
      </c>
      <c r="D5866" t="s">
        <v>55</v>
      </c>
      <c r="E5866" t="s">
        <v>56</v>
      </c>
      <c r="F5866">
        <v>19143</v>
      </c>
      <c r="G5866" t="s">
        <v>57</v>
      </c>
      <c r="H5866" t="s">
        <v>26</v>
      </c>
      <c r="I5866" t="s">
        <v>37</v>
      </c>
      <c r="J5866">
        <v>104.58</v>
      </c>
      <c r="K5866">
        <v>6</v>
      </c>
      <c r="L5866">
        <v>0.7</v>
      </c>
      <c r="M5866">
        <v>-80.177999999999997</v>
      </c>
    </row>
    <row r="5867" spans="1:13" x14ac:dyDescent="0.3">
      <c r="A5867" t="s">
        <v>28</v>
      </c>
      <c r="B5867" t="s">
        <v>44</v>
      </c>
      <c r="C5867" t="s">
        <v>15</v>
      </c>
      <c r="D5867" t="s">
        <v>549</v>
      </c>
      <c r="E5867" t="s">
        <v>550</v>
      </c>
      <c r="F5867">
        <v>82001</v>
      </c>
      <c r="G5867" t="s">
        <v>25</v>
      </c>
      <c r="H5867" t="s">
        <v>19</v>
      </c>
      <c r="I5867" t="s">
        <v>21</v>
      </c>
      <c r="J5867">
        <v>1603.136</v>
      </c>
      <c r="K5867">
        <v>4</v>
      </c>
      <c r="L5867">
        <v>0.2</v>
      </c>
      <c r="M5867">
        <v>100.196</v>
      </c>
    </row>
    <row r="5868" spans="1:13" x14ac:dyDescent="0.3">
      <c r="A5868" t="s">
        <v>168</v>
      </c>
      <c r="B5868" t="s">
        <v>22</v>
      </c>
      <c r="C5868" t="s">
        <v>15</v>
      </c>
      <c r="D5868" t="s">
        <v>208</v>
      </c>
      <c r="E5868" t="s">
        <v>24</v>
      </c>
      <c r="F5868">
        <v>92804</v>
      </c>
      <c r="G5868" t="s">
        <v>25</v>
      </c>
      <c r="H5868" t="s">
        <v>19</v>
      </c>
      <c r="I5868" t="s">
        <v>31</v>
      </c>
      <c r="J5868">
        <v>1293.4880000000001</v>
      </c>
      <c r="K5868">
        <v>7</v>
      </c>
      <c r="L5868">
        <v>0.2</v>
      </c>
      <c r="M5868">
        <v>80.843000000000004</v>
      </c>
    </row>
    <row r="5869" spans="1:13" x14ac:dyDescent="0.3">
      <c r="A5869" t="s">
        <v>28</v>
      </c>
      <c r="B5869" t="s">
        <v>14</v>
      </c>
      <c r="C5869" t="s">
        <v>15</v>
      </c>
      <c r="D5869" t="s">
        <v>107</v>
      </c>
      <c r="E5869" t="s">
        <v>74</v>
      </c>
      <c r="F5869">
        <v>47401</v>
      </c>
      <c r="G5869" t="s">
        <v>47</v>
      </c>
      <c r="H5869" t="s">
        <v>19</v>
      </c>
      <c r="I5869" t="s">
        <v>33</v>
      </c>
      <c r="J5869">
        <v>127.95</v>
      </c>
      <c r="K5869">
        <v>3</v>
      </c>
      <c r="L5869">
        <v>0</v>
      </c>
      <c r="M5869">
        <v>21.7515</v>
      </c>
    </row>
    <row r="5870" spans="1:13" x14ac:dyDescent="0.3">
      <c r="A5870" t="s">
        <v>28</v>
      </c>
      <c r="B5870" t="s">
        <v>44</v>
      </c>
      <c r="C5870" t="s">
        <v>15</v>
      </c>
      <c r="D5870" t="s">
        <v>103</v>
      </c>
      <c r="E5870" t="s">
        <v>167</v>
      </c>
      <c r="F5870">
        <v>31907</v>
      </c>
      <c r="G5870" t="s">
        <v>18</v>
      </c>
      <c r="H5870" t="s">
        <v>26</v>
      </c>
      <c r="I5870" t="s">
        <v>32</v>
      </c>
      <c r="J5870">
        <v>59.76</v>
      </c>
      <c r="K5870">
        <v>1</v>
      </c>
      <c r="L5870">
        <v>0</v>
      </c>
      <c r="M5870">
        <v>16.732800000000001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108.08</v>
      </c>
      <c r="K5871">
        <v>7</v>
      </c>
      <c r="L5871">
        <v>0</v>
      </c>
      <c r="M5871">
        <v>54.04</v>
      </c>
    </row>
    <row r="5872" spans="1:13" x14ac:dyDescent="0.3">
      <c r="A5872" t="s">
        <v>168</v>
      </c>
      <c r="B5872" t="s">
        <v>44</v>
      </c>
      <c r="C5872" t="s">
        <v>15</v>
      </c>
      <c r="D5872" t="s">
        <v>271</v>
      </c>
      <c r="E5872" t="s">
        <v>197</v>
      </c>
      <c r="F5872">
        <v>72401</v>
      </c>
      <c r="G5872" t="s">
        <v>18</v>
      </c>
      <c r="H5872" t="s">
        <v>26</v>
      </c>
      <c r="I5872" t="s">
        <v>37</v>
      </c>
      <c r="J5872">
        <v>9.5399999999999991</v>
      </c>
      <c r="K5872">
        <v>3</v>
      </c>
      <c r="L5872">
        <v>0</v>
      </c>
      <c r="M5872">
        <v>4.3883999999999999</v>
      </c>
    </row>
    <row r="5873" spans="1:13" x14ac:dyDescent="0.3">
      <c r="A5873" t="s">
        <v>62</v>
      </c>
      <c r="B5873" t="s">
        <v>44</v>
      </c>
      <c r="C5873" t="s">
        <v>15</v>
      </c>
      <c r="D5873" t="s">
        <v>55</v>
      </c>
      <c r="E5873" t="s">
        <v>56</v>
      </c>
      <c r="F5873">
        <v>19140</v>
      </c>
      <c r="G5873" t="s">
        <v>57</v>
      </c>
      <c r="H5873" t="s">
        <v>26</v>
      </c>
      <c r="I5873" t="s">
        <v>34</v>
      </c>
      <c r="J5873">
        <v>11.736000000000001</v>
      </c>
      <c r="K5873">
        <v>3</v>
      </c>
      <c r="L5873">
        <v>0.2</v>
      </c>
      <c r="M5873">
        <v>1.0268999999999999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37</v>
      </c>
      <c r="J5874">
        <v>447.86</v>
      </c>
      <c r="K5874">
        <v>7</v>
      </c>
      <c r="L5874">
        <v>0</v>
      </c>
      <c r="M5874">
        <v>219.45140000000001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41</v>
      </c>
      <c r="J5875">
        <v>17.940000000000001</v>
      </c>
      <c r="K5875">
        <v>3</v>
      </c>
      <c r="L5875">
        <v>0</v>
      </c>
      <c r="M5875">
        <v>8.7905999999999995</v>
      </c>
    </row>
    <row r="5876" spans="1:13" x14ac:dyDescent="0.3">
      <c r="A5876" t="s">
        <v>28</v>
      </c>
      <c r="B5876" t="s">
        <v>44</v>
      </c>
      <c r="C5876" t="s">
        <v>15</v>
      </c>
      <c r="D5876" t="s">
        <v>184</v>
      </c>
      <c r="E5876" t="s">
        <v>166</v>
      </c>
      <c r="F5876">
        <v>1841</v>
      </c>
      <c r="G5876" t="s">
        <v>57</v>
      </c>
      <c r="H5876" t="s">
        <v>26</v>
      </c>
      <c r="I5876" t="s">
        <v>38</v>
      </c>
      <c r="J5876">
        <v>245.88</v>
      </c>
      <c r="K5876">
        <v>6</v>
      </c>
      <c r="L5876">
        <v>0</v>
      </c>
      <c r="M5876">
        <v>68.846400000000003</v>
      </c>
    </row>
    <row r="5877" spans="1:13" x14ac:dyDescent="0.3">
      <c r="A5877" t="s">
        <v>28</v>
      </c>
      <c r="B5877" t="s">
        <v>14</v>
      </c>
      <c r="C5877" t="s">
        <v>15</v>
      </c>
      <c r="D5877" t="s">
        <v>75</v>
      </c>
      <c r="E5877" t="s">
        <v>76</v>
      </c>
      <c r="F5877">
        <v>10011</v>
      </c>
      <c r="G5877" t="s">
        <v>57</v>
      </c>
      <c r="H5877" t="s">
        <v>26</v>
      </c>
      <c r="I5877" t="s">
        <v>41</v>
      </c>
      <c r="J5877">
        <v>192.16</v>
      </c>
      <c r="K5877">
        <v>4</v>
      </c>
      <c r="L5877">
        <v>0</v>
      </c>
      <c r="M5877">
        <v>92.236800000000002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19</v>
      </c>
      <c r="I5878" t="s">
        <v>21</v>
      </c>
      <c r="J5878">
        <v>801.56799999999998</v>
      </c>
      <c r="K5878">
        <v>2</v>
      </c>
      <c r="L5878">
        <v>0.2</v>
      </c>
      <c r="M5878">
        <v>50.097999999999999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26</v>
      </c>
      <c r="I5879" t="s">
        <v>41</v>
      </c>
      <c r="J5879">
        <v>368.91</v>
      </c>
      <c r="K5879">
        <v>9</v>
      </c>
      <c r="L5879">
        <v>0</v>
      </c>
      <c r="M5879">
        <v>180.76589999999999</v>
      </c>
    </row>
    <row r="5880" spans="1:13" x14ac:dyDescent="0.3">
      <c r="A5880" t="s">
        <v>28</v>
      </c>
      <c r="B5880" t="s">
        <v>22</v>
      </c>
      <c r="C5880" t="s">
        <v>15</v>
      </c>
      <c r="D5880" t="s">
        <v>144</v>
      </c>
      <c r="E5880" t="s">
        <v>24</v>
      </c>
      <c r="F5880">
        <v>92105</v>
      </c>
      <c r="G5880" t="s">
        <v>25</v>
      </c>
      <c r="H5880" t="s">
        <v>19</v>
      </c>
      <c r="I5880" t="s">
        <v>21</v>
      </c>
      <c r="J5880">
        <v>885.52800000000002</v>
      </c>
      <c r="K5880">
        <v>9</v>
      </c>
      <c r="L5880">
        <v>0.2</v>
      </c>
      <c r="M5880">
        <v>-99.621899999999997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19</v>
      </c>
      <c r="I5881" t="s">
        <v>33</v>
      </c>
      <c r="J5881">
        <v>28.28</v>
      </c>
      <c r="K5881">
        <v>2</v>
      </c>
      <c r="L5881">
        <v>0</v>
      </c>
      <c r="M5881">
        <v>7.3528000000000002</v>
      </c>
    </row>
    <row r="5882" spans="1:13" x14ac:dyDescent="0.3">
      <c r="A5882" t="s">
        <v>13</v>
      </c>
      <c r="B5882" t="s">
        <v>22</v>
      </c>
      <c r="C5882" t="s">
        <v>15</v>
      </c>
      <c r="D5882" t="s">
        <v>52</v>
      </c>
      <c r="E5882" t="s">
        <v>24</v>
      </c>
      <c r="F5882">
        <v>94109</v>
      </c>
      <c r="G5882" t="s">
        <v>25</v>
      </c>
      <c r="H5882" t="s">
        <v>26</v>
      </c>
      <c r="I5882" t="s">
        <v>110</v>
      </c>
      <c r="J5882">
        <v>4912.59</v>
      </c>
      <c r="K5882">
        <v>3</v>
      </c>
      <c r="L5882">
        <v>0</v>
      </c>
      <c r="M5882">
        <v>196.50360000000001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26</v>
      </c>
      <c r="I5883" t="s">
        <v>37</v>
      </c>
      <c r="J5883">
        <v>14.352</v>
      </c>
      <c r="K5883">
        <v>3</v>
      </c>
      <c r="L5883">
        <v>0.2</v>
      </c>
      <c r="M5883">
        <v>5.0232000000000001</v>
      </c>
    </row>
    <row r="5884" spans="1:13" x14ac:dyDescent="0.3">
      <c r="A5884" t="s">
        <v>168</v>
      </c>
      <c r="B5884" t="s">
        <v>14</v>
      </c>
      <c r="C5884" t="s">
        <v>15</v>
      </c>
      <c r="D5884" t="s">
        <v>52</v>
      </c>
      <c r="E5884" t="s">
        <v>24</v>
      </c>
      <c r="F5884">
        <v>94110</v>
      </c>
      <c r="G5884" t="s">
        <v>25</v>
      </c>
      <c r="H5884" t="s">
        <v>35</v>
      </c>
      <c r="I5884" t="s">
        <v>59</v>
      </c>
      <c r="J5884">
        <v>179.97</v>
      </c>
      <c r="K5884">
        <v>3</v>
      </c>
      <c r="L5884">
        <v>0</v>
      </c>
      <c r="M5884">
        <v>86.385599999999997</v>
      </c>
    </row>
    <row r="5885" spans="1:13" x14ac:dyDescent="0.3">
      <c r="A5885" t="s">
        <v>62</v>
      </c>
      <c r="B5885" t="s">
        <v>22</v>
      </c>
      <c r="C5885" t="s">
        <v>15</v>
      </c>
      <c r="D5885" t="s">
        <v>485</v>
      </c>
      <c r="E5885" t="s">
        <v>179</v>
      </c>
      <c r="F5885">
        <v>2920</v>
      </c>
      <c r="G5885" t="s">
        <v>57</v>
      </c>
      <c r="H5885" t="s">
        <v>26</v>
      </c>
      <c r="I5885" t="s">
        <v>32</v>
      </c>
      <c r="J5885">
        <v>42.76</v>
      </c>
      <c r="K5885">
        <v>1</v>
      </c>
      <c r="L5885">
        <v>0</v>
      </c>
      <c r="M5885">
        <v>11.117599999999999</v>
      </c>
    </row>
    <row r="5886" spans="1:13" x14ac:dyDescent="0.3">
      <c r="A5886" t="s">
        <v>28</v>
      </c>
      <c r="B5886" t="s">
        <v>14</v>
      </c>
      <c r="C5886" t="s">
        <v>15</v>
      </c>
      <c r="D5886" t="s">
        <v>551</v>
      </c>
      <c r="E5886" t="s">
        <v>17</v>
      </c>
      <c r="F5886">
        <v>42301</v>
      </c>
      <c r="G5886" t="s">
        <v>18</v>
      </c>
      <c r="H5886" t="s">
        <v>26</v>
      </c>
      <c r="I5886" t="s">
        <v>41</v>
      </c>
      <c r="J5886">
        <v>45.68</v>
      </c>
      <c r="K5886">
        <v>2</v>
      </c>
      <c r="L5886">
        <v>0</v>
      </c>
      <c r="M5886">
        <v>21.012799999999999</v>
      </c>
    </row>
    <row r="5887" spans="1:13" x14ac:dyDescent="0.3">
      <c r="A5887" t="s">
        <v>62</v>
      </c>
      <c r="B5887" t="s">
        <v>14</v>
      </c>
      <c r="C5887" t="s">
        <v>15</v>
      </c>
      <c r="D5887" t="s">
        <v>333</v>
      </c>
      <c r="E5887" t="s">
        <v>248</v>
      </c>
      <c r="F5887">
        <v>21215</v>
      </c>
      <c r="G5887" t="s">
        <v>57</v>
      </c>
      <c r="H5887" t="s">
        <v>26</v>
      </c>
      <c r="I5887" t="s">
        <v>37</v>
      </c>
      <c r="J5887">
        <v>25.06</v>
      </c>
      <c r="K5887">
        <v>2</v>
      </c>
      <c r="L5887">
        <v>0</v>
      </c>
      <c r="M5887">
        <v>11.7782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41</v>
      </c>
      <c r="J5888">
        <v>38.432000000000002</v>
      </c>
      <c r="K5888">
        <v>1</v>
      </c>
      <c r="L5888">
        <v>0.2</v>
      </c>
      <c r="M5888">
        <v>13.4512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26</v>
      </c>
      <c r="I5889" t="s">
        <v>32</v>
      </c>
      <c r="J5889">
        <v>21.568000000000001</v>
      </c>
      <c r="K5889">
        <v>2</v>
      </c>
      <c r="L5889">
        <v>0.2</v>
      </c>
      <c r="M5889">
        <v>1.6175999999999999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79</v>
      </c>
      <c r="E5890" t="s">
        <v>65</v>
      </c>
      <c r="F5890">
        <v>60610</v>
      </c>
      <c r="G5890" t="s">
        <v>47</v>
      </c>
      <c r="H5890" t="s">
        <v>35</v>
      </c>
      <c r="I5890" t="s">
        <v>59</v>
      </c>
      <c r="J5890">
        <v>81.575999999999993</v>
      </c>
      <c r="K5890">
        <v>3</v>
      </c>
      <c r="L5890">
        <v>0.2</v>
      </c>
      <c r="M5890">
        <v>2.0394000000000001</v>
      </c>
    </row>
    <row r="5891" spans="1:13" x14ac:dyDescent="0.3">
      <c r="A5891" t="s">
        <v>28</v>
      </c>
      <c r="B5891" t="s">
        <v>14</v>
      </c>
      <c r="C5891" t="s">
        <v>15</v>
      </c>
      <c r="D5891" t="s">
        <v>200</v>
      </c>
      <c r="E5891" t="s">
        <v>167</v>
      </c>
      <c r="F5891">
        <v>30318</v>
      </c>
      <c r="G5891" t="s">
        <v>18</v>
      </c>
      <c r="H5891" t="s">
        <v>26</v>
      </c>
      <c r="I5891" t="s">
        <v>37</v>
      </c>
      <c r="J5891">
        <v>2.78</v>
      </c>
      <c r="K5891">
        <v>1</v>
      </c>
      <c r="L5891">
        <v>0</v>
      </c>
      <c r="M5891">
        <v>1.3622000000000001</v>
      </c>
    </row>
    <row r="5892" spans="1:13" x14ac:dyDescent="0.3">
      <c r="A5892" t="s">
        <v>28</v>
      </c>
      <c r="B5892" t="s">
        <v>22</v>
      </c>
      <c r="C5892" t="s">
        <v>15</v>
      </c>
      <c r="D5892" t="s">
        <v>23</v>
      </c>
      <c r="E5892" t="s">
        <v>24</v>
      </c>
      <c r="F5892">
        <v>90036</v>
      </c>
      <c r="G5892" t="s">
        <v>25</v>
      </c>
      <c r="H5892" t="s">
        <v>26</v>
      </c>
      <c r="I5892" t="s">
        <v>32</v>
      </c>
      <c r="J5892">
        <v>99.87</v>
      </c>
      <c r="K5892">
        <v>3</v>
      </c>
      <c r="L5892">
        <v>0</v>
      </c>
      <c r="M5892">
        <v>23.968800000000002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27</v>
      </c>
      <c r="J5893">
        <v>44.4</v>
      </c>
      <c r="K5893">
        <v>3</v>
      </c>
      <c r="L5893">
        <v>0</v>
      </c>
      <c r="M5893">
        <v>22.2</v>
      </c>
    </row>
    <row r="5894" spans="1:13" x14ac:dyDescent="0.3">
      <c r="A5894" t="s">
        <v>28</v>
      </c>
      <c r="B5894" t="s">
        <v>44</v>
      </c>
      <c r="C5894" t="s">
        <v>15</v>
      </c>
      <c r="D5894" t="s">
        <v>23</v>
      </c>
      <c r="E5894" t="s">
        <v>24</v>
      </c>
      <c r="F5894">
        <v>90049</v>
      </c>
      <c r="G5894" t="s">
        <v>25</v>
      </c>
      <c r="H5894" t="s">
        <v>26</v>
      </c>
      <c r="I5894" t="s">
        <v>41</v>
      </c>
      <c r="J5894">
        <v>21.4</v>
      </c>
      <c r="K5894">
        <v>5</v>
      </c>
      <c r="L5894">
        <v>0</v>
      </c>
      <c r="M5894">
        <v>9.6300000000000008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19</v>
      </c>
      <c r="I5895" t="s">
        <v>33</v>
      </c>
      <c r="J5895">
        <v>71.12</v>
      </c>
      <c r="K5895">
        <v>4</v>
      </c>
      <c r="L5895">
        <v>0</v>
      </c>
      <c r="M5895">
        <v>22.0472</v>
      </c>
    </row>
    <row r="5896" spans="1:13" x14ac:dyDescent="0.3">
      <c r="A5896" t="s">
        <v>28</v>
      </c>
      <c r="B5896" t="s">
        <v>14</v>
      </c>
      <c r="C5896" t="s">
        <v>15</v>
      </c>
      <c r="D5896" t="s">
        <v>182</v>
      </c>
      <c r="E5896" t="s">
        <v>74</v>
      </c>
      <c r="F5896">
        <v>47374</v>
      </c>
      <c r="G5896" t="s">
        <v>47</v>
      </c>
      <c r="H5896" t="s">
        <v>35</v>
      </c>
      <c r="I5896" t="s">
        <v>36</v>
      </c>
      <c r="J5896">
        <v>259.95999999999998</v>
      </c>
      <c r="K5896">
        <v>4</v>
      </c>
      <c r="L5896">
        <v>0</v>
      </c>
      <c r="M5896">
        <v>124.7808</v>
      </c>
    </row>
    <row r="5897" spans="1:13" x14ac:dyDescent="0.3">
      <c r="A5897" t="s">
        <v>28</v>
      </c>
      <c r="B5897" t="s">
        <v>22</v>
      </c>
      <c r="C5897" t="s">
        <v>15</v>
      </c>
      <c r="D5897" t="s">
        <v>52</v>
      </c>
      <c r="E5897" t="s">
        <v>24</v>
      </c>
      <c r="F5897">
        <v>94110</v>
      </c>
      <c r="G5897" t="s">
        <v>25</v>
      </c>
      <c r="H5897" t="s">
        <v>26</v>
      </c>
      <c r="I5897" t="s">
        <v>60</v>
      </c>
      <c r="J5897">
        <v>9.7799999999999994</v>
      </c>
      <c r="K5897">
        <v>1</v>
      </c>
      <c r="L5897">
        <v>0</v>
      </c>
      <c r="M5897">
        <v>4.8899999999999997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52</v>
      </c>
      <c r="E5898" t="s">
        <v>24</v>
      </c>
      <c r="F5898">
        <v>94122</v>
      </c>
      <c r="G5898" t="s">
        <v>25</v>
      </c>
      <c r="H5898" t="s">
        <v>26</v>
      </c>
      <c r="I5898" t="s">
        <v>37</v>
      </c>
      <c r="J5898">
        <v>24.192</v>
      </c>
      <c r="K5898">
        <v>9</v>
      </c>
      <c r="L5898">
        <v>0.2</v>
      </c>
      <c r="M5898">
        <v>7.56</v>
      </c>
    </row>
    <row r="5899" spans="1:13" x14ac:dyDescent="0.3">
      <c r="A5899" t="s">
        <v>28</v>
      </c>
      <c r="B5899" t="s">
        <v>22</v>
      </c>
      <c r="C5899" t="s">
        <v>15</v>
      </c>
      <c r="D5899" t="s">
        <v>131</v>
      </c>
      <c r="E5899" t="s">
        <v>132</v>
      </c>
      <c r="F5899">
        <v>7090</v>
      </c>
      <c r="G5899" t="s">
        <v>57</v>
      </c>
      <c r="H5899" t="s">
        <v>19</v>
      </c>
      <c r="I5899" t="s">
        <v>33</v>
      </c>
      <c r="J5899">
        <v>31.56</v>
      </c>
      <c r="K5899">
        <v>3</v>
      </c>
      <c r="L5899">
        <v>0</v>
      </c>
      <c r="M5899">
        <v>10.4148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59.94</v>
      </c>
      <c r="K5900">
        <v>3</v>
      </c>
      <c r="L5900">
        <v>0</v>
      </c>
      <c r="M5900">
        <v>28.171800000000001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45.36</v>
      </c>
      <c r="K5901">
        <v>4</v>
      </c>
      <c r="L5901">
        <v>0</v>
      </c>
      <c r="M5901">
        <v>22.226400000000002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41</v>
      </c>
      <c r="J5902">
        <v>26.4</v>
      </c>
      <c r="K5902">
        <v>5</v>
      </c>
      <c r="L5902">
        <v>0</v>
      </c>
      <c r="M5902">
        <v>12.672000000000001</v>
      </c>
    </row>
    <row r="5903" spans="1:13" x14ac:dyDescent="0.3">
      <c r="A5903" t="s">
        <v>168</v>
      </c>
      <c r="B5903" t="s">
        <v>44</v>
      </c>
      <c r="C5903" t="s">
        <v>15</v>
      </c>
      <c r="D5903" t="s">
        <v>52</v>
      </c>
      <c r="E5903" t="s">
        <v>24</v>
      </c>
      <c r="F5903">
        <v>94122</v>
      </c>
      <c r="G5903" t="s">
        <v>25</v>
      </c>
      <c r="H5903" t="s">
        <v>35</v>
      </c>
      <c r="I5903" t="s">
        <v>59</v>
      </c>
      <c r="J5903">
        <v>16.95</v>
      </c>
      <c r="K5903">
        <v>1</v>
      </c>
      <c r="L5903">
        <v>0</v>
      </c>
      <c r="M5903">
        <v>1.0169999999999999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37</v>
      </c>
      <c r="J5904">
        <v>24.704000000000001</v>
      </c>
      <c r="K5904">
        <v>2</v>
      </c>
      <c r="L5904">
        <v>0.2</v>
      </c>
      <c r="M5904">
        <v>9.2639999999999993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26</v>
      </c>
      <c r="I5905" t="s">
        <v>38</v>
      </c>
      <c r="J5905">
        <v>59.7</v>
      </c>
      <c r="K5905">
        <v>3</v>
      </c>
      <c r="L5905">
        <v>0</v>
      </c>
      <c r="M5905">
        <v>26.864999999999998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19</v>
      </c>
      <c r="I5906" t="s">
        <v>33</v>
      </c>
      <c r="J5906">
        <v>14.52</v>
      </c>
      <c r="K5906">
        <v>3</v>
      </c>
      <c r="L5906">
        <v>0</v>
      </c>
      <c r="M5906">
        <v>5.6627999999999998</v>
      </c>
    </row>
    <row r="5907" spans="1:13" x14ac:dyDescent="0.3">
      <c r="A5907" t="s">
        <v>28</v>
      </c>
      <c r="B5907" t="s">
        <v>22</v>
      </c>
      <c r="C5907" t="s">
        <v>15</v>
      </c>
      <c r="D5907" t="s">
        <v>117</v>
      </c>
      <c r="E5907" t="s">
        <v>24</v>
      </c>
      <c r="F5907">
        <v>95123</v>
      </c>
      <c r="G5907" t="s">
        <v>25</v>
      </c>
      <c r="H5907" t="s">
        <v>26</v>
      </c>
      <c r="I5907" t="s">
        <v>37</v>
      </c>
      <c r="J5907">
        <v>104.184</v>
      </c>
      <c r="K5907">
        <v>3</v>
      </c>
      <c r="L5907">
        <v>0.2</v>
      </c>
      <c r="M5907">
        <v>33.8598</v>
      </c>
    </row>
    <row r="5908" spans="1:13" x14ac:dyDescent="0.3">
      <c r="A5908" t="s">
        <v>28</v>
      </c>
      <c r="B5908" t="s">
        <v>44</v>
      </c>
      <c r="C5908" t="s">
        <v>15</v>
      </c>
      <c r="D5908" t="s">
        <v>42</v>
      </c>
      <c r="E5908" t="s">
        <v>43</v>
      </c>
      <c r="F5908">
        <v>98115</v>
      </c>
      <c r="G5908" t="s">
        <v>25</v>
      </c>
      <c r="H5908" t="s">
        <v>26</v>
      </c>
      <c r="I5908" t="s">
        <v>32</v>
      </c>
      <c r="J5908">
        <v>46.53</v>
      </c>
      <c r="K5908">
        <v>3</v>
      </c>
      <c r="L5908">
        <v>0</v>
      </c>
      <c r="M5908">
        <v>13.0284</v>
      </c>
    </row>
    <row r="5909" spans="1:13" x14ac:dyDescent="0.3">
      <c r="A5909" t="s">
        <v>13</v>
      </c>
      <c r="B5909" t="s">
        <v>22</v>
      </c>
      <c r="C5909" t="s">
        <v>15</v>
      </c>
      <c r="D5909" t="s">
        <v>551</v>
      </c>
      <c r="E5909" t="s">
        <v>17</v>
      </c>
      <c r="F5909">
        <v>42301</v>
      </c>
      <c r="G5909" t="s">
        <v>18</v>
      </c>
      <c r="H5909" t="s">
        <v>26</v>
      </c>
      <c r="I5909" t="s">
        <v>110</v>
      </c>
      <c r="J5909">
        <v>25.5</v>
      </c>
      <c r="K5909">
        <v>3</v>
      </c>
      <c r="L5909">
        <v>0</v>
      </c>
      <c r="M5909">
        <v>6.63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32</v>
      </c>
      <c r="J5910">
        <v>14.9</v>
      </c>
      <c r="K5910">
        <v>5</v>
      </c>
      <c r="L5910">
        <v>0</v>
      </c>
      <c r="M5910">
        <v>1.0429999999999999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26</v>
      </c>
      <c r="I5911" t="s">
        <v>27</v>
      </c>
      <c r="J5911">
        <v>87.71</v>
      </c>
      <c r="K5911">
        <v>7</v>
      </c>
      <c r="L5911">
        <v>0</v>
      </c>
      <c r="M5911">
        <v>41.223700000000001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19</v>
      </c>
      <c r="I5912" t="s">
        <v>21</v>
      </c>
      <c r="J5912">
        <v>199.76400000000001</v>
      </c>
      <c r="K5912">
        <v>2</v>
      </c>
      <c r="L5912">
        <v>0.1</v>
      </c>
      <c r="M5912">
        <v>8.8783999999999992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26</v>
      </c>
      <c r="I5913" t="s">
        <v>32</v>
      </c>
      <c r="J5913">
        <v>94.6</v>
      </c>
      <c r="K5913">
        <v>4</v>
      </c>
      <c r="L5913">
        <v>0</v>
      </c>
      <c r="M5913">
        <v>27.434000000000001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4228.7039999999997</v>
      </c>
      <c r="K5914">
        <v>6</v>
      </c>
      <c r="L5914">
        <v>0.2</v>
      </c>
      <c r="M5914">
        <v>158.57640000000001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19</v>
      </c>
      <c r="I5915" t="s">
        <v>20</v>
      </c>
      <c r="J5915">
        <v>2003.92</v>
      </c>
      <c r="K5915">
        <v>5</v>
      </c>
      <c r="L5915">
        <v>0.2</v>
      </c>
      <c r="M5915">
        <v>-25.048999999999999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36</v>
      </c>
      <c r="J5916">
        <v>209.97</v>
      </c>
      <c r="K5916">
        <v>3</v>
      </c>
      <c r="L5916">
        <v>0</v>
      </c>
      <c r="M5916">
        <v>58.791600000000003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35</v>
      </c>
      <c r="I5917" t="s">
        <v>59</v>
      </c>
      <c r="J5917">
        <v>659.9</v>
      </c>
      <c r="K5917">
        <v>2</v>
      </c>
      <c r="L5917">
        <v>0</v>
      </c>
      <c r="M5917">
        <v>217.767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41</v>
      </c>
      <c r="J5918">
        <v>110.96</v>
      </c>
      <c r="K5918">
        <v>2</v>
      </c>
      <c r="L5918">
        <v>0</v>
      </c>
      <c r="M5918">
        <v>53.260800000000003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35</v>
      </c>
      <c r="I5919" t="s">
        <v>36</v>
      </c>
      <c r="J5919">
        <v>67.8</v>
      </c>
      <c r="K5919">
        <v>4</v>
      </c>
      <c r="L5919">
        <v>0</v>
      </c>
      <c r="M5919">
        <v>1.3560000000000001</v>
      </c>
    </row>
    <row r="5920" spans="1:13" x14ac:dyDescent="0.3">
      <c r="A5920" t="s">
        <v>13</v>
      </c>
      <c r="B5920" t="s">
        <v>22</v>
      </c>
      <c r="C5920" t="s">
        <v>15</v>
      </c>
      <c r="D5920" t="s">
        <v>75</v>
      </c>
      <c r="E5920" t="s">
        <v>76</v>
      </c>
      <c r="F5920">
        <v>10011</v>
      </c>
      <c r="G5920" t="s">
        <v>57</v>
      </c>
      <c r="H5920" t="s">
        <v>19</v>
      </c>
      <c r="I5920" t="s">
        <v>31</v>
      </c>
      <c r="J5920">
        <v>313.17599999999999</v>
      </c>
      <c r="K5920">
        <v>2</v>
      </c>
      <c r="L5920">
        <v>0.4</v>
      </c>
      <c r="M5920">
        <v>-120.0508</v>
      </c>
    </row>
    <row r="5921" spans="1:13" x14ac:dyDescent="0.3">
      <c r="A5921" t="s">
        <v>13</v>
      </c>
      <c r="B5921" t="s">
        <v>14</v>
      </c>
      <c r="C5921" t="s">
        <v>15</v>
      </c>
      <c r="D5921" t="s">
        <v>82</v>
      </c>
      <c r="E5921" t="s">
        <v>83</v>
      </c>
      <c r="F5921">
        <v>22153</v>
      </c>
      <c r="G5921" t="s">
        <v>18</v>
      </c>
      <c r="H5921" t="s">
        <v>26</v>
      </c>
      <c r="I5921" t="s">
        <v>34</v>
      </c>
      <c r="J5921">
        <v>22.96</v>
      </c>
      <c r="K5921">
        <v>7</v>
      </c>
      <c r="L5921">
        <v>0</v>
      </c>
      <c r="M5921">
        <v>6.6584000000000003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406</v>
      </c>
      <c r="E5922" t="s">
        <v>43</v>
      </c>
      <c r="F5922">
        <v>98226</v>
      </c>
      <c r="G5922" t="s">
        <v>25</v>
      </c>
      <c r="H5922" t="s">
        <v>35</v>
      </c>
      <c r="I5922" t="s">
        <v>59</v>
      </c>
      <c r="J5922">
        <v>1099.5</v>
      </c>
      <c r="K5922">
        <v>10</v>
      </c>
      <c r="L5922">
        <v>0</v>
      </c>
      <c r="M5922">
        <v>362.83499999999998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87</v>
      </c>
      <c r="E5923" t="s">
        <v>88</v>
      </c>
      <c r="F5923">
        <v>35601</v>
      </c>
      <c r="G5923" t="s">
        <v>18</v>
      </c>
      <c r="H5923" t="s">
        <v>19</v>
      </c>
      <c r="I5923" t="s">
        <v>31</v>
      </c>
      <c r="J5923">
        <v>1215.92</v>
      </c>
      <c r="K5923">
        <v>8</v>
      </c>
      <c r="L5923">
        <v>0</v>
      </c>
      <c r="M5923">
        <v>316.13920000000002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26</v>
      </c>
      <c r="I5924" t="s">
        <v>27</v>
      </c>
      <c r="J5924">
        <v>7.31</v>
      </c>
      <c r="K5924">
        <v>1</v>
      </c>
      <c r="L5924">
        <v>0</v>
      </c>
      <c r="M5924">
        <v>3.4357000000000002</v>
      </c>
    </row>
    <row r="5925" spans="1:13" x14ac:dyDescent="0.3">
      <c r="A5925" t="s">
        <v>28</v>
      </c>
      <c r="B5925" t="s">
        <v>22</v>
      </c>
      <c r="C5925" t="s">
        <v>15</v>
      </c>
      <c r="D5925" t="s">
        <v>196</v>
      </c>
      <c r="E5925" t="s">
        <v>197</v>
      </c>
      <c r="F5925">
        <v>72701</v>
      </c>
      <c r="G5925" t="s">
        <v>18</v>
      </c>
      <c r="H5925" t="s">
        <v>19</v>
      </c>
      <c r="I5925" t="s">
        <v>33</v>
      </c>
      <c r="J5925">
        <v>8.92</v>
      </c>
      <c r="K5925">
        <v>4</v>
      </c>
      <c r="L5925">
        <v>0</v>
      </c>
      <c r="M5925">
        <v>3.9247999999999998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19</v>
      </c>
      <c r="I5926" t="s">
        <v>20</v>
      </c>
      <c r="J5926">
        <v>87.21</v>
      </c>
      <c r="K5926">
        <v>3</v>
      </c>
      <c r="L5926">
        <v>0.5</v>
      </c>
      <c r="M5926">
        <v>-45.349200000000003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26</v>
      </c>
      <c r="I5927" t="s">
        <v>41</v>
      </c>
      <c r="J5927">
        <v>15.552</v>
      </c>
      <c r="K5927">
        <v>3</v>
      </c>
      <c r="L5927">
        <v>0.2</v>
      </c>
      <c r="M5927">
        <v>5.4432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35</v>
      </c>
      <c r="I5928" t="s">
        <v>36</v>
      </c>
      <c r="J5928">
        <v>683.98800000000006</v>
      </c>
      <c r="K5928">
        <v>2</v>
      </c>
      <c r="L5928">
        <v>0.4</v>
      </c>
      <c r="M5928">
        <v>-113.998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26</v>
      </c>
      <c r="I5929" t="s">
        <v>32</v>
      </c>
      <c r="J5929">
        <v>13.391999999999999</v>
      </c>
      <c r="K5929">
        <v>3</v>
      </c>
      <c r="L5929">
        <v>0.2</v>
      </c>
      <c r="M5929">
        <v>1.0044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16.776</v>
      </c>
      <c r="K5930">
        <v>3</v>
      </c>
      <c r="L5930">
        <v>0.2</v>
      </c>
      <c r="M5930">
        <v>4.8231000000000002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35</v>
      </c>
      <c r="I5931" t="s">
        <v>59</v>
      </c>
      <c r="J5931">
        <v>527.91999999999996</v>
      </c>
      <c r="K5931">
        <v>2</v>
      </c>
      <c r="L5931">
        <v>0.2</v>
      </c>
      <c r="M5931">
        <v>85.787000000000006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19</v>
      </c>
      <c r="I5932" t="s">
        <v>33</v>
      </c>
      <c r="J5932">
        <v>25.4</v>
      </c>
      <c r="K5932">
        <v>5</v>
      </c>
      <c r="L5932">
        <v>0</v>
      </c>
      <c r="M5932">
        <v>8.6359999999999992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177.48</v>
      </c>
      <c r="K5933">
        <v>3</v>
      </c>
      <c r="L5933">
        <v>0.2</v>
      </c>
      <c r="M5933">
        <v>19.9665</v>
      </c>
    </row>
    <row r="5934" spans="1:13" x14ac:dyDescent="0.3">
      <c r="A5934" t="s">
        <v>168</v>
      </c>
      <c r="B5934" t="s">
        <v>44</v>
      </c>
      <c r="C5934" t="s">
        <v>15</v>
      </c>
      <c r="D5934" t="s">
        <v>42</v>
      </c>
      <c r="E5934" t="s">
        <v>43</v>
      </c>
      <c r="F5934">
        <v>98103</v>
      </c>
      <c r="G5934" t="s">
        <v>25</v>
      </c>
      <c r="H5934" t="s">
        <v>35</v>
      </c>
      <c r="I5934" t="s">
        <v>36</v>
      </c>
      <c r="J5934">
        <v>71.975999999999999</v>
      </c>
      <c r="K5934">
        <v>3</v>
      </c>
      <c r="L5934">
        <v>0.2</v>
      </c>
      <c r="M5934">
        <v>8.9969999999999999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35</v>
      </c>
      <c r="I5935" t="s">
        <v>36</v>
      </c>
      <c r="J5935">
        <v>95.992000000000004</v>
      </c>
      <c r="K5935">
        <v>1</v>
      </c>
      <c r="L5935">
        <v>0.2</v>
      </c>
      <c r="M5935">
        <v>9.5991999999999997</v>
      </c>
    </row>
    <row r="5936" spans="1:13" x14ac:dyDescent="0.3">
      <c r="A5936" t="s">
        <v>28</v>
      </c>
      <c r="B5936" t="s">
        <v>14</v>
      </c>
      <c r="C5936" t="s">
        <v>15</v>
      </c>
      <c r="D5936" t="s">
        <v>328</v>
      </c>
      <c r="E5936" t="s">
        <v>46</v>
      </c>
      <c r="F5936">
        <v>75023</v>
      </c>
      <c r="G5936" t="s">
        <v>47</v>
      </c>
      <c r="H5936" t="s">
        <v>26</v>
      </c>
      <c r="I5936" t="s">
        <v>27</v>
      </c>
      <c r="J5936">
        <v>13.215999999999999</v>
      </c>
      <c r="K5936">
        <v>4</v>
      </c>
      <c r="L5936">
        <v>0.2</v>
      </c>
      <c r="M5936">
        <v>4.2952000000000004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35</v>
      </c>
      <c r="I5937" t="s">
        <v>59</v>
      </c>
      <c r="J5937">
        <v>435.84</v>
      </c>
      <c r="K5937">
        <v>12</v>
      </c>
      <c r="L5937">
        <v>0</v>
      </c>
      <c r="M5937">
        <v>130.75200000000001</v>
      </c>
    </row>
    <row r="5938" spans="1:13" x14ac:dyDescent="0.3">
      <c r="A5938" t="s">
        <v>13</v>
      </c>
      <c r="B5938" t="s">
        <v>14</v>
      </c>
      <c r="C5938" t="s">
        <v>15</v>
      </c>
      <c r="D5938" t="s">
        <v>23</v>
      </c>
      <c r="E5938" t="s">
        <v>24</v>
      </c>
      <c r="F5938">
        <v>90049</v>
      </c>
      <c r="G5938" t="s">
        <v>25</v>
      </c>
      <c r="H5938" t="s">
        <v>26</v>
      </c>
      <c r="I5938" t="s">
        <v>34</v>
      </c>
      <c r="J5938">
        <v>5.88</v>
      </c>
      <c r="K5938">
        <v>2</v>
      </c>
      <c r="L5938">
        <v>0</v>
      </c>
      <c r="M5938">
        <v>1.5875999999999999</v>
      </c>
    </row>
    <row r="5939" spans="1:13" x14ac:dyDescent="0.3">
      <c r="A5939" t="s">
        <v>28</v>
      </c>
      <c r="B5939" t="s">
        <v>14</v>
      </c>
      <c r="C5939" t="s">
        <v>15</v>
      </c>
      <c r="D5939" t="s">
        <v>23</v>
      </c>
      <c r="E5939" t="s">
        <v>24</v>
      </c>
      <c r="F5939">
        <v>90032</v>
      </c>
      <c r="G5939" t="s">
        <v>25</v>
      </c>
      <c r="H5939" t="s">
        <v>35</v>
      </c>
      <c r="I5939" t="s">
        <v>36</v>
      </c>
      <c r="J5939">
        <v>211.16800000000001</v>
      </c>
      <c r="K5939">
        <v>4</v>
      </c>
      <c r="L5939">
        <v>0.2</v>
      </c>
      <c r="M5939">
        <v>18.4772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19</v>
      </c>
      <c r="I5940" t="s">
        <v>33</v>
      </c>
      <c r="J5940">
        <v>6.28</v>
      </c>
      <c r="K5940">
        <v>1</v>
      </c>
      <c r="L5940">
        <v>0</v>
      </c>
      <c r="M5940">
        <v>2.6375999999999999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35</v>
      </c>
      <c r="I5941" t="s">
        <v>59</v>
      </c>
      <c r="J5941">
        <v>95.1</v>
      </c>
      <c r="K5941">
        <v>5</v>
      </c>
      <c r="L5941">
        <v>0</v>
      </c>
      <c r="M5941">
        <v>30.431999999999999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41</v>
      </c>
      <c r="J5942">
        <v>25.92</v>
      </c>
      <c r="K5942">
        <v>4</v>
      </c>
      <c r="L5942">
        <v>0</v>
      </c>
      <c r="M5942">
        <v>12.441599999999999</v>
      </c>
    </row>
    <row r="5943" spans="1:13" x14ac:dyDescent="0.3">
      <c r="A5943" t="s">
        <v>28</v>
      </c>
      <c r="B5943" t="s">
        <v>22</v>
      </c>
      <c r="C5943" t="s">
        <v>15</v>
      </c>
      <c r="D5943" t="s">
        <v>23</v>
      </c>
      <c r="E5943" t="s">
        <v>24</v>
      </c>
      <c r="F5943">
        <v>90036</v>
      </c>
      <c r="G5943" t="s">
        <v>25</v>
      </c>
      <c r="H5943" t="s">
        <v>26</v>
      </c>
      <c r="I5943" t="s">
        <v>32</v>
      </c>
      <c r="J5943">
        <v>48.84</v>
      </c>
      <c r="K5943">
        <v>4</v>
      </c>
      <c r="L5943">
        <v>0</v>
      </c>
      <c r="M5943">
        <v>13.1868</v>
      </c>
    </row>
    <row r="5944" spans="1:13" x14ac:dyDescent="0.3">
      <c r="A5944" t="s">
        <v>13</v>
      </c>
      <c r="B5944" t="s">
        <v>44</v>
      </c>
      <c r="C5944" t="s">
        <v>15</v>
      </c>
      <c r="D5944" t="s">
        <v>174</v>
      </c>
      <c r="E5944" t="s">
        <v>102</v>
      </c>
      <c r="F5944">
        <v>50315</v>
      </c>
      <c r="G5944" t="s">
        <v>47</v>
      </c>
      <c r="H5944" t="s">
        <v>26</v>
      </c>
      <c r="I5944" t="s">
        <v>37</v>
      </c>
      <c r="J5944">
        <v>25.9</v>
      </c>
      <c r="K5944">
        <v>5</v>
      </c>
      <c r="L5944">
        <v>0</v>
      </c>
      <c r="M5944">
        <v>12.691000000000001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26</v>
      </c>
      <c r="I5945" t="s">
        <v>60</v>
      </c>
      <c r="J5945">
        <v>42.68</v>
      </c>
      <c r="K5945">
        <v>4</v>
      </c>
      <c r="L5945">
        <v>0</v>
      </c>
      <c r="M5945">
        <v>19.6328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35</v>
      </c>
      <c r="I5946" t="s">
        <v>59</v>
      </c>
      <c r="J5946">
        <v>299.97000000000003</v>
      </c>
      <c r="K5946">
        <v>3</v>
      </c>
      <c r="L5946">
        <v>0</v>
      </c>
      <c r="M5946">
        <v>125.98739999999999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38</v>
      </c>
      <c r="J5947">
        <v>262.24</v>
      </c>
      <c r="K5947">
        <v>2</v>
      </c>
      <c r="L5947">
        <v>0</v>
      </c>
      <c r="M5947">
        <v>78.671999999999997</v>
      </c>
    </row>
    <row r="5948" spans="1:13" x14ac:dyDescent="0.3">
      <c r="A5948" t="s">
        <v>168</v>
      </c>
      <c r="B5948" t="s">
        <v>22</v>
      </c>
      <c r="C5948" t="s">
        <v>15</v>
      </c>
      <c r="D5948" t="s">
        <v>383</v>
      </c>
      <c r="E5948" t="s">
        <v>185</v>
      </c>
      <c r="F5948">
        <v>38671</v>
      </c>
      <c r="G5948" t="s">
        <v>18</v>
      </c>
      <c r="H5948" t="s">
        <v>26</v>
      </c>
      <c r="I5948" t="s">
        <v>37</v>
      </c>
      <c r="J5948">
        <v>234.36</v>
      </c>
      <c r="K5948">
        <v>6</v>
      </c>
      <c r="L5948">
        <v>0</v>
      </c>
      <c r="M5948">
        <v>112.4928</v>
      </c>
    </row>
    <row r="5949" spans="1:13" x14ac:dyDescent="0.3">
      <c r="A5949" t="s">
        <v>28</v>
      </c>
      <c r="B5949" t="s">
        <v>44</v>
      </c>
      <c r="C5949" t="s">
        <v>15</v>
      </c>
      <c r="D5949" t="s">
        <v>61</v>
      </c>
      <c r="E5949" t="s">
        <v>46</v>
      </c>
      <c r="F5949">
        <v>77041</v>
      </c>
      <c r="G5949" t="s">
        <v>47</v>
      </c>
      <c r="H5949" t="s">
        <v>26</v>
      </c>
      <c r="I5949" t="s">
        <v>41</v>
      </c>
      <c r="J5949">
        <v>20.736000000000001</v>
      </c>
      <c r="K5949">
        <v>4</v>
      </c>
      <c r="L5949">
        <v>0.2</v>
      </c>
      <c r="M5949">
        <v>7.2576000000000001</v>
      </c>
    </row>
    <row r="5950" spans="1:13" x14ac:dyDescent="0.3">
      <c r="A5950" t="s">
        <v>62</v>
      </c>
      <c r="B5950" t="s">
        <v>22</v>
      </c>
      <c r="C5950" t="s">
        <v>15</v>
      </c>
      <c r="D5950" t="s">
        <v>75</v>
      </c>
      <c r="E5950" t="s">
        <v>76</v>
      </c>
      <c r="F5950">
        <v>10009</v>
      </c>
      <c r="G5950" t="s">
        <v>57</v>
      </c>
      <c r="H5950" t="s">
        <v>26</v>
      </c>
      <c r="I5950" t="s">
        <v>34</v>
      </c>
      <c r="J5950">
        <v>10.5</v>
      </c>
      <c r="K5950">
        <v>5</v>
      </c>
      <c r="L5950">
        <v>0</v>
      </c>
      <c r="M5950">
        <v>2.94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33</v>
      </c>
      <c r="J5951">
        <v>23.968</v>
      </c>
      <c r="K5951">
        <v>2</v>
      </c>
      <c r="L5951">
        <v>0.2</v>
      </c>
      <c r="M5951">
        <v>7.7896000000000001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351</v>
      </c>
      <c r="E5952" t="s">
        <v>56</v>
      </c>
      <c r="F5952">
        <v>19601</v>
      </c>
      <c r="G5952" t="s">
        <v>57</v>
      </c>
      <c r="H5952" t="s">
        <v>19</v>
      </c>
      <c r="I5952" t="s">
        <v>20</v>
      </c>
      <c r="J5952">
        <v>521.96</v>
      </c>
      <c r="K5952">
        <v>4</v>
      </c>
      <c r="L5952">
        <v>0.5</v>
      </c>
      <c r="M5952">
        <v>-250.54079999999999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32</v>
      </c>
      <c r="J5953">
        <v>676.55</v>
      </c>
      <c r="K5953">
        <v>5</v>
      </c>
      <c r="L5953">
        <v>0</v>
      </c>
      <c r="M5953">
        <v>6.7655000000000003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38</v>
      </c>
      <c r="J5954">
        <v>154.9</v>
      </c>
      <c r="K5954">
        <v>5</v>
      </c>
      <c r="L5954">
        <v>0</v>
      </c>
      <c r="M5954">
        <v>40.274000000000001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26</v>
      </c>
      <c r="I5955" t="s">
        <v>60</v>
      </c>
      <c r="J5955">
        <v>30.56</v>
      </c>
      <c r="K5955">
        <v>4</v>
      </c>
      <c r="L5955">
        <v>0</v>
      </c>
      <c r="M5955">
        <v>14.974399999999999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52</v>
      </c>
      <c r="E5956" t="s">
        <v>24</v>
      </c>
      <c r="F5956">
        <v>94109</v>
      </c>
      <c r="G5956" t="s">
        <v>25</v>
      </c>
      <c r="H5956" t="s">
        <v>19</v>
      </c>
      <c r="I5956" t="s">
        <v>21</v>
      </c>
      <c r="J5956">
        <v>770.35199999999998</v>
      </c>
      <c r="K5956">
        <v>3</v>
      </c>
      <c r="L5956">
        <v>0.2</v>
      </c>
      <c r="M5956">
        <v>77.035200000000003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23</v>
      </c>
      <c r="E5957" t="s">
        <v>24</v>
      </c>
      <c r="F5957">
        <v>90045</v>
      </c>
      <c r="G5957" t="s">
        <v>25</v>
      </c>
      <c r="H5957" t="s">
        <v>19</v>
      </c>
      <c r="I5957" t="s">
        <v>33</v>
      </c>
      <c r="J5957">
        <v>21.12</v>
      </c>
      <c r="K5957">
        <v>4</v>
      </c>
      <c r="L5957">
        <v>0</v>
      </c>
      <c r="M5957">
        <v>6.5472000000000001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35</v>
      </c>
      <c r="I5958" t="s">
        <v>36</v>
      </c>
      <c r="J5958">
        <v>575.928</v>
      </c>
      <c r="K5958">
        <v>9</v>
      </c>
      <c r="L5958">
        <v>0.2</v>
      </c>
      <c r="M5958">
        <v>57.592799999999997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38</v>
      </c>
      <c r="J5959">
        <v>7.78</v>
      </c>
      <c r="K5959">
        <v>2</v>
      </c>
      <c r="L5959">
        <v>0</v>
      </c>
      <c r="M5959">
        <v>2.0228000000000002</v>
      </c>
    </row>
    <row r="5960" spans="1:13" x14ac:dyDescent="0.3">
      <c r="A5960" t="s">
        <v>13</v>
      </c>
      <c r="B5960" t="s">
        <v>44</v>
      </c>
      <c r="C5960" t="s">
        <v>15</v>
      </c>
      <c r="D5960" t="s">
        <v>23</v>
      </c>
      <c r="E5960" t="s">
        <v>24</v>
      </c>
      <c r="F5960">
        <v>90004</v>
      </c>
      <c r="G5960" t="s">
        <v>25</v>
      </c>
      <c r="H5960" t="s">
        <v>26</v>
      </c>
      <c r="I5960" t="s">
        <v>41</v>
      </c>
      <c r="J5960">
        <v>123.92</v>
      </c>
      <c r="K5960">
        <v>4</v>
      </c>
      <c r="L5960">
        <v>0</v>
      </c>
      <c r="M5960">
        <v>55.764000000000003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110</v>
      </c>
      <c r="J5961">
        <v>17.22</v>
      </c>
      <c r="K5961">
        <v>3</v>
      </c>
      <c r="L5961">
        <v>0</v>
      </c>
      <c r="M5961">
        <v>5.1660000000000004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26</v>
      </c>
      <c r="I5962" t="s">
        <v>32</v>
      </c>
      <c r="J5962">
        <v>226.56</v>
      </c>
      <c r="K5962">
        <v>6</v>
      </c>
      <c r="L5962">
        <v>0</v>
      </c>
      <c r="M5962">
        <v>63.436799999999998</v>
      </c>
    </row>
    <row r="5963" spans="1:13" x14ac:dyDescent="0.3">
      <c r="A5963" t="s">
        <v>28</v>
      </c>
      <c r="B5963" t="s">
        <v>22</v>
      </c>
      <c r="C5963" t="s">
        <v>15</v>
      </c>
      <c r="D5963" t="s">
        <v>52</v>
      </c>
      <c r="E5963" t="s">
        <v>24</v>
      </c>
      <c r="F5963">
        <v>94109</v>
      </c>
      <c r="G5963" t="s">
        <v>25</v>
      </c>
      <c r="H5963" t="s">
        <v>35</v>
      </c>
      <c r="I5963" t="s">
        <v>36</v>
      </c>
      <c r="J5963">
        <v>107.88</v>
      </c>
      <c r="K5963">
        <v>3</v>
      </c>
      <c r="L5963">
        <v>0.2</v>
      </c>
      <c r="M5963">
        <v>10.788</v>
      </c>
    </row>
    <row r="5964" spans="1:13" x14ac:dyDescent="0.3">
      <c r="A5964" t="s">
        <v>62</v>
      </c>
      <c r="B5964" t="s">
        <v>44</v>
      </c>
      <c r="C5964" t="s">
        <v>15</v>
      </c>
      <c r="D5964" t="s">
        <v>75</v>
      </c>
      <c r="E5964" t="s">
        <v>76</v>
      </c>
      <c r="F5964">
        <v>10009</v>
      </c>
      <c r="G5964" t="s">
        <v>57</v>
      </c>
      <c r="H5964" t="s">
        <v>26</v>
      </c>
      <c r="I5964" t="s">
        <v>41</v>
      </c>
      <c r="J5964">
        <v>81.98</v>
      </c>
      <c r="K5964">
        <v>2</v>
      </c>
      <c r="L5964">
        <v>0</v>
      </c>
      <c r="M5964">
        <v>40.170200000000001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41</v>
      </c>
      <c r="J5965">
        <v>104.85</v>
      </c>
      <c r="K5965">
        <v>1</v>
      </c>
      <c r="L5965">
        <v>0</v>
      </c>
      <c r="M5965">
        <v>50.328000000000003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37</v>
      </c>
      <c r="J5966">
        <v>8.7040000000000006</v>
      </c>
      <c r="K5966">
        <v>2</v>
      </c>
      <c r="L5966">
        <v>0.2</v>
      </c>
      <c r="M5966">
        <v>3.1551999999999998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26</v>
      </c>
      <c r="I5967" t="s">
        <v>41</v>
      </c>
      <c r="J5967">
        <v>19.920000000000002</v>
      </c>
      <c r="K5967">
        <v>4</v>
      </c>
      <c r="L5967">
        <v>0</v>
      </c>
      <c r="M5967">
        <v>9.7607999999999997</v>
      </c>
    </row>
    <row r="5968" spans="1:13" x14ac:dyDescent="0.3">
      <c r="A5968" t="s">
        <v>62</v>
      </c>
      <c r="B5968" t="s">
        <v>14</v>
      </c>
      <c r="C5968" t="s">
        <v>15</v>
      </c>
      <c r="D5968" t="s">
        <v>144</v>
      </c>
      <c r="E5968" t="s">
        <v>24</v>
      </c>
      <c r="F5968">
        <v>92105</v>
      </c>
      <c r="G5968" t="s">
        <v>25</v>
      </c>
      <c r="H5968" t="s">
        <v>19</v>
      </c>
      <c r="I5968" t="s">
        <v>33</v>
      </c>
      <c r="J5968">
        <v>43.02</v>
      </c>
      <c r="K5968">
        <v>3</v>
      </c>
      <c r="L5968">
        <v>0</v>
      </c>
      <c r="M5968">
        <v>15.4872</v>
      </c>
    </row>
    <row r="5969" spans="1:13" x14ac:dyDescent="0.3">
      <c r="A5969" t="s">
        <v>28</v>
      </c>
      <c r="B5969" t="s">
        <v>14</v>
      </c>
      <c r="C5969" t="s">
        <v>15</v>
      </c>
      <c r="D5969" t="s">
        <v>75</v>
      </c>
      <c r="E5969" t="s">
        <v>76</v>
      </c>
      <c r="F5969">
        <v>10024</v>
      </c>
      <c r="G5969" t="s">
        <v>57</v>
      </c>
      <c r="H5969" t="s">
        <v>19</v>
      </c>
      <c r="I5969" t="s">
        <v>20</v>
      </c>
      <c r="J5969">
        <v>240.78399999999999</v>
      </c>
      <c r="K5969">
        <v>1</v>
      </c>
      <c r="L5969">
        <v>0.2</v>
      </c>
      <c r="M5969">
        <v>30.097999999999999</v>
      </c>
    </row>
    <row r="5970" spans="1:13" x14ac:dyDescent="0.3">
      <c r="A5970" t="s">
        <v>28</v>
      </c>
      <c r="B5970" t="s">
        <v>44</v>
      </c>
      <c r="C5970" t="s">
        <v>15</v>
      </c>
      <c r="D5970" t="s">
        <v>75</v>
      </c>
      <c r="E5970" t="s">
        <v>76</v>
      </c>
      <c r="F5970">
        <v>10011</v>
      </c>
      <c r="G5970" t="s">
        <v>57</v>
      </c>
      <c r="H5970" t="s">
        <v>26</v>
      </c>
      <c r="I5970" t="s">
        <v>38</v>
      </c>
      <c r="J5970">
        <v>414.96</v>
      </c>
      <c r="K5970">
        <v>2</v>
      </c>
      <c r="L5970">
        <v>0</v>
      </c>
      <c r="M5970">
        <v>124.488</v>
      </c>
    </row>
    <row r="5971" spans="1:13" x14ac:dyDescent="0.3">
      <c r="A5971" t="s">
        <v>28</v>
      </c>
      <c r="B5971" t="s">
        <v>14</v>
      </c>
      <c r="C5971" t="s">
        <v>15</v>
      </c>
      <c r="D5971" t="s">
        <v>99</v>
      </c>
      <c r="E5971" t="s">
        <v>40</v>
      </c>
      <c r="F5971">
        <v>28205</v>
      </c>
      <c r="G5971" t="s">
        <v>18</v>
      </c>
      <c r="H5971" t="s">
        <v>26</v>
      </c>
      <c r="I5971" t="s">
        <v>32</v>
      </c>
      <c r="J5971">
        <v>387.72</v>
      </c>
      <c r="K5971">
        <v>5</v>
      </c>
      <c r="L5971">
        <v>0.2</v>
      </c>
      <c r="M5971">
        <v>-67.850999999999999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32</v>
      </c>
      <c r="J5972">
        <v>360.38</v>
      </c>
      <c r="K5972">
        <v>2</v>
      </c>
      <c r="L5972">
        <v>0</v>
      </c>
      <c r="M5972">
        <v>93.698800000000006</v>
      </c>
    </row>
    <row r="5973" spans="1:13" x14ac:dyDescent="0.3">
      <c r="A5973" t="s">
        <v>28</v>
      </c>
      <c r="B5973" t="s">
        <v>22</v>
      </c>
      <c r="C5973" t="s">
        <v>15</v>
      </c>
      <c r="D5973" t="s">
        <v>446</v>
      </c>
      <c r="E5973" t="s">
        <v>336</v>
      </c>
      <c r="F5973">
        <v>66212</v>
      </c>
      <c r="G5973" t="s">
        <v>47</v>
      </c>
      <c r="H5973" t="s">
        <v>26</v>
      </c>
      <c r="I5973" t="s">
        <v>41</v>
      </c>
      <c r="J5973">
        <v>13.56</v>
      </c>
      <c r="K5973">
        <v>2</v>
      </c>
      <c r="L5973">
        <v>0</v>
      </c>
      <c r="M5973">
        <v>6.2375999999999996</v>
      </c>
    </row>
    <row r="5974" spans="1:13" x14ac:dyDescent="0.3">
      <c r="A5974" t="s">
        <v>62</v>
      </c>
      <c r="B5974" t="s">
        <v>14</v>
      </c>
      <c r="C5974" t="s">
        <v>15</v>
      </c>
      <c r="D5974" t="s">
        <v>206</v>
      </c>
      <c r="E5974" t="s">
        <v>81</v>
      </c>
      <c r="F5974">
        <v>85204</v>
      </c>
      <c r="G5974" t="s">
        <v>25</v>
      </c>
      <c r="H5974" t="s">
        <v>35</v>
      </c>
      <c r="I5974" t="s">
        <v>36</v>
      </c>
      <c r="J5974">
        <v>552</v>
      </c>
      <c r="K5974">
        <v>10</v>
      </c>
      <c r="L5974">
        <v>0.2</v>
      </c>
      <c r="M5974">
        <v>34.5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19</v>
      </c>
      <c r="I5975" t="s">
        <v>31</v>
      </c>
      <c r="J5975">
        <v>429.9</v>
      </c>
      <c r="K5975">
        <v>5</v>
      </c>
      <c r="L5975">
        <v>0</v>
      </c>
      <c r="M5975">
        <v>111.774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26</v>
      </c>
      <c r="I5976" t="s">
        <v>37</v>
      </c>
      <c r="J5976">
        <v>32.06</v>
      </c>
      <c r="K5976">
        <v>2</v>
      </c>
      <c r="L5976">
        <v>0</v>
      </c>
      <c r="M5976">
        <v>15.3888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19</v>
      </c>
      <c r="I5977" t="s">
        <v>21</v>
      </c>
      <c r="J5977">
        <v>161.96</v>
      </c>
      <c r="K5977">
        <v>2</v>
      </c>
      <c r="L5977">
        <v>0</v>
      </c>
      <c r="M5977">
        <v>45.348799999999997</v>
      </c>
    </row>
    <row r="5978" spans="1:13" x14ac:dyDescent="0.3">
      <c r="A5978" t="s">
        <v>28</v>
      </c>
      <c r="B5978" t="s">
        <v>44</v>
      </c>
      <c r="C5978" t="s">
        <v>15</v>
      </c>
      <c r="D5978" t="s">
        <v>337</v>
      </c>
      <c r="E5978" t="s">
        <v>119</v>
      </c>
      <c r="F5978">
        <v>74133</v>
      </c>
      <c r="G5978" t="s">
        <v>47</v>
      </c>
      <c r="H5978" t="s">
        <v>26</v>
      </c>
      <c r="I5978" t="s">
        <v>32</v>
      </c>
      <c r="J5978">
        <v>19.86</v>
      </c>
      <c r="K5978">
        <v>2</v>
      </c>
      <c r="L5978">
        <v>0</v>
      </c>
      <c r="M5978">
        <v>5.7594000000000003</v>
      </c>
    </row>
    <row r="5979" spans="1:13" x14ac:dyDescent="0.3">
      <c r="A5979" t="s">
        <v>28</v>
      </c>
      <c r="B5979" t="s">
        <v>14</v>
      </c>
      <c r="C5979" t="s">
        <v>15</v>
      </c>
      <c r="D5979" t="s">
        <v>75</v>
      </c>
      <c r="E5979" t="s">
        <v>76</v>
      </c>
      <c r="F5979">
        <v>10035</v>
      </c>
      <c r="G5979" t="s">
        <v>57</v>
      </c>
      <c r="H5979" t="s">
        <v>26</v>
      </c>
      <c r="I5979" t="s">
        <v>41</v>
      </c>
      <c r="J5979">
        <v>12.96</v>
      </c>
      <c r="K5979">
        <v>2</v>
      </c>
      <c r="L5979">
        <v>0</v>
      </c>
      <c r="M5979">
        <v>6.3503999999999996</v>
      </c>
    </row>
    <row r="5980" spans="1:13" x14ac:dyDescent="0.3">
      <c r="A5980" t="s">
        <v>13</v>
      </c>
      <c r="B5980" t="s">
        <v>14</v>
      </c>
      <c r="C5980" t="s">
        <v>15</v>
      </c>
      <c r="D5980" t="s">
        <v>55</v>
      </c>
      <c r="E5980" t="s">
        <v>56</v>
      </c>
      <c r="F5980">
        <v>19143</v>
      </c>
      <c r="G5980" t="s">
        <v>57</v>
      </c>
      <c r="H5980" t="s">
        <v>26</v>
      </c>
      <c r="I5980" t="s">
        <v>41</v>
      </c>
      <c r="J5980">
        <v>20.544</v>
      </c>
      <c r="K5980">
        <v>6</v>
      </c>
      <c r="L5980">
        <v>0.2</v>
      </c>
      <c r="M5980">
        <v>6.42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19</v>
      </c>
      <c r="I5981" t="s">
        <v>33</v>
      </c>
      <c r="J5981">
        <v>185.58</v>
      </c>
      <c r="K5981">
        <v>6</v>
      </c>
      <c r="L5981">
        <v>0</v>
      </c>
      <c r="M5981">
        <v>76.087800000000001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37</v>
      </c>
      <c r="J5982">
        <v>77.56</v>
      </c>
      <c r="K5982">
        <v>2</v>
      </c>
      <c r="L5982">
        <v>0</v>
      </c>
      <c r="M5982">
        <v>35.677599999999998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32</v>
      </c>
      <c r="J5983">
        <v>87.92</v>
      </c>
      <c r="K5983">
        <v>4</v>
      </c>
      <c r="L5983">
        <v>0</v>
      </c>
      <c r="M5983">
        <v>0.87919999999999998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41</v>
      </c>
      <c r="J5984">
        <v>245.94</v>
      </c>
      <c r="K5984">
        <v>6</v>
      </c>
      <c r="L5984">
        <v>0</v>
      </c>
      <c r="M5984">
        <v>120.5106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26</v>
      </c>
      <c r="I5985" t="s">
        <v>37</v>
      </c>
      <c r="J5985">
        <v>8.6</v>
      </c>
      <c r="K5985">
        <v>1</v>
      </c>
      <c r="L5985">
        <v>0</v>
      </c>
      <c r="M5985">
        <v>4.0419999999999998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20</v>
      </c>
      <c r="J5986">
        <v>504.9</v>
      </c>
      <c r="K5986">
        <v>5</v>
      </c>
      <c r="L5986">
        <v>0</v>
      </c>
      <c r="M5986">
        <v>126.22499999999999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26</v>
      </c>
      <c r="I5987" t="s">
        <v>37</v>
      </c>
      <c r="J5987">
        <v>2357.4879999999998</v>
      </c>
      <c r="K5987">
        <v>7</v>
      </c>
      <c r="L5987">
        <v>0.2</v>
      </c>
      <c r="M5987">
        <v>884.05799999999999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35</v>
      </c>
      <c r="I5988" t="s">
        <v>36</v>
      </c>
      <c r="J5988">
        <v>369.54399999999998</v>
      </c>
      <c r="K5988">
        <v>7</v>
      </c>
      <c r="L5988">
        <v>0.2</v>
      </c>
      <c r="M5988">
        <v>32.335099999999997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23</v>
      </c>
      <c r="E5989" t="s">
        <v>24</v>
      </c>
      <c r="F5989">
        <v>90049</v>
      </c>
      <c r="G5989" t="s">
        <v>25</v>
      </c>
      <c r="H5989" t="s">
        <v>19</v>
      </c>
      <c r="I5989" t="s">
        <v>21</v>
      </c>
      <c r="J5989">
        <v>184.75200000000001</v>
      </c>
      <c r="K5989">
        <v>3</v>
      </c>
      <c r="L5989">
        <v>0.2</v>
      </c>
      <c r="M5989">
        <v>-20.784600000000001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32</v>
      </c>
      <c r="J5990">
        <v>64.959999999999994</v>
      </c>
      <c r="K5990">
        <v>5</v>
      </c>
      <c r="L5990">
        <v>0.2</v>
      </c>
      <c r="M5990">
        <v>-4.0599999999999996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26</v>
      </c>
      <c r="I5991" t="s">
        <v>110</v>
      </c>
      <c r="J5991">
        <v>13.52</v>
      </c>
      <c r="K5991">
        <v>2</v>
      </c>
      <c r="L5991">
        <v>0.2</v>
      </c>
      <c r="M5991">
        <v>1.69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19</v>
      </c>
      <c r="I5992" t="s">
        <v>21</v>
      </c>
      <c r="J5992">
        <v>458.43</v>
      </c>
      <c r="K5992">
        <v>5</v>
      </c>
      <c r="L5992">
        <v>0.3</v>
      </c>
      <c r="M5992">
        <v>-137.529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26</v>
      </c>
      <c r="I5993" t="s">
        <v>38</v>
      </c>
      <c r="J5993">
        <v>387.13600000000002</v>
      </c>
      <c r="K5993">
        <v>4</v>
      </c>
      <c r="L5993">
        <v>0.2</v>
      </c>
      <c r="M5993">
        <v>24.196000000000002</v>
      </c>
    </row>
    <row r="5994" spans="1:13" x14ac:dyDescent="0.3">
      <c r="A5994" t="s">
        <v>168</v>
      </c>
      <c r="B5994" t="s">
        <v>22</v>
      </c>
      <c r="C5994" t="s">
        <v>15</v>
      </c>
      <c r="D5994" t="s">
        <v>103</v>
      </c>
      <c r="E5994" t="s">
        <v>104</v>
      </c>
      <c r="F5994">
        <v>43229</v>
      </c>
      <c r="G5994" t="s">
        <v>57</v>
      </c>
      <c r="H5994" t="s">
        <v>19</v>
      </c>
      <c r="I5994" t="s">
        <v>31</v>
      </c>
      <c r="J5994">
        <v>328.59</v>
      </c>
      <c r="K5994">
        <v>3</v>
      </c>
      <c r="L5994">
        <v>0.4</v>
      </c>
      <c r="M5994">
        <v>-147.8655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19</v>
      </c>
      <c r="I5995" t="s">
        <v>21</v>
      </c>
      <c r="J5995">
        <v>338.35199999999998</v>
      </c>
      <c r="K5995">
        <v>3</v>
      </c>
      <c r="L5995">
        <v>0.2</v>
      </c>
      <c r="M5995">
        <v>4.2294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25.92</v>
      </c>
      <c r="K5996">
        <v>4</v>
      </c>
      <c r="L5996">
        <v>0</v>
      </c>
      <c r="M5996">
        <v>12.441599999999999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552</v>
      </c>
      <c r="E5997" t="s">
        <v>437</v>
      </c>
      <c r="F5997">
        <v>83605</v>
      </c>
      <c r="G5997" t="s">
        <v>25</v>
      </c>
      <c r="H5997" t="s">
        <v>26</v>
      </c>
      <c r="I5997" t="s">
        <v>41</v>
      </c>
      <c r="J5997">
        <v>91.36</v>
      </c>
      <c r="K5997">
        <v>4</v>
      </c>
      <c r="L5997">
        <v>0</v>
      </c>
      <c r="M5997">
        <v>42.025599999999997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19</v>
      </c>
      <c r="I5998" t="s">
        <v>33</v>
      </c>
      <c r="J5998">
        <v>87.96</v>
      </c>
      <c r="K5998">
        <v>3</v>
      </c>
      <c r="L5998">
        <v>0.2</v>
      </c>
      <c r="M5998">
        <v>7.6965000000000003</v>
      </c>
    </row>
    <row r="5999" spans="1:13" x14ac:dyDescent="0.3">
      <c r="A5999" t="s">
        <v>28</v>
      </c>
      <c r="B5999" t="s">
        <v>22</v>
      </c>
      <c r="C5999" t="s">
        <v>15</v>
      </c>
      <c r="D5999" t="s">
        <v>108</v>
      </c>
      <c r="E5999" t="s">
        <v>81</v>
      </c>
      <c r="F5999">
        <v>85023</v>
      </c>
      <c r="G5999" t="s">
        <v>25</v>
      </c>
      <c r="H5999" t="s">
        <v>26</v>
      </c>
      <c r="I5999" t="s">
        <v>37</v>
      </c>
      <c r="J5999">
        <v>5.2140000000000004</v>
      </c>
      <c r="K5999">
        <v>2</v>
      </c>
      <c r="L5999">
        <v>0.7</v>
      </c>
      <c r="M5999">
        <v>-4.1711999999999998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180</v>
      </c>
      <c r="E6000" t="s">
        <v>30</v>
      </c>
      <c r="F6000">
        <v>33142</v>
      </c>
      <c r="G6000" t="s">
        <v>18</v>
      </c>
      <c r="H6000" t="s">
        <v>26</v>
      </c>
      <c r="I6000" t="s">
        <v>37</v>
      </c>
      <c r="J6000">
        <v>12.294</v>
      </c>
      <c r="K6000">
        <v>1</v>
      </c>
      <c r="L6000">
        <v>0.7</v>
      </c>
      <c r="M6000">
        <v>-8.6058000000000003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23</v>
      </c>
      <c r="E6001" t="s">
        <v>24</v>
      </c>
      <c r="F6001">
        <v>90004</v>
      </c>
      <c r="G6001" t="s">
        <v>25</v>
      </c>
      <c r="H6001" t="s">
        <v>19</v>
      </c>
      <c r="I6001" t="s">
        <v>33</v>
      </c>
      <c r="J6001">
        <v>19.760000000000002</v>
      </c>
      <c r="K6001">
        <v>4</v>
      </c>
      <c r="L6001">
        <v>0</v>
      </c>
      <c r="M6001">
        <v>8.2992000000000008</v>
      </c>
    </row>
    <row r="6002" spans="1:13" x14ac:dyDescent="0.3">
      <c r="A6002" t="s">
        <v>28</v>
      </c>
      <c r="B6002" t="s">
        <v>14</v>
      </c>
      <c r="C6002" t="s">
        <v>15</v>
      </c>
      <c r="D6002" t="s">
        <v>78</v>
      </c>
      <c r="E6002" t="s">
        <v>76</v>
      </c>
      <c r="F6002">
        <v>12180</v>
      </c>
      <c r="G6002" t="s">
        <v>57</v>
      </c>
      <c r="H6002" t="s">
        <v>19</v>
      </c>
      <c r="I6002" t="s">
        <v>21</v>
      </c>
      <c r="J6002">
        <v>109.764</v>
      </c>
      <c r="K6002">
        <v>2</v>
      </c>
      <c r="L6002">
        <v>0.1</v>
      </c>
      <c r="M6002">
        <v>8.5372000000000003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302</v>
      </c>
      <c r="E6003" t="s">
        <v>166</v>
      </c>
      <c r="F6003">
        <v>2740</v>
      </c>
      <c r="G6003" t="s">
        <v>57</v>
      </c>
      <c r="H6003" t="s">
        <v>35</v>
      </c>
      <c r="I6003" t="s">
        <v>36</v>
      </c>
      <c r="J6003">
        <v>128.85</v>
      </c>
      <c r="K6003">
        <v>3</v>
      </c>
      <c r="L6003">
        <v>0</v>
      </c>
      <c r="M6003">
        <v>3.8654999999999999</v>
      </c>
    </row>
    <row r="6004" spans="1:13" x14ac:dyDescent="0.3">
      <c r="A6004" t="s">
        <v>62</v>
      </c>
      <c r="B6004" t="s">
        <v>22</v>
      </c>
      <c r="C6004" t="s">
        <v>15</v>
      </c>
      <c r="D6004" t="s">
        <v>242</v>
      </c>
      <c r="E6004" t="s">
        <v>91</v>
      </c>
      <c r="F6004">
        <v>29501</v>
      </c>
      <c r="G6004" t="s">
        <v>18</v>
      </c>
      <c r="H6004" t="s">
        <v>19</v>
      </c>
      <c r="I6004" t="s">
        <v>33</v>
      </c>
      <c r="J6004">
        <v>127.95</v>
      </c>
      <c r="K6004">
        <v>3</v>
      </c>
      <c r="L6004">
        <v>0</v>
      </c>
      <c r="M6004">
        <v>21.7515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41</v>
      </c>
      <c r="J6005">
        <v>68.52</v>
      </c>
      <c r="K6005">
        <v>3</v>
      </c>
      <c r="L6005">
        <v>0</v>
      </c>
      <c r="M6005">
        <v>31.519200000000001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26</v>
      </c>
      <c r="I6006" t="s">
        <v>32</v>
      </c>
      <c r="J6006">
        <v>74.94</v>
      </c>
      <c r="K6006">
        <v>3</v>
      </c>
      <c r="L6006">
        <v>0</v>
      </c>
      <c r="M6006">
        <v>14.2386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35</v>
      </c>
      <c r="I6007" t="s">
        <v>123</v>
      </c>
      <c r="J6007">
        <v>2548.56</v>
      </c>
      <c r="K6007">
        <v>6</v>
      </c>
      <c r="L6007">
        <v>0.2</v>
      </c>
      <c r="M6007">
        <v>286.71300000000002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26</v>
      </c>
      <c r="I6008" t="s">
        <v>60</v>
      </c>
      <c r="J6008">
        <v>271.44</v>
      </c>
      <c r="K6008">
        <v>3</v>
      </c>
      <c r="L6008">
        <v>0</v>
      </c>
      <c r="M6008">
        <v>122.148</v>
      </c>
    </row>
    <row r="6009" spans="1:13" x14ac:dyDescent="0.3">
      <c r="A6009" t="s">
        <v>28</v>
      </c>
      <c r="B6009" t="s">
        <v>14</v>
      </c>
      <c r="C6009" t="s">
        <v>15</v>
      </c>
      <c r="D6009" t="s">
        <v>23</v>
      </c>
      <c r="E6009" t="s">
        <v>24</v>
      </c>
      <c r="F6009">
        <v>90049</v>
      </c>
      <c r="G6009" t="s">
        <v>25</v>
      </c>
      <c r="H6009" t="s">
        <v>35</v>
      </c>
      <c r="I6009" t="s">
        <v>36</v>
      </c>
      <c r="J6009">
        <v>287.88</v>
      </c>
      <c r="K6009">
        <v>3</v>
      </c>
      <c r="L6009">
        <v>0.2</v>
      </c>
      <c r="M6009">
        <v>35.984999999999999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26</v>
      </c>
      <c r="I6010" t="s">
        <v>41</v>
      </c>
      <c r="J6010">
        <v>14.9</v>
      </c>
      <c r="K6010">
        <v>5</v>
      </c>
      <c r="L6010">
        <v>0</v>
      </c>
      <c r="M6010">
        <v>7.1520000000000001</v>
      </c>
    </row>
    <row r="6011" spans="1:13" x14ac:dyDescent="0.3">
      <c r="A6011" t="s">
        <v>62</v>
      </c>
      <c r="B6011" t="s">
        <v>44</v>
      </c>
      <c r="C6011" t="s">
        <v>15</v>
      </c>
      <c r="D6011" t="s">
        <v>23</v>
      </c>
      <c r="E6011" t="s">
        <v>24</v>
      </c>
      <c r="F6011">
        <v>90008</v>
      </c>
      <c r="G6011" t="s">
        <v>25</v>
      </c>
      <c r="H6011" t="s">
        <v>35</v>
      </c>
      <c r="I6011" t="s">
        <v>36</v>
      </c>
      <c r="J6011">
        <v>4158.9120000000003</v>
      </c>
      <c r="K6011">
        <v>8</v>
      </c>
      <c r="L6011">
        <v>0.2</v>
      </c>
      <c r="M6011">
        <v>363.90480000000002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91.96</v>
      </c>
      <c r="K6012">
        <v>2</v>
      </c>
      <c r="L6012">
        <v>0</v>
      </c>
      <c r="M6012">
        <v>15.6332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19</v>
      </c>
      <c r="I6013" t="s">
        <v>33</v>
      </c>
      <c r="J6013">
        <v>33.11</v>
      </c>
      <c r="K6013">
        <v>7</v>
      </c>
      <c r="L6013">
        <v>0</v>
      </c>
      <c r="M6013">
        <v>12.9129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19.440000000000001</v>
      </c>
      <c r="K6014">
        <v>3</v>
      </c>
      <c r="L6014">
        <v>0</v>
      </c>
      <c r="M6014">
        <v>9.3312000000000008</v>
      </c>
    </row>
    <row r="6015" spans="1:13" x14ac:dyDescent="0.3">
      <c r="A6015" t="s">
        <v>28</v>
      </c>
      <c r="B6015" t="s">
        <v>22</v>
      </c>
      <c r="C6015" t="s">
        <v>15</v>
      </c>
      <c r="D6015" t="s">
        <v>23</v>
      </c>
      <c r="E6015" t="s">
        <v>24</v>
      </c>
      <c r="F6015">
        <v>90049</v>
      </c>
      <c r="G6015" t="s">
        <v>25</v>
      </c>
      <c r="H6015" t="s">
        <v>26</v>
      </c>
      <c r="I6015" t="s">
        <v>41</v>
      </c>
      <c r="J6015">
        <v>55.48</v>
      </c>
      <c r="K6015">
        <v>1</v>
      </c>
      <c r="L6015">
        <v>0</v>
      </c>
      <c r="M6015">
        <v>26.630400000000002</v>
      </c>
    </row>
    <row r="6016" spans="1:13" x14ac:dyDescent="0.3">
      <c r="A6016" t="s">
        <v>13</v>
      </c>
      <c r="B6016" t="s">
        <v>14</v>
      </c>
      <c r="C6016" t="s">
        <v>15</v>
      </c>
      <c r="D6016" t="s">
        <v>103</v>
      </c>
      <c r="E6016" t="s">
        <v>104</v>
      </c>
      <c r="F6016">
        <v>43229</v>
      </c>
      <c r="G6016" t="s">
        <v>57</v>
      </c>
      <c r="H6016" t="s">
        <v>26</v>
      </c>
      <c r="I6016" t="s">
        <v>38</v>
      </c>
      <c r="J6016">
        <v>91.92</v>
      </c>
      <c r="K6016">
        <v>5</v>
      </c>
      <c r="L6016">
        <v>0.2</v>
      </c>
      <c r="M6016">
        <v>11.49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26</v>
      </c>
      <c r="I6017" t="s">
        <v>38</v>
      </c>
      <c r="J6017">
        <v>17.34</v>
      </c>
      <c r="K6017">
        <v>2</v>
      </c>
      <c r="L6017">
        <v>0</v>
      </c>
      <c r="M6017">
        <v>4.6818</v>
      </c>
    </row>
    <row r="6018" spans="1:13" x14ac:dyDescent="0.3">
      <c r="A6018" t="s">
        <v>168</v>
      </c>
      <c r="B6018" t="s">
        <v>14</v>
      </c>
      <c r="C6018" t="s">
        <v>15</v>
      </c>
      <c r="D6018" t="s">
        <v>553</v>
      </c>
      <c r="E6018" t="s">
        <v>125</v>
      </c>
      <c r="F6018">
        <v>70065</v>
      </c>
      <c r="G6018" t="s">
        <v>18</v>
      </c>
      <c r="H6018" t="s">
        <v>35</v>
      </c>
      <c r="I6018" t="s">
        <v>59</v>
      </c>
      <c r="J6018">
        <v>71.98</v>
      </c>
      <c r="K6018">
        <v>2</v>
      </c>
      <c r="L6018">
        <v>0</v>
      </c>
      <c r="M6018">
        <v>15.1158</v>
      </c>
    </row>
    <row r="6019" spans="1:13" x14ac:dyDescent="0.3">
      <c r="A6019" t="s">
        <v>28</v>
      </c>
      <c r="B6019" t="s">
        <v>14</v>
      </c>
      <c r="C6019" t="s">
        <v>15</v>
      </c>
      <c r="D6019" t="s">
        <v>535</v>
      </c>
      <c r="E6019" t="s">
        <v>46</v>
      </c>
      <c r="F6019">
        <v>75104</v>
      </c>
      <c r="G6019" t="s">
        <v>47</v>
      </c>
      <c r="H6019" t="s">
        <v>26</v>
      </c>
      <c r="I6019" t="s">
        <v>60</v>
      </c>
      <c r="J6019">
        <v>7.08</v>
      </c>
      <c r="K6019">
        <v>3</v>
      </c>
      <c r="L6019">
        <v>0.2</v>
      </c>
      <c r="M6019">
        <v>2.4780000000000002</v>
      </c>
    </row>
    <row r="6020" spans="1:13" x14ac:dyDescent="0.3">
      <c r="A6020" t="s">
        <v>62</v>
      </c>
      <c r="B6020" t="s">
        <v>22</v>
      </c>
      <c r="C6020" t="s">
        <v>15</v>
      </c>
      <c r="D6020" t="s">
        <v>290</v>
      </c>
      <c r="E6020" t="s">
        <v>179</v>
      </c>
      <c r="F6020">
        <v>2908</v>
      </c>
      <c r="G6020" t="s">
        <v>57</v>
      </c>
      <c r="H6020" t="s">
        <v>35</v>
      </c>
      <c r="I6020" t="s">
        <v>59</v>
      </c>
      <c r="J6020">
        <v>69.98</v>
      </c>
      <c r="K6020">
        <v>2</v>
      </c>
      <c r="L6020">
        <v>0</v>
      </c>
      <c r="M6020">
        <v>4.8986000000000001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38</v>
      </c>
      <c r="J6021">
        <v>646.27200000000005</v>
      </c>
      <c r="K6021">
        <v>8</v>
      </c>
      <c r="L6021">
        <v>0.2</v>
      </c>
      <c r="M6021">
        <v>64.627200000000002</v>
      </c>
    </row>
    <row r="6022" spans="1:13" x14ac:dyDescent="0.3">
      <c r="A6022" t="s">
        <v>13</v>
      </c>
      <c r="B6022" t="s">
        <v>14</v>
      </c>
      <c r="C6022" t="s">
        <v>15</v>
      </c>
      <c r="D6022" t="s">
        <v>235</v>
      </c>
      <c r="E6022" t="s">
        <v>104</v>
      </c>
      <c r="F6022">
        <v>43130</v>
      </c>
      <c r="G6022" t="s">
        <v>57</v>
      </c>
      <c r="H6022" t="s">
        <v>26</v>
      </c>
      <c r="I6022" t="s">
        <v>41</v>
      </c>
      <c r="J6022">
        <v>10.368</v>
      </c>
      <c r="K6022">
        <v>2</v>
      </c>
      <c r="L6022">
        <v>0.2</v>
      </c>
      <c r="M6022">
        <v>3.7584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26</v>
      </c>
      <c r="I6023" t="s">
        <v>77</v>
      </c>
      <c r="J6023">
        <v>8.4</v>
      </c>
      <c r="K6023">
        <v>5</v>
      </c>
      <c r="L6023">
        <v>0</v>
      </c>
      <c r="M6023">
        <v>0.33600000000000002</v>
      </c>
    </row>
    <row r="6024" spans="1:13" x14ac:dyDescent="0.3">
      <c r="A6024" t="s">
        <v>28</v>
      </c>
      <c r="B6024" t="s">
        <v>22</v>
      </c>
      <c r="C6024" t="s">
        <v>15</v>
      </c>
      <c r="D6024" t="s">
        <v>42</v>
      </c>
      <c r="E6024" t="s">
        <v>43</v>
      </c>
      <c r="F6024">
        <v>98115</v>
      </c>
      <c r="G6024" t="s">
        <v>25</v>
      </c>
      <c r="H6024" t="s">
        <v>35</v>
      </c>
      <c r="I6024" t="s">
        <v>36</v>
      </c>
      <c r="J6024">
        <v>71.959999999999994</v>
      </c>
      <c r="K6024">
        <v>5</v>
      </c>
      <c r="L6024">
        <v>0.2</v>
      </c>
      <c r="M6024">
        <v>25.186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189</v>
      </c>
      <c r="E6025" t="s">
        <v>40</v>
      </c>
      <c r="F6025">
        <v>28540</v>
      </c>
      <c r="G6025" t="s">
        <v>18</v>
      </c>
      <c r="H6025" t="s">
        <v>26</v>
      </c>
      <c r="I6025" t="s">
        <v>34</v>
      </c>
      <c r="J6025">
        <v>18.48</v>
      </c>
      <c r="K6025">
        <v>2</v>
      </c>
      <c r="L6025">
        <v>0.2</v>
      </c>
      <c r="M6025">
        <v>6.0060000000000002</v>
      </c>
    </row>
    <row r="6026" spans="1:13" x14ac:dyDescent="0.3">
      <c r="A6026" t="s">
        <v>62</v>
      </c>
      <c r="B6026" t="s">
        <v>14</v>
      </c>
      <c r="C6026" t="s">
        <v>15</v>
      </c>
      <c r="D6026" t="s">
        <v>23</v>
      </c>
      <c r="E6026" t="s">
        <v>24</v>
      </c>
      <c r="F6026">
        <v>90049</v>
      </c>
      <c r="G6026" t="s">
        <v>25</v>
      </c>
      <c r="H6026" t="s">
        <v>26</v>
      </c>
      <c r="I6026" t="s">
        <v>34</v>
      </c>
      <c r="J6026">
        <v>9.84</v>
      </c>
      <c r="K6026">
        <v>3</v>
      </c>
      <c r="L6026">
        <v>0</v>
      </c>
      <c r="M6026">
        <v>2.8536000000000001</v>
      </c>
    </row>
    <row r="6027" spans="1:13" x14ac:dyDescent="0.3">
      <c r="A6027" t="s">
        <v>168</v>
      </c>
      <c r="B6027" t="s">
        <v>14</v>
      </c>
      <c r="C6027" t="s">
        <v>15</v>
      </c>
      <c r="D6027" t="s">
        <v>180</v>
      </c>
      <c r="E6027" t="s">
        <v>30</v>
      </c>
      <c r="F6027">
        <v>33142</v>
      </c>
      <c r="G6027" t="s">
        <v>18</v>
      </c>
      <c r="H6027" t="s">
        <v>19</v>
      </c>
      <c r="I6027" t="s">
        <v>21</v>
      </c>
      <c r="J6027">
        <v>239.24</v>
      </c>
      <c r="K6027">
        <v>1</v>
      </c>
      <c r="L6027">
        <v>0.2</v>
      </c>
      <c r="M6027">
        <v>23.923999999999999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554</v>
      </c>
      <c r="E6028" t="s">
        <v>247</v>
      </c>
      <c r="F6028">
        <v>3060</v>
      </c>
      <c r="G6028" t="s">
        <v>57</v>
      </c>
      <c r="H6028" t="s">
        <v>19</v>
      </c>
      <c r="I6028" t="s">
        <v>33</v>
      </c>
      <c r="J6028">
        <v>21.12</v>
      </c>
      <c r="K6028">
        <v>4</v>
      </c>
      <c r="L6028">
        <v>0</v>
      </c>
      <c r="M6028">
        <v>6.5472000000000001</v>
      </c>
    </row>
    <row r="6029" spans="1:13" x14ac:dyDescent="0.3">
      <c r="A6029" t="s">
        <v>62</v>
      </c>
      <c r="B6029" t="s">
        <v>14</v>
      </c>
      <c r="C6029" t="s">
        <v>15</v>
      </c>
      <c r="D6029" t="s">
        <v>75</v>
      </c>
      <c r="E6029" t="s">
        <v>76</v>
      </c>
      <c r="F6029">
        <v>10011</v>
      </c>
      <c r="G6029" t="s">
        <v>57</v>
      </c>
      <c r="H6029" t="s">
        <v>26</v>
      </c>
      <c r="I6029" t="s">
        <v>110</v>
      </c>
      <c r="J6029">
        <v>54.9</v>
      </c>
      <c r="K6029">
        <v>5</v>
      </c>
      <c r="L6029">
        <v>0</v>
      </c>
      <c r="M6029">
        <v>15.372</v>
      </c>
    </row>
    <row r="6030" spans="1:13" x14ac:dyDescent="0.3">
      <c r="A6030" t="s">
        <v>28</v>
      </c>
      <c r="B6030" t="s">
        <v>44</v>
      </c>
      <c r="C6030" t="s">
        <v>15</v>
      </c>
      <c r="D6030" t="s">
        <v>23</v>
      </c>
      <c r="E6030" t="s">
        <v>24</v>
      </c>
      <c r="F6030">
        <v>90036</v>
      </c>
      <c r="G6030" t="s">
        <v>25</v>
      </c>
      <c r="H6030" t="s">
        <v>19</v>
      </c>
      <c r="I6030" t="s">
        <v>33</v>
      </c>
      <c r="J6030">
        <v>15.24</v>
      </c>
      <c r="K6030">
        <v>3</v>
      </c>
      <c r="L6030">
        <v>0</v>
      </c>
      <c r="M6030">
        <v>5.1816000000000004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38</v>
      </c>
      <c r="J6031">
        <v>19.568000000000001</v>
      </c>
      <c r="K6031">
        <v>2</v>
      </c>
      <c r="L6031">
        <v>0.8</v>
      </c>
      <c r="M6031">
        <v>-52.833599999999997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323</v>
      </c>
      <c r="E6032" t="s">
        <v>46</v>
      </c>
      <c r="F6032">
        <v>75007</v>
      </c>
      <c r="G6032" t="s">
        <v>47</v>
      </c>
      <c r="H6032" t="s">
        <v>26</v>
      </c>
      <c r="I6032" t="s">
        <v>37</v>
      </c>
      <c r="J6032">
        <v>310.392</v>
      </c>
      <c r="K6032">
        <v>4</v>
      </c>
      <c r="L6032">
        <v>0.8</v>
      </c>
      <c r="M6032">
        <v>-512.14679999999998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19</v>
      </c>
      <c r="I6033" t="s">
        <v>33</v>
      </c>
      <c r="J6033">
        <v>42.6</v>
      </c>
      <c r="K6033">
        <v>3</v>
      </c>
      <c r="L6033">
        <v>0</v>
      </c>
      <c r="M6033">
        <v>16.614000000000001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37</v>
      </c>
      <c r="J6034">
        <v>113.94</v>
      </c>
      <c r="K6034">
        <v>6</v>
      </c>
      <c r="L6034">
        <v>0</v>
      </c>
      <c r="M6034">
        <v>54.691200000000002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32</v>
      </c>
      <c r="J6035">
        <v>129.91999999999999</v>
      </c>
      <c r="K6035">
        <v>4</v>
      </c>
      <c r="L6035">
        <v>0</v>
      </c>
      <c r="M6035">
        <v>5.1967999999999996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521</v>
      </c>
      <c r="E6036" t="s">
        <v>17</v>
      </c>
      <c r="F6036">
        <v>40324</v>
      </c>
      <c r="G6036" t="s">
        <v>18</v>
      </c>
      <c r="H6036" t="s">
        <v>26</v>
      </c>
      <c r="I6036" t="s">
        <v>34</v>
      </c>
      <c r="J6036">
        <v>5.28</v>
      </c>
      <c r="K6036">
        <v>3</v>
      </c>
      <c r="L6036">
        <v>0</v>
      </c>
      <c r="M6036">
        <v>2.5344000000000002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36</v>
      </c>
      <c r="J6037">
        <v>859.2</v>
      </c>
      <c r="K6037">
        <v>3</v>
      </c>
      <c r="L6037">
        <v>0.2</v>
      </c>
      <c r="M6037">
        <v>75.180000000000007</v>
      </c>
    </row>
    <row r="6038" spans="1:13" x14ac:dyDescent="0.3">
      <c r="A6038" t="s">
        <v>28</v>
      </c>
      <c r="B6038" t="s">
        <v>22</v>
      </c>
      <c r="C6038" t="s">
        <v>15</v>
      </c>
      <c r="D6038" t="s">
        <v>23</v>
      </c>
      <c r="E6038" t="s">
        <v>24</v>
      </c>
      <c r="F6038">
        <v>90008</v>
      </c>
      <c r="G6038" t="s">
        <v>25</v>
      </c>
      <c r="H6038" t="s">
        <v>35</v>
      </c>
      <c r="I6038" t="s">
        <v>123</v>
      </c>
      <c r="J6038">
        <v>506.28</v>
      </c>
      <c r="K6038">
        <v>3</v>
      </c>
      <c r="L6038">
        <v>0.2</v>
      </c>
      <c r="M6038">
        <v>177.19800000000001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219</v>
      </c>
      <c r="E6039" t="s">
        <v>81</v>
      </c>
      <c r="F6039">
        <v>85635</v>
      </c>
      <c r="G6039" t="s">
        <v>25</v>
      </c>
      <c r="H6039" t="s">
        <v>19</v>
      </c>
      <c r="I6039" t="s">
        <v>33</v>
      </c>
      <c r="J6039">
        <v>14.368</v>
      </c>
      <c r="K6039">
        <v>2</v>
      </c>
      <c r="L6039">
        <v>0.2</v>
      </c>
      <c r="M6039">
        <v>3.9512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19</v>
      </c>
      <c r="I6040" t="s">
        <v>21</v>
      </c>
      <c r="J6040">
        <v>314.35199999999998</v>
      </c>
      <c r="K6040">
        <v>3</v>
      </c>
      <c r="L6040">
        <v>0.2</v>
      </c>
      <c r="M6040">
        <v>-35.364600000000003</v>
      </c>
    </row>
    <row r="6041" spans="1:13" x14ac:dyDescent="0.3">
      <c r="A6041" t="s">
        <v>13</v>
      </c>
      <c r="B6041" t="s">
        <v>22</v>
      </c>
      <c r="C6041" t="s">
        <v>15</v>
      </c>
      <c r="D6041" t="s">
        <v>375</v>
      </c>
      <c r="E6041" t="s">
        <v>86</v>
      </c>
      <c r="F6041">
        <v>37918</v>
      </c>
      <c r="G6041" t="s">
        <v>18</v>
      </c>
      <c r="H6041" t="s">
        <v>26</v>
      </c>
      <c r="I6041" t="s">
        <v>41</v>
      </c>
      <c r="J6041">
        <v>27.888000000000002</v>
      </c>
      <c r="K6041">
        <v>7</v>
      </c>
      <c r="L6041">
        <v>0.2</v>
      </c>
      <c r="M6041">
        <v>10.109400000000001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171</v>
      </c>
      <c r="E6042" t="s">
        <v>81</v>
      </c>
      <c r="F6042">
        <v>85705</v>
      </c>
      <c r="G6042" t="s">
        <v>25</v>
      </c>
      <c r="H6042" t="s">
        <v>19</v>
      </c>
      <c r="I6042" t="s">
        <v>33</v>
      </c>
      <c r="J6042">
        <v>238.15199999999999</v>
      </c>
      <c r="K6042">
        <v>3</v>
      </c>
      <c r="L6042">
        <v>0.2</v>
      </c>
      <c r="M6042">
        <v>89.307000000000002</v>
      </c>
    </row>
    <row r="6043" spans="1:13" x14ac:dyDescent="0.3">
      <c r="A6043" t="s">
        <v>28</v>
      </c>
      <c r="B6043" t="s">
        <v>44</v>
      </c>
      <c r="C6043" t="s">
        <v>15</v>
      </c>
      <c r="D6043" t="s">
        <v>93</v>
      </c>
      <c r="E6043" t="s">
        <v>68</v>
      </c>
      <c r="F6043">
        <v>55407</v>
      </c>
      <c r="G6043" t="s">
        <v>47</v>
      </c>
      <c r="H6043" t="s">
        <v>19</v>
      </c>
      <c r="I6043" t="s">
        <v>31</v>
      </c>
      <c r="J6043">
        <v>692.94</v>
      </c>
      <c r="K6043">
        <v>3</v>
      </c>
      <c r="L6043">
        <v>0</v>
      </c>
      <c r="M6043">
        <v>173.23500000000001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16.146000000000001</v>
      </c>
      <c r="K6044">
        <v>9</v>
      </c>
      <c r="L6044">
        <v>0.7</v>
      </c>
      <c r="M6044">
        <v>-12.9168</v>
      </c>
    </row>
    <row r="6045" spans="1:13" x14ac:dyDescent="0.3">
      <c r="A6045" t="s">
        <v>28</v>
      </c>
      <c r="B6045" t="s">
        <v>22</v>
      </c>
      <c r="C6045" t="s">
        <v>15</v>
      </c>
      <c r="D6045" t="s">
        <v>180</v>
      </c>
      <c r="E6045" t="s">
        <v>30</v>
      </c>
      <c r="F6045">
        <v>33142</v>
      </c>
      <c r="G6045" t="s">
        <v>18</v>
      </c>
      <c r="H6045" t="s">
        <v>26</v>
      </c>
      <c r="I6045" t="s">
        <v>37</v>
      </c>
      <c r="J6045">
        <v>1345.4849999999999</v>
      </c>
      <c r="K6045">
        <v>5</v>
      </c>
      <c r="L6045">
        <v>0.7</v>
      </c>
      <c r="M6045">
        <v>-1031.5385000000001</v>
      </c>
    </row>
    <row r="6046" spans="1:13" x14ac:dyDescent="0.3">
      <c r="A6046" t="s">
        <v>62</v>
      </c>
      <c r="B6046" t="s">
        <v>14</v>
      </c>
      <c r="C6046" t="s">
        <v>15</v>
      </c>
      <c r="D6046" t="s">
        <v>61</v>
      </c>
      <c r="E6046" t="s">
        <v>46</v>
      </c>
      <c r="F6046">
        <v>77036</v>
      </c>
      <c r="G6046" t="s">
        <v>47</v>
      </c>
      <c r="H6046" t="s">
        <v>26</v>
      </c>
      <c r="I6046" t="s">
        <v>41</v>
      </c>
      <c r="J6046">
        <v>173.488</v>
      </c>
      <c r="K6046">
        <v>7</v>
      </c>
      <c r="L6046">
        <v>0.2</v>
      </c>
      <c r="M6046">
        <v>54.215000000000003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34</v>
      </c>
      <c r="J6047">
        <v>57.75</v>
      </c>
      <c r="K6047">
        <v>5</v>
      </c>
      <c r="L6047">
        <v>0</v>
      </c>
      <c r="M6047">
        <v>16.170000000000002</v>
      </c>
    </row>
    <row r="6048" spans="1:13" x14ac:dyDescent="0.3">
      <c r="A6048" t="s">
        <v>28</v>
      </c>
      <c r="B6048" t="s">
        <v>14</v>
      </c>
      <c r="C6048" t="s">
        <v>15</v>
      </c>
      <c r="D6048" t="s">
        <v>241</v>
      </c>
      <c r="E6048" t="s">
        <v>49</v>
      </c>
      <c r="F6048">
        <v>53209</v>
      </c>
      <c r="G6048" t="s">
        <v>47</v>
      </c>
      <c r="H6048" t="s">
        <v>26</v>
      </c>
      <c r="I6048" t="s">
        <v>38</v>
      </c>
      <c r="J6048">
        <v>272.39999999999998</v>
      </c>
      <c r="K6048">
        <v>5</v>
      </c>
      <c r="L6048">
        <v>0</v>
      </c>
      <c r="M6048">
        <v>76.272000000000006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26</v>
      </c>
      <c r="I6049" t="s">
        <v>41</v>
      </c>
      <c r="J6049">
        <v>11.952</v>
      </c>
      <c r="K6049">
        <v>3</v>
      </c>
      <c r="L6049">
        <v>0.2</v>
      </c>
      <c r="M6049">
        <v>4.0338000000000003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19</v>
      </c>
      <c r="I6050" t="s">
        <v>33</v>
      </c>
      <c r="J6050">
        <v>28</v>
      </c>
      <c r="K6050">
        <v>4</v>
      </c>
      <c r="L6050">
        <v>0.2</v>
      </c>
      <c r="M6050">
        <v>7.7</v>
      </c>
    </row>
    <row r="6051" spans="1:13" x14ac:dyDescent="0.3">
      <c r="A6051" t="s">
        <v>13</v>
      </c>
      <c r="B6051" t="s">
        <v>44</v>
      </c>
      <c r="C6051" t="s">
        <v>15</v>
      </c>
      <c r="D6051" t="s">
        <v>235</v>
      </c>
      <c r="E6051" t="s">
        <v>104</v>
      </c>
      <c r="F6051">
        <v>43130</v>
      </c>
      <c r="G6051" t="s">
        <v>57</v>
      </c>
      <c r="H6051" t="s">
        <v>26</v>
      </c>
      <c r="I6051" t="s">
        <v>37</v>
      </c>
      <c r="J6051">
        <v>12.201000000000001</v>
      </c>
      <c r="K6051">
        <v>7</v>
      </c>
      <c r="L6051">
        <v>0.7</v>
      </c>
      <c r="M6051">
        <v>-9.7607999999999997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37</v>
      </c>
      <c r="J6052">
        <v>2.0680000000000001</v>
      </c>
      <c r="K6052">
        <v>1</v>
      </c>
      <c r="L6052">
        <v>0.8</v>
      </c>
      <c r="M6052">
        <v>-3.4121999999999999</v>
      </c>
    </row>
    <row r="6053" spans="1:13" x14ac:dyDescent="0.3">
      <c r="A6053" t="s">
        <v>62</v>
      </c>
      <c r="B6053" t="s">
        <v>14</v>
      </c>
      <c r="C6053" t="s">
        <v>15</v>
      </c>
      <c r="D6053" t="s">
        <v>470</v>
      </c>
      <c r="E6053" t="s">
        <v>46</v>
      </c>
      <c r="F6053">
        <v>78539</v>
      </c>
      <c r="G6053" t="s">
        <v>47</v>
      </c>
      <c r="H6053" t="s">
        <v>26</v>
      </c>
      <c r="I6053" t="s">
        <v>41</v>
      </c>
      <c r="J6053">
        <v>83.84</v>
      </c>
      <c r="K6053">
        <v>8</v>
      </c>
      <c r="L6053">
        <v>0.2</v>
      </c>
      <c r="M6053">
        <v>30.391999999999999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60</v>
      </c>
      <c r="J6054">
        <v>11.36</v>
      </c>
      <c r="K6054">
        <v>2</v>
      </c>
      <c r="L6054">
        <v>0</v>
      </c>
      <c r="M6054">
        <v>5.3391999999999999</v>
      </c>
    </row>
    <row r="6055" spans="1:13" x14ac:dyDescent="0.3">
      <c r="A6055" t="s">
        <v>28</v>
      </c>
      <c r="B6055" t="s">
        <v>44</v>
      </c>
      <c r="C6055" t="s">
        <v>15</v>
      </c>
      <c r="D6055" t="s">
        <v>75</v>
      </c>
      <c r="E6055" t="s">
        <v>76</v>
      </c>
      <c r="F6055">
        <v>10009</v>
      </c>
      <c r="G6055" t="s">
        <v>57</v>
      </c>
      <c r="H6055" t="s">
        <v>26</v>
      </c>
      <c r="I6055" t="s">
        <v>41</v>
      </c>
      <c r="J6055">
        <v>36.4</v>
      </c>
      <c r="K6055">
        <v>5</v>
      </c>
      <c r="L6055">
        <v>0</v>
      </c>
      <c r="M6055">
        <v>17.472000000000001</v>
      </c>
    </row>
    <row r="6056" spans="1:13" x14ac:dyDescent="0.3">
      <c r="A6056" t="s">
        <v>28</v>
      </c>
      <c r="B6056" t="s">
        <v>14</v>
      </c>
      <c r="C6056" t="s">
        <v>15</v>
      </c>
      <c r="D6056" t="s">
        <v>55</v>
      </c>
      <c r="E6056" t="s">
        <v>56</v>
      </c>
      <c r="F6056">
        <v>19120</v>
      </c>
      <c r="G6056" t="s">
        <v>57</v>
      </c>
      <c r="H6056" t="s">
        <v>35</v>
      </c>
      <c r="I6056" t="s">
        <v>59</v>
      </c>
      <c r="J6056">
        <v>27.968</v>
      </c>
      <c r="K6056">
        <v>2</v>
      </c>
      <c r="L6056">
        <v>0.2</v>
      </c>
      <c r="M6056">
        <v>6.992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32</v>
      </c>
      <c r="J6057">
        <v>142.04</v>
      </c>
      <c r="K6057">
        <v>4</v>
      </c>
      <c r="L6057">
        <v>0</v>
      </c>
      <c r="M6057">
        <v>38.3508</v>
      </c>
    </row>
    <row r="6058" spans="1:13" x14ac:dyDescent="0.3">
      <c r="A6058" t="s">
        <v>28</v>
      </c>
      <c r="B6058" t="s">
        <v>44</v>
      </c>
      <c r="C6058" t="s">
        <v>15</v>
      </c>
      <c r="D6058" t="s">
        <v>92</v>
      </c>
      <c r="E6058" t="s">
        <v>76</v>
      </c>
      <c r="F6058">
        <v>14609</v>
      </c>
      <c r="G6058" t="s">
        <v>57</v>
      </c>
      <c r="H6058" t="s">
        <v>26</v>
      </c>
      <c r="I6058" t="s">
        <v>34</v>
      </c>
      <c r="J6058">
        <v>14.67</v>
      </c>
      <c r="K6058">
        <v>3</v>
      </c>
      <c r="L6058">
        <v>0</v>
      </c>
      <c r="M6058">
        <v>6.0147000000000004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35</v>
      </c>
      <c r="I6059" t="s">
        <v>162</v>
      </c>
      <c r="J6059">
        <v>1199.96</v>
      </c>
      <c r="K6059">
        <v>5</v>
      </c>
      <c r="L6059">
        <v>0.2</v>
      </c>
      <c r="M6059">
        <v>224.99250000000001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12.6</v>
      </c>
      <c r="K6060">
        <v>3</v>
      </c>
      <c r="L6060">
        <v>0</v>
      </c>
      <c r="M6060">
        <v>6.1740000000000004</v>
      </c>
    </row>
    <row r="6061" spans="1:13" x14ac:dyDescent="0.3">
      <c r="A6061" t="s">
        <v>13</v>
      </c>
      <c r="B6061" t="s">
        <v>14</v>
      </c>
      <c r="C6061" t="s">
        <v>15</v>
      </c>
      <c r="D6061" t="s">
        <v>144</v>
      </c>
      <c r="E6061" t="s">
        <v>24</v>
      </c>
      <c r="F6061">
        <v>92037</v>
      </c>
      <c r="G6061" t="s">
        <v>25</v>
      </c>
      <c r="H6061" t="s">
        <v>26</v>
      </c>
      <c r="I6061" t="s">
        <v>41</v>
      </c>
      <c r="J6061">
        <v>17.940000000000001</v>
      </c>
      <c r="K6061">
        <v>3</v>
      </c>
      <c r="L6061">
        <v>0</v>
      </c>
      <c r="M6061">
        <v>8.0730000000000004</v>
      </c>
    </row>
    <row r="6062" spans="1:13" x14ac:dyDescent="0.3">
      <c r="A6062" t="s">
        <v>62</v>
      </c>
      <c r="B6062" t="s">
        <v>14</v>
      </c>
      <c r="C6062" t="s">
        <v>15</v>
      </c>
      <c r="D6062" t="s">
        <v>55</v>
      </c>
      <c r="E6062" t="s">
        <v>56</v>
      </c>
      <c r="F6062">
        <v>19120</v>
      </c>
      <c r="G6062" t="s">
        <v>57</v>
      </c>
      <c r="H6062" t="s">
        <v>26</v>
      </c>
      <c r="I6062" t="s">
        <v>27</v>
      </c>
      <c r="J6062">
        <v>23.904</v>
      </c>
      <c r="K6062">
        <v>6</v>
      </c>
      <c r="L6062">
        <v>0.2</v>
      </c>
      <c r="M6062">
        <v>7.7687999999999997</v>
      </c>
    </row>
    <row r="6063" spans="1:13" x14ac:dyDescent="0.3">
      <c r="A6063" t="s">
        <v>28</v>
      </c>
      <c r="B6063" t="s">
        <v>14</v>
      </c>
      <c r="C6063" t="s">
        <v>15</v>
      </c>
      <c r="D6063" t="s">
        <v>555</v>
      </c>
      <c r="E6063" t="s">
        <v>86</v>
      </c>
      <c r="F6063">
        <v>38134</v>
      </c>
      <c r="G6063" t="s">
        <v>18</v>
      </c>
      <c r="H6063" t="s">
        <v>26</v>
      </c>
      <c r="I6063" t="s">
        <v>110</v>
      </c>
      <c r="J6063">
        <v>88.96</v>
      </c>
      <c r="K6063">
        <v>8</v>
      </c>
      <c r="L6063">
        <v>0.2</v>
      </c>
      <c r="M6063">
        <v>10.007999999999999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21</v>
      </c>
      <c r="J6064">
        <v>518.27200000000005</v>
      </c>
      <c r="K6064">
        <v>8</v>
      </c>
      <c r="L6064">
        <v>0.2</v>
      </c>
      <c r="M6064">
        <v>-97.176000000000002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19</v>
      </c>
      <c r="I6065" t="s">
        <v>33</v>
      </c>
      <c r="J6065">
        <v>6.98</v>
      </c>
      <c r="K6065">
        <v>1</v>
      </c>
      <c r="L6065">
        <v>0</v>
      </c>
      <c r="M6065">
        <v>3.3504</v>
      </c>
    </row>
    <row r="6066" spans="1:13" x14ac:dyDescent="0.3">
      <c r="A6066" t="s">
        <v>28</v>
      </c>
      <c r="B6066" t="s">
        <v>44</v>
      </c>
      <c r="C6066" t="s">
        <v>15</v>
      </c>
      <c r="D6066" t="s">
        <v>154</v>
      </c>
      <c r="E6066" t="s">
        <v>24</v>
      </c>
      <c r="F6066">
        <v>90712</v>
      </c>
      <c r="G6066" t="s">
        <v>25</v>
      </c>
      <c r="H6066" t="s">
        <v>35</v>
      </c>
      <c r="I6066" t="s">
        <v>123</v>
      </c>
      <c r="J6066">
        <v>343.2</v>
      </c>
      <c r="K6066">
        <v>1</v>
      </c>
      <c r="L6066">
        <v>0.2</v>
      </c>
      <c r="M6066">
        <v>38.61</v>
      </c>
    </row>
    <row r="6067" spans="1:13" x14ac:dyDescent="0.3">
      <c r="A6067" t="s">
        <v>28</v>
      </c>
      <c r="B6067" t="s">
        <v>22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17.544</v>
      </c>
      <c r="K6067">
        <v>3</v>
      </c>
      <c r="L6067">
        <v>0.2</v>
      </c>
      <c r="M6067">
        <v>5.9211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32</v>
      </c>
      <c r="J6068">
        <v>152.68799999999999</v>
      </c>
      <c r="K6068">
        <v>2</v>
      </c>
      <c r="L6068">
        <v>0.2</v>
      </c>
      <c r="M6068">
        <v>-26.720400000000001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77</v>
      </c>
      <c r="J6069">
        <v>3.488</v>
      </c>
      <c r="K6069">
        <v>2</v>
      </c>
      <c r="L6069">
        <v>0.2</v>
      </c>
      <c r="M6069">
        <v>0.56679999999999997</v>
      </c>
    </row>
    <row r="6070" spans="1:13" x14ac:dyDescent="0.3">
      <c r="A6070" t="s">
        <v>28</v>
      </c>
      <c r="B6070" t="s">
        <v>14</v>
      </c>
      <c r="C6070" t="s">
        <v>15</v>
      </c>
      <c r="D6070" t="s">
        <v>164</v>
      </c>
      <c r="E6070" t="s">
        <v>46</v>
      </c>
      <c r="F6070">
        <v>78745</v>
      </c>
      <c r="G6070" t="s">
        <v>47</v>
      </c>
      <c r="H6070" t="s">
        <v>26</v>
      </c>
      <c r="I6070" t="s">
        <v>110</v>
      </c>
      <c r="J6070">
        <v>5.8879999999999999</v>
      </c>
      <c r="K6070">
        <v>2</v>
      </c>
      <c r="L6070">
        <v>0.2</v>
      </c>
      <c r="M6070">
        <v>-1.3248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37</v>
      </c>
      <c r="J6071">
        <v>153.55199999999999</v>
      </c>
      <c r="K6071">
        <v>3</v>
      </c>
      <c r="L6071">
        <v>0.2</v>
      </c>
      <c r="M6071">
        <v>51.823799999999999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23</v>
      </c>
      <c r="E6072" t="s">
        <v>24</v>
      </c>
      <c r="F6072">
        <v>90008</v>
      </c>
      <c r="G6072" t="s">
        <v>25</v>
      </c>
      <c r="H6072" t="s">
        <v>26</v>
      </c>
      <c r="I6072" t="s">
        <v>32</v>
      </c>
      <c r="J6072">
        <v>270.62</v>
      </c>
      <c r="K6072">
        <v>2</v>
      </c>
      <c r="L6072">
        <v>0</v>
      </c>
      <c r="M6072">
        <v>2.7061999999999999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468.9</v>
      </c>
      <c r="K6073">
        <v>6</v>
      </c>
      <c r="L6073">
        <v>0</v>
      </c>
      <c r="M6073">
        <v>206.316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35</v>
      </c>
      <c r="I6074" t="s">
        <v>59</v>
      </c>
      <c r="J6074">
        <v>72.48</v>
      </c>
      <c r="K6074">
        <v>2</v>
      </c>
      <c r="L6074">
        <v>0</v>
      </c>
      <c r="M6074">
        <v>30.441600000000001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26</v>
      </c>
      <c r="I6075" t="s">
        <v>110</v>
      </c>
      <c r="J6075">
        <v>10.95</v>
      </c>
      <c r="K6075">
        <v>3</v>
      </c>
      <c r="L6075">
        <v>0</v>
      </c>
      <c r="M6075">
        <v>3.2850000000000001</v>
      </c>
    </row>
    <row r="6076" spans="1:13" x14ac:dyDescent="0.3">
      <c r="A6076" t="s">
        <v>28</v>
      </c>
      <c r="B6076" t="s">
        <v>14</v>
      </c>
      <c r="C6076" t="s">
        <v>15</v>
      </c>
      <c r="D6076" t="s">
        <v>75</v>
      </c>
      <c r="E6076" t="s">
        <v>76</v>
      </c>
      <c r="F6076">
        <v>10011</v>
      </c>
      <c r="G6076" t="s">
        <v>57</v>
      </c>
      <c r="H6076" t="s">
        <v>19</v>
      </c>
      <c r="I6076" t="s">
        <v>33</v>
      </c>
      <c r="J6076">
        <v>191.82</v>
      </c>
      <c r="K6076">
        <v>3</v>
      </c>
      <c r="L6076">
        <v>0</v>
      </c>
      <c r="M6076">
        <v>61.382399999999997</v>
      </c>
    </row>
    <row r="6077" spans="1:13" x14ac:dyDescent="0.3">
      <c r="A6077" t="s">
        <v>62</v>
      </c>
      <c r="B6077" t="s">
        <v>44</v>
      </c>
      <c r="C6077" t="s">
        <v>15</v>
      </c>
      <c r="D6077" t="s">
        <v>61</v>
      </c>
      <c r="E6077" t="s">
        <v>46</v>
      </c>
      <c r="F6077">
        <v>77070</v>
      </c>
      <c r="G6077" t="s">
        <v>47</v>
      </c>
      <c r="H6077" t="s">
        <v>26</v>
      </c>
      <c r="I6077" t="s">
        <v>32</v>
      </c>
      <c r="J6077">
        <v>151.05600000000001</v>
      </c>
      <c r="K6077">
        <v>9</v>
      </c>
      <c r="L6077">
        <v>0.2</v>
      </c>
      <c r="M6077">
        <v>7.5528000000000004</v>
      </c>
    </row>
    <row r="6078" spans="1:13" x14ac:dyDescent="0.3">
      <c r="A6078" t="s">
        <v>168</v>
      </c>
      <c r="B6078" t="s">
        <v>14</v>
      </c>
      <c r="C6078" t="s">
        <v>15</v>
      </c>
      <c r="D6078" t="s">
        <v>356</v>
      </c>
      <c r="E6078" t="s">
        <v>46</v>
      </c>
      <c r="F6078">
        <v>79424</v>
      </c>
      <c r="G6078" t="s">
        <v>47</v>
      </c>
      <c r="H6078" t="s">
        <v>19</v>
      </c>
      <c r="I6078" t="s">
        <v>33</v>
      </c>
      <c r="J6078">
        <v>25.16</v>
      </c>
      <c r="K6078">
        <v>5</v>
      </c>
      <c r="L6078">
        <v>0.6</v>
      </c>
      <c r="M6078">
        <v>-11.321999999999999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37</v>
      </c>
      <c r="J6079">
        <v>6.2160000000000002</v>
      </c>
      <c r="K6079">
        <v>6</v>
      </c>
      <c r="L6079">
        <v>0.8</v>
      </c>
      <c r="M6079">
        <v>-9.6348000000000003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26</v>
      </c>
      <c r="I6080" t="s">
        <v>34</v>
      </c>
      <c r="J6080">
        <v>23.616</v>
      </c>
      <c r="K6080">
        <v>9</v>
      </c>
      <c r="L6080">
        <v>0.2</v>
      </c>
      <c r="M6080">
        <v>2.6568000000000001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35</v>
      </c>
      <c r="I6081" t="s">
        <v>59</v>
      </c>
      <c r="J6081">
        <v>24.032</v>
      </c>
      <c r="K6081">
        <v>2</v>
      </c>
      <c r="L6081">
        <v>0.2</v>
      </c>
      <c r="M6081">
        <v>-0.6008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27</v>
      </c>
      <c r="J6082">
        <v>2.0880000000000001</v>
      </c>
      <c r="K6082">
        <v>1</v>
      </c>
      <c r="L6082">
        <v>0.2</v>
      </c>
      <c r="M6082">
        <v>0.67859999999999998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61</v>
      </c>
      <c r="E6083" t="s">
        <v>46</v>
      </c>
      <c r="F6083">
        <v>77095</v>
      </c>
      <c r="G6083" t="s">
        <v>47</v>
      </c>
      <c r="H6083" t="s">
        <v>26</v>
      </c>
      <c r="I6083" t="s">
        <v>37</v>
      </c>
      <c r="J6083">
        <v>4.4880000000000004</v>
      </c>
      <c r="K6083">
        <v>6</v>
      </c>
      <c r="L6083">
        <v>0.8</v>
      </c>
      <c r="M6083">
        <v>-6.7320000000000002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198</v>
      </c>
      <c r="E6084" t="s">
        <v>24</v>
      </c>
      <c r="F6084">
        <v>92627</v>
      </c>
      <c r="G6084" t="s">
        <v>25</v>
      </c>
      <c r="H6084" t="s">
        <v>19</v>
      </c>
      <c r="I6084" t="s">
        <v>33</v>
      </c>
      <c r="J6084">
        <v>29.22</v>
      </c>
      <c r="K6084">
        <v>3</v>
      </c>
      <c r="L6084">
        <v>0</v>
      </c>
      <c r="M6084">
        <v>12.8568</v>
      </c>
    </row>
    <row r="6085" spans="1:13" x14ac:dyDescent="0.3">
      <c r="A6085" t="s">
        <v>28</v>
      </c>
      <c r="B6085" t="s">
        <v>22</v>
      </c>
      <c r="C6085" t="s">
        <v>15</v>
      </c>
      <c r="D6085" t="s">
        <v>270</v>
      </c>
      <c r="E6085" t="s">
        <v>167</v>
      </c>
      <c r="F6085">
        <v>30076</v>
      </c>
      <c r="G6085" t="s">
        <v>18</v>
      </c>
      <c r="H6085" t="s">
        <v>26</v>
      </c>
      <c r="I6085" t="s">
        <v>41</v>
      </c>
      <c r="J6085">
        <v>6.48</v>
      </c>
      <c r="K6085">
        <v>1</v>
      </c>
      <c r="L6085">
        <v>0</v>
      </c>
      <c r="M6085">
        <v>3.1103999999999998</v>
      </c>
    </row>
    <row r="6086" spans="1:13" x14ac:dyDescent="0.3">
      <c r="A6086" t="s">
        <v>13</v>
      </c>
      <c r="B6086" t="s">
        <v>22</v>
      </c>
      <c r="C6086" t="s">
        <v>15</v>
      </c>
      <c r="D6086" t="s">
        <v>522</v>
      </c>
      <c r="E6086" t="s">
        <v>98</v>
      </c>
      <c r="F6086">
        <v>80538</v>
      </c>
      <c r="G6086" t="s">
        <v>25</v>
      </c>
      <c r="H6086" t="s">
        <v>26</v>
      </c>
      <c r="I6086" t="s">
        <v>37</v>
      </c>
      <c r="J6086">
        <v>1.1879999999999999</v>
      </c>
      <c r="K6086">
        <v>2</v>
      </c>
      <c r="L6086">
        <v>0.7</v>
      </c>
      <c r="M6086">
        <v>-0.99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19</v>
      </c>
      <c r="I6087" t="s">
        <v>21</v>
      </c>
      <c r="J6087">
        <v>272.64600000000002</v>
      </c>
      <c r="K6087">
        <v>3</v>
      </c>
      <c r="L6087">
        <v>0.1</v>
      </c>
      <c r="M6087">
        <v>18.176400000000001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35</v>
      </c>
      <c r="I6088" t="s">
        <v>59</v>
      </c>
      <c r="J6088">
        <v>212.8</v>
      </c>
      <c r="K6088">
        <v>2</v>
      </c>
      <c r="L6088">
        <v>0</v>
      </c>
      <c r="M6088">
        <v>95.76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26</v>
      </c>
      <c r="I6089" t="s">
        <v>41</v>
      </c>
      <c r="J6089">
        <v>38.520000000000003</v>
      </c>
      <c r="K6089">
        <v>9</v>
      </c>
      <c r="L6089">
        <v>0</v>
      </c>
      <c r="M6089">
        <v>18.104399999999998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35</v>
      </c>
      <c r="I6090" t="s">
        <v>59</v>
      </c>
      <c r="J6090">
        <v>72.64</v>
      </c>
      <c r="K6090">
        <v>2</v>
      </c>
      <c r="L6090">
        <v>0</v>
      </c>
      <c r="M6090">
        <v>21.792000000000002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32</v>
      </c>
      <c r="J6091">
        <v>45.4</v>
      </c>
      <c r="K6091">
        <v>4</v>
      </c>
      <c r="L6091">
        <v>0</v>
      </c>
      <c r="M6091">
        <v>12.712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26</v>
      </c>
      <c r="I6092" t="s">
        <v>41</v>
      </c>
      <c r="J6092">
        <v>13.76</v>
      </c>
      <c r="K6092">
        <v>2</v>
      </c>
      <c r="L6092">
        <v>0</v>
      </c>
      <c r="M6092">
        <v>6.3296000000000001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19</v>
      </c>
      <c r="I6093" t="s">
        <v>21</v>
      </c>
      <c r="J6093">
        <v>80.991</v>
      </c>
      <c r="K6093">
        <v>1</v>
      </c>
      <c r="L6093">
        <v>0.1</v>
      </c>
      <c r="M6093">
        <v>8.0991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37</v>
      </c>
      <c r="J6094">
        <v>11.784000000000001</v>
      </c>
      <c r="K6094">
        <v>3</v>
      </c>
      <c r="L6094">
        <v>0.2</v>
      </c>
      <c r="M6094">
        <v>3.9771000000000001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26</v>
      </c>
      <c r="I6095" t="s">
        <v>77</v>
      </c>
      <c r="J6095">
        <v>4.3600000000000003</v>
      </c>
      <c r="K6095">
        <v>2</v>
      </c>
      <c r="L6095">
        <v>0</v>
      </c>
      <c r="M6095">
        <v>1.7876000000000001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19</v>
      </c>
      <c r="I6096" t="s">
        <v>21</v>
      </c>
      <c r="J6096">
        <v>2888.127</v>
      </c>
      <c r="K6096">
        <v>11</v>
      </c>
      <c r="L6096">
        <v>0.1</v>
      </c>
      <c r="M6096">
        <v>609.71569999999997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35</v>
      </c>
      <c r="I6097" t="s">
        <v>36</v>
      </c>
      <c r="J6097">
        <v>1299.6600000000001</v>
      </c>
      <c r="K6097">
        <v>2</v>
      </c>
      <c r="L6097">
        <v>0</v>
      </c>
      <c r="M6097">
        <v>350.90820000000002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2254.41</v>
      </c>
      <c r="K6098">
        <v>5</v>
      </c>
      <c r="L6098">
        <v>0.1</v>
      </c>
      <c r="M6098">
        <v>375.73500000000001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36</v>
      </c>
      <c r="J6099">
        <v>104.85</v>
      </c>
      <c r="K6099">
        <v>3</v>
      </c>
      <c r="L6099">
        <v>0</v>
      </c>
      <c r="M6099">
        <v>28.3095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35</v>
      </c>
      <c r="I6100" t="s">
        <v>59</v>
      </c>
      <c r="J6100">
        <v>59.97</v>
      </c>
      <c r="K6100">
        <v>3</v>
      </c>
      <c r="L6100">
        <v>0</v>
      </c>
      <c r="M6100">
        <v>20.389800000000001</v>
      </c>
    </row>
    <row r="6101" spans="1:13" x14ac:dyDescent="0.3">
      <c r="A6101" t="s">
        <v>62</v>
      </c>
      <c r="B6101" t="s">
        <v>44</v>
      </c>
      <c r="C6101" t="s">
        <v>15</v>
      </c>
      <c r="D6101" t="s">
        <v>55</v>
      </c>
      <c r="E6101" t="s">
        <v>56</v>
      </c>
      <c r="F6101">
        <v>19143</v>
      </c>
      <c r="G6101" t="s">
        <v>57</v>
      </c>
      <c r="H6101" t="s">
        <v>19</v>
      </c>
      <c r="I6101" t="s">
        <v>31</v>
      </c>
      <c r="J6101">
        <v>314.53199999999998</v>
      </c>
      <c r="K6101">
        <v>2</v>
      </c>
      <c r="L6101">
        <v>0.4</v>
      </c>
      <c r="M6101">
        <v>-83.875200000000007</v>
      </c>
    </row>
    <row r="6102" spans="1:13" x14ac:dyDescent="0.3">
      <c r="A6102" t="s">
        <v>28</v>
      </c>
      <c r="B6102" t="s">
        <v>22</v>
      </c>
      <c r="C6102" t="s">
        <v>15</v>
      </c>
      <c r="D6102" t="s">
        <v>180</v>
      </c>
      <c r="E6102" t="s">
        <v>30</v>
      </c>
      <c r="F6102">
        <v>33178</v>
      </c>
      <c r="G6102" t="s">
        <v>18</v>
      </c>
      <c r="H6102" t="s">
        <v>26</v>
      </c>
      <c r="I6102" t="s">
        <v>34</v>
      </c>
      <c r="J6102">
        <v>13.632</v>
      </c>
      <c r="K6102">
        <v>4</v>
      </c>
      <c r="L6102">
        <v>0.2</v>
      </c>
      <c r="M6102">
        <v>3.5783999999999998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26</v>
      </c>
      <c r="I6103" t="s">
        <v>38</v>
      </c>
      <c r="J6103">
        <v>19.431999999999999</v>
      </c>
      <c r="K6103">
        <v>2</v>
      </c>
      <c r="L6103">
        <v>0.8</v>
      </c>
      <c r="M6103">
        <v>-49.551600000000001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128</v>
      </c>
      <c r="E6104" t="s">
        <v>46</v>
      </c>
      <c r="F6104">
        <v>75051</v>
      </c>
      <c r="G6104" t="s">
        <v>47</v>
      </c>
      <c r="H6104" t="s">
        <v>35</v>
      </c>
      <c r="I6104" t="s">
        <v>59</v>
      </c>
      <c r="J6104">
        <v>65.44</v>
      </c>
      <c r="K6104">
        <v>5</v>
      </c>
      <c r="L6104">
        <v>0.2</v>
      </c>
      <c r="M6104">
        <v>-8.18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27</v>
      </c>
      <c r="J6105">
        <v>6</v>
      </c>
      <c r="K6105">
        <v>2</v>
      </c>
      <c r="L6105">
        <v>0.2</v>
      </c>
      <c r="M6105">
        <v>2.1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79</v>
      </c>
      <c r="E6106" t="s">
        <v>65</v>
      </c>
      <c r="F6106">
        <v>60653</v>
      </c>
      <c r="G6106" t="s">
        <v>47</v>
      </c>
      <c r="H6106" t="s">
        <v>26</v>
      </c>
      <c r="I6106" t="s">
        <v>37</v>
      </c>
      <c r="J6106">
        <v>1.9079999999999999</v>
      </c>
      <c r="K6106">
        <v>3</v>
      </c>
      <c r="L6106">
        <v>0.8</v>
      </c>
      <c r="M6106">
        <v>-3.2435999999999998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19</v>
      </c>
      <c r="I6107" t="s">
        <v>21</v>
      </c>
      <c r="J6107">
        <v>1474.8019999999999</v>
      </c>
      <c r="K6107">
        <v>7</v>
      </c>
      <c r="L6107">
        <v>0.3</v>
      </c>
      <c r="M6107">
        <v>-21.0686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38</v>
      </c>
      <c r="J6108">
        <v>110.096</v>
      </c>
      <c r="K6108">
        <v>2</v>
      </c>
      <c r="L6108">
        <v>0.2</v>
      </c>
      <c r="M6108">
        <v>33.028799999999997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26</v>
      </c>
      <c r="I6109" t="s">
        <v>77</v>
      </c>
      <c r="J6109">
        <v>16.751999999999999</v>
      </c>
      <c r="K6109">
        <v>6</v>
      </c>
      <c r="L6109">
        <v>0.2</v>
      </c>
      <c r="M6109">
        <v>5.4443999999999999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1537.0740000000001</v>
      </c>
      <c r="K6110">
        <v>9</v>
      </c>
      <c r="L6110">
        <v>0.3</v>
      </c>
      <c r="M6110">
        <v>0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300</v>
      </c>
      <c r="E6111" t="s">
        <v>104</v>
      </c>
      <c r="F6111">
        <v>44134</v>
      </c>
      <c r="G6111" t="s">
        <v>57</v>
      </c>
      <c r="H6111" t="s">
        <v>19</v>
      </c>
      <c r="I6111" t="s">
        <v>21</v>
      </c>
      <c r="J6111">
        <v>449.37200000000001</v>
      </c>
      <c r="K6111">
        <v>2</v>
      </c>
      <c r="L6111">
        <v>0.3</v>
      </c>
      <c r="M6111">
        <v>-12.8392</v>
      </c>
    </row>
    <row r="6112" spans="1:13" x14ac:dyDescent="0.3">
      <c r="A6112" t="s">
        <v>28</v>
      </c>
      <c r="B6112" t="s">
        <v>22</v>
      </c>
      <c r="C6112" t="s">
        <v>15</v>
      </c>
      <c r="D6112" t="s">
        <v>556</v>
      </c>
      <c r="E6112" t="s">
        <v>24</v>
      </c>
      <c r="F6112">
        <v>94061</v>
      </c>
      <c r="G6112" t="s">
        <v>25</v>
      </c>
      <c r="H6112" t="s">
        <v>26</v>
      </c>
      <c r="I6112" t="s">
        <v>37</v>
      </c>
      <c r="J6112">
        <v>41.904000000000003</v>
      </c>
      <c r="K6112">
        <v>6</v>
      </c>
      <c r="L6112">
        <v>0.2</v>
      </c>
      <c r="M6112">
        <v>14.1426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35</v>
      </c>
      <c r="I6113" t="s">
        <v>36</v>
      </c>
      <c r="J6113">
        <v>2279.96</v>
      </c>
      <c r="K6113">
        <v>4</v>
      </c>
      <c r="L6113">
        <v>0</v>
      </c>
      <c r="M6113">
        <v>592.78959999999995</v>
      </c>
    </row>
    <row r="6114" spans="1:13" x14ac:dyDescent="0.3">
      <c r="A6114" t="s">
        <v>28</v>
      </c>
      <c r="B6114" t="s">
        <v>44</v>
      </c>
      <c r="C6114" t="s">
        <v>15</v>
      </c>
      <c r="D6114" t="s">
        <v>75</v>
      </c>
      <c r="E6114" t="s">
        <v>76</v>
      </c>
      <c r="F6114">
        <v>10011</v>
      </c>
      <c r="G6114" t="s">
        <v>57</v>
      </c>
      <c r="H6114" t="s">
        <v>26</v>
      </c>
      <c r="I6114" t="s">
        <v>27</v>
      </c>
      <c r="J6114">
        <v>14.94</v>
      </c>
      <c r="K6114">
        <v>3</v>
      </c>
      <c r="L6114">
        <v>0</v>
      </c>
      <c r="M6114">
        <v>6.8723999999999998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35</v>
      </c>
      <c r="I6115" t="s">
        <v>36</v>
      </c>
      <c r="J6115">
        <v>191.976</v>
      </c>
      <c r="K6115">
        <v>3</v>
      </c>
      <c r="L6115">
        <v>0.2</v>
      </c>
      <c r="M6115">
        <v>19.197600000000001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26</v>
      </c>
      <c r="I6116" t="s">
        <v>34</v>
      </c>
      <c r="J6116">
        <v>23.832000000000001</v>
      </c>
      <c r="K6116">
        <v>3</v>
      </c>
      <c r="L6116">
        <v>0.2</v>
      </c>
      <c r="M6116">
        <v>6.5537999999999998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33</v>
      </c>
      <c r="J6117">
        <v>409.21600000000001</v>
      </c>
      <c r="K6117">
        <v>8</v>
      </c>
      <c r="L6117">
        <v>0.2</v>
      </c>
      <c r="M6117">
        <v>61.382399999999997</v>
      </c>
    </row>
    <row r="6118" spans="1:13" x14ac:dyDescent="0.3">
      <c r="A6118" t="s">
        <v>28</v>
      </c>
      <c r="B6118" t="s">
        <v>22</v>
      </c>
      <c r="C6118" t="s">
        <v>15</v>
      </c>
      <c r="D6118" t="s">
        <v>82</v>
      </c>
      <c r="E6118" t="s">
        <v>95</v>
      </c>
      <c r="F6118">
        <v>97477</v>
      </c>
      <c r="G6118" t="s">
        <v>25</v>
      </c>
      <c r="H6118" t="s">
        <v>19</v>
      </c>
      <c r="I6118" t="s">
        <v>20</v>
      </c>
      <c r="J6118">
        <v>72.587999999999994</v>
      </c>
      <c r="K6118">
        <v>2</v>
      </c>
      <c r="L6118">
        <v>0.7</v>
      </c>
      <c r="M6118">
        <v>-128.2388</v>
      </c>
    </row>
    <row r="6119" spans="1:13" x14ac:dyDescent="0.3">
      <c r="A6119" t="s">
        <v>28</v>
      </c>
      <c r="B6119" t="s">
        <v>14</v>
      </c>
      <c r="C6119" t="s">
        <v>15</v>
      </c>
      <c r="D6119" t="s">
        <v>79</v>
      </c>
      <c r="E6119" t="s">
        <v>65</v>
      </c>
      <c r="F6119">
        <v>60610</v>
      </c>
      <c r="G6119" t="s">
        <v>47</v>
      </c>
      <c r="H6119" t="s">
        <v>26</v>
      </c>
      <c r="I6119" t="s">
        <v>32</v>
      </c>
      <c r="J6119">
        <v>61.567999999999998</v>
      </c>
      <c r="K6119">
        <v>2</v>
      </c>
      <c r="L6119">
        <v>0.2</v>
      </c>
      <c r="M6119">
        <v>4.6176000000000004</v>
      </c>
    </row>
    <row r="6120" spans="1:13" x14ac:dyDescent="0.3">
      <c r="A6120" t="s">
        <v>28</v>
      </c>
      <c r="B6120" t="s">
        <v>44</v>
      </c>
      <c r="C6120" t="s">
        <v>15</v>
      </c>
      <c r="D6120" t="s">
        <v>475</v>
      </c>
      <c r="E6120" t="s">
        <v>46</v>
      </c>
      <c r="F6120">
        <v>76021</v>
      </c>
      <c r="G6120" t="s">
        <v>47</v>
      </c>
      <c r="H6120" t="s">
        <v>26</v>
      </c>
      <c r="I6120" t="s">
        <v>41</v>
      </c>
      <c r="J6120">
        <v>20.96</v>
      </c>
      <c r="K6120">
        <v>4</v>
      </c>
      <c r="L6120">
        <v>0.2</v>
      </c>
      <c r="M6120">
        <v>6.8120000000000003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35</v>
      </c>
      <c r="I6121" t="s">
        <v>59</v>
      </c>
      <c r="J6121">
        <v>44.75</v>
      </c>
      <c r="K6121">
        <v>5</v>
      </c>
      <c r="L6121">
        <v>0</v>
      </c>
      <c r="M6121">
        <v>8.5024999999999995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41</v>
      </c>
      <c r="J6122">
        <v>11.96</v>
      </c>
      <c r="K6122">
        <v>2</v>
      </c>
      <c r="L6122">
        <v>0</v>
      </c>
      <c r="M6122">
        <v>5.3819999999999997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23</v>
      </c>
      <c r="E6123" t="s">
        <v>24</v>
      </c>
      <c r="F6123">
        <v>90036</v>
      </c>
      <c r="G6123" t="s">
        <v>25</v>
      </c>
      <c r="H6123" t="s">
        <v>26</v>
      </c>
      <c r="I6123" t="s">
        <v>37</v>
      </c>
      <c r="J6123">
        <v>3.9119999999999999</v>
      </c>
      <c r="K6123">
        <v>1</v>
      </c>
      <c r="L6123">
        <v>0.2</v>
      </c>
      <c r="M6123">
        <v>1.2714000000000001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75</v>
      </c>
      <c r="E6124" t="s">
        <v>76</v>
      </c>
      <c r="F6124">
        <v>10009</v>
      </c>
      <c r="G6124" t="s">
        <v>57</v>
      </c>
      <c r="H6124" t="s">
        <v>19</v>
      </c>
      <c r="I6124" t="s">
        <v>21</v>
      </c>
      <c r="J6124">
        <v>327.99599999999998</v>
      </c>
      <c r="K6124">
        <v>6</v>
      </c>
      <c r="L6124">
        <v>0.1</v>
      </c>
      <c r="M6124">
        <v>54.665999999999997</v>
      </c>
    </row>
    <row r="6125" spans="1:13" x14ac:dyDescent="0.3">
      <c r="A6125" t="s">
        <v>62</v>
      </c>
      <c r="B6125" t="s">
        <v>22</v>
      </c>
      <c r="C6125" t="s">
        <v>15</v>
      </c>
      <c r="D6125" t="s">
        <v>52</v>
      </c>
      <c r="E6125" t="s">
        <v>24</v>
      </c>
      <c r="F6125">
        <v>94109</v>
      </c>
      <c r="G6125" t="s">
        <v>25</v>
      </c>
      <c r="H6125" t="s">
        <v>26</v>
      </c>
      <c r="I6125" t="s">
        <v>37</v>
      </c>
      <c r="J6125">
        <v>49.408000000000001</v>
      </c>
      <c r="K6125">
        <v>4</v>
      </c>
      <c r="L6125">
        <v>0.2</v>
      </c>
      <c r="M6125">
        <v>18.527999999999999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35</v>
      </c>
      <c r="I6126" t="s">
        <v>59</v>
      </c>
      <c r="J6126">
        <v>53.25</v>
      </c>
      <c r="K6126">
        <v>3</v>
      </c>
      <c r="L6126">
        <v>0</v>
      </c>
      <c r="M6126">
        <v>20.767499999999998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258</v>
      </c>
      <c r="E6127" t="s">
        <v>83</v>
      </c>
      <c r="F6127">
        <v>23464</v>
      </c>
      <c r="G6127" t="s">
        <v>18</v>
      </c>
      <c r="H6127" t="s">
        <v>26</v>
      </c>
      <c r="I6127" t="s">
        <v>77</v>
      </c>
      <c r="J6127">
        <v>3.76</v>
      </c>
      <c r="K6127">
        <v>2</v>
      </c>
      <c r="L6127">
        <v>0</v>
      </c>
      <c r="M6127">
        <v>1.3160000000000001</v>
      </c>
    </row>
    <row r="6128" spans="1:13" x14ac:dyDescent="0.3">
      <c r="A6128" t="s">
        <v>28</v>
      </c>
      <c r="B6128" t="s">
        <v>44</v>
      </c>
      <c r="C6128" t="s">
        <v>15</v>
      </c>
      <c r="D6128" t="s">
        <v>75</v>
      </c>
      <c r="E6128" t="s">
        <v>76</v>
      </c>
      <c r="F6128">
        <v>10011</v>
      </c>
      <c r="G6128" t="s">
        <v>57</v>
      </c>
      <c r="H6128" t="s">
        <v>19</v>
      </c>
      <c r="I6128" t="s">
        <v>21</v>
      </c>
      <c r="J6128">
        <v>767.21400000000006</v>
      </c>
      <c r="K6128">
        <v>14</v>
      </c>
      <c r="L6128">
        <v>0.1</v>
      </c>
      <c r="M6128">
        <v>161.9674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557</v>
      </c>
      <c r="E6129" t="s">
        <v>86</v>
      </c>
      <c r="F6129">
        <v>37087</v>
      </c>
      <c r="G6129" t="s">
        <v>18</v>
      </c>
      <c r="H6129" t="s">
        <v>26</v>
      </c>
      <c r="I6129" t="s">
        <v>41</v>
      </c>
      <c r="J6129">
        <v>163.96</v>
      </c>
      <c r="K6129">
        <v>5</v>
      </c>
      <c r="L6129">
        <v>0.2</v>
      </c>
      <c r="M6129">
        <v>59.435499999999998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23</v>
      </c>
      <c r="E6130" t="s">
        <v>24</v>
      </c>
      <c r="F6130">
        <v>90045</v>
      </c>
      <c r="G6130" t="s">
        <v>25</v>
      </c>
      <c r="H6130" t="s">
        <v>19</v>
      </c>
      <c r="I6130" t="s">
        <v>31</v>
      </c>
      <c r="J6130">
        <v>161.28</v>
      </c>
      <c r="K6130">
        <v>2</v>
      </c>
      <c r="L6130">
        <v>0.2</v>
      </c>
      <c r="M6130">
        <v>12.096</v>
      </c>
    </row>
    <row r="6131" spans="1:13" x14ac:dyDescent="0.3">
      <c r="A6131" t="s">
        <v>168</v>
      </c>
      <c r="B6131" t="s">
        <v>14</v>
      </c>
      <c r="C6131" t="s">
        <v>15</v>
      </c>
      <c r="D6131" t="s">
        <v>464</v>
      </c>
      <c r="E6131" t="s">
        <v>24</v>
      </c>
      <c r="F6131">
        <v>91911</v>
      </c>
      <c r="G6131" t="s">
        <v>25</v>
      </c>
      <c r="H6131" t="s">
        <v>26</v>
      </c>
      <c r="I6131" t="s">
        <v>34</v>
      </c>
      <c r="J6131">
        <v>192.8</v>
      </c>
      <c r="K6131">
        <v>4</v>
      </c>
      <c r="L6131">
        <v>0</v>
      </c>
      <c r="M6131">
        <v>55.911999999999999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35</v>
      </c>
      <c r="I6132" t="s">
        <v>59</v>
      </c>
      <c r="J6132">
        <v>27.696000000000002</v>
      </c>
      <c r="K6132">
        <v>3</v>
      </c>
      <c r="L6132">
        <v>0.2</v>
      </c>
      <c r="M6132">
        <v>3.4620000000000002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482</v>
      </c>
      <c r="E6133" t="s">
        <v>46</v>
      </c>
      <c r="F6133">
        <v>78501</v>
      </c>
      <c r="G6133" t="s">
        <v>47</v>
      </c>
      <c r="H6133" t="s">
        <v>26</v>
      </c>
      <c r="I6133" t="s">
        <v>38</v>
      </c>
      <c r="J6133">
        <v>73.164000000000001</v>
      </c>
      <c r="K6133">
        <v>6</v>
      </c>
      <c r="L6133">
        <v>0.8</v>
      </c>
      <c r="M6133">
        <v>-186.56819999999999</v>
      </c>
    </row>
    <row r="6134" spans="1:13" x14ac:dyDescent="0.3">
      <c r="A6134" t="s">
        <v>13</v>
      </c>
      <c r="B6134" t="s">
        <v>14</v>
      </c>
      <c r="C6134" t="s">
        <v>15</v>
      </c>
      <c r="D6134" t="s">
        <v>479</v>
      </c>
      <c r="E6134" t="s">
        <v>30</v>
      </c>
      <c r="F6134">
        <v>33021</v>
      </c>
      <c r="G6134" t="s">
        <v>18</v>
      </c>
      <c r="H6134" t="s">
        <v>26</v>
      </c>
      <c r="I6134" t="s">
        <v>41</v>
      </c>
      <c r="J6134">
        <v>32.064</v>
      </c>
      <c r="K6134">
        <v>6</v>
      </c>
      <c r="L6134">
        <v>0.2</v>
      </c>
      <c r="M6134">
        <v>11.2224</v>
      </c>
    </row>
    <row r="6135" spans="1:13" x14ac:dyDescent="0.3">
      <c r="A6135" t="s">
        <v>28</v>
      </c>
      <c r="B6135" t="s">
        <v>14</v>
      </c>
      <c r="C6135" t="s">
        <v>15</v>
      </c>
      <c r="D6135" t="s">
        <v>52</v>
      </c>
      <c r="E6135" t="s">
        <v>24</v>
      </c>
      <c r="F6135">
        <v>94110</v>
      </c>
      <c r="G6135" t="s">
        <v>25</v>
      </c>
      <c r="H6135" t="s">
        <v>19</v>
      </c>
      <c r="I6135" t="s">
        <v>20</v>
      </c>
      <c r="J6135">
        <v>205.666</v>
      </c>
      <c r="K6135">
        <v>2</v>
      </c>
      <c r="L6135">
        <v>0.15</v>
      </c>
      <c r="M6135">
        <v>-12.098000000000001</v>
      </c>
    </row>
    <row r="6136" spans="1:13" x14ac:dyDescent="0.3">
      <c r="A6136" t="s">
        <v>62</v>
      </c>
      <c r="B6136" t="s">
        <v>14</v>
      </c>
      <c r="C6136" t="s">
        <v>15</v>
      </c>
      <c r="D6136" t="s">
        <v>558</v>
      </c>
      <c r="E6136" t="s">
        <v>24</v>
      </c>
      <c r="F6136">
        <v>93454</v>
      </c>
      <c r="G6136" t="s">
        <v>25</v>
      </c>
      <c r="H6136" t="s">
        <v>26</v>
      </c>
      <c r="I6136" t="s">
        <v>32</v>
      </c>
      <c r="J6136">
        <v>115.44</v>
      </c>
      <c r="K6136">
        <v>3</v>
      </c>
      <c r="L6136">
        <v>0</v>
      </c>
      <c r="M6136">
        <v>30.014399999999998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41</v>
      </c>
      <c r="J6137">
        <v>274.8</v>
      </c>
      <c r="K6137">
        <v>5</v>
      </c>
      <c r="L6137">
        <v>0</v>
      </c>
      <c r="M6137">
        <v>134.65199999999999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26</v>
      </c>
      <c r="I6138" t="s">
        <v>32</v>
      </c>
      <c r="J6138">
        <v>195.64</v>
      </c>
      <c r="K6138">
        <v>4</v>
      </c>
      <c r="L6138">
        <v>0</v>
      </c>
      <c r="M6138">
        <v>3.9127999999999998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35</v>
      </c>
      <c r="I6139" t="s">
        <v>36</v>
      </c>
      <c r="J6139">
        <v>257.98</v>
      </c>
      <c r="K6139">
        <v>2</v>
      </c>
      <c r="L6139">
        <v>0</v>
      </c>
      <c r="M6139">
        <v>74.8142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169</v>
      </c>
      <c r="E6140" t="s">
        <v>127</v>
      </c>
      <c r="F6140">
        <v>6040</v>
      </c>
      <c r="G6140" t="s">
        <v>57</v>
      </c>
      <c r="H6140" t="s">
        <v>26</v>
      </c>
      <c r="I6140" t="s">
        <v>34</v>
      </c>
      <c r="J6140">
        <v>119.04</v>
      </c>
      <c r="K6140">
        <v>6</v>
      </c>
      <c r="L6140">
        <v>0</v>
      </c>
      <c r="M6140">
        <v>48.806399999999996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238</v>
      </c>
      <c r="E6141" t="s">
        <v>54</v>
      </c>
      <c r="F6141">
        <v>68104</v>
      </c>
      <c r="G6141" t="s">
        <v>47</v>
      </c>
      <c r="H6141" t="s">
        <v>26</v>
      </c>
      <c r="I6141" t="s">
        <v>41</v>
      </c>
      <c r="J6141">
        <v>20.07</v>
      </c>
      <c r="K6141">
        <v>3</v>
      </c>
      <c r="L6141">
        <v>0</v>
      </c>
      <c r="M6141">
        <v>9.2322000000000006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117</v>
      </c>
      <c r="E6142" t="s">
        <v>24</v>
      </c>
      <c r="F6142">
        <v>95123</v>
      </c>
      <c r="G6142" t="s">
        <v>25</v>
      </c>
      <c r="H6142" t="s">
        <v>26</v>
      </c>
      <c r="I6142" t="s">
        <v>34</v>
      </c>
      <c r="J6142">
        <v>11.76</v>
      </c>
      <c r="K6142">
        <v>4</v>
      </c>
      <c r="L6142">
        <v>0</v>
      </c>
      <c r="M6142">
        <v>3.1751999999999998</v>
      </c>
    </row>
    <row r="6143" spans="1:13" x14ac:dyDescent="0.3">
      <c r="A6143" t="s">
        <v>28</v>
      </c>
      <c r="B6143" t="s">
        <v>22</v>
      </c>
      <c r="C6143" t="s">
        <v>15</v>
      </c>
      <c r="D6143" t="s">
        <v>52</v>
      </c>
      <c r="E6143" t="s">
        <v>24</v>
      </c>
      <c r="F6143">
        <v>94122</v>
      </c>
      <c r="G6143" t="s">
        <v>25</v>
      </c>
      <c r="H6143" t="s">
        <v>26</v>
      </c>
      <c r="I6143" t="s">
        <v>37</v>
      </c>
      <c r="J6143">
        <v>40.735999999999997</v>
      </c>
      <c r="K6143">
        <v>2</v>
      </c>
      <c r="L6143">
        <v>0.2</v>
      </c>
      <c r="M6143">
        <v>14.7668</v>
      </c>
    </row>
    <row r="6144" spans="1:13" x14ac:dyDescent="0.3">
      <c r="A6144" t="s">
        <v>13</v>
      </c>
      <c r="B6144" t="s">
        <v>14</v>
      </c>
      <c r="C6144" t="s">
        <v>15</v>
      </c>
      <c r="D6144" t="s">
        <v>52</v>
      </c>
      <c r="E6144" t="s">
        <v>24</v>
      </c>
      <c r="F6144">
        <v>94109</v>
      </c>
      <c r="G6144" t="s">
        <v>25</v>
      </c>
      <c r="H6144" t="s">
        <v>35</v>
      </c>
      <c r="I6144" t="s">
        <v>36</v>
      </c>
      <c r="J6144">
        <v>201.584</v>
      </c>
      <c r="K6144">
        <v>2</v>
      </c>
      <c r="L6144">
        <v>0.2</v>
      </c>
      <c r="M6144">
        <v>12.599</v>
      </c>
    </row>
    <row r="6145" spans="1:13" x14ac:dyDescent="0.3">
      <c r="A6145" t="s">
        <v>62</v>
      </c>
      <c r="B6145" t="s">
        <v>22</v>
      </c>
      <c r="C6145" t="s">
        <v>15</v>
      </c>
      <c r="D6145" t="s">
        <v>159</v>
      </c>
      <c r="E6145" t="s">
        <v>24</v>
      </c>
      <c r="F6145">
        <v>90805</v>
      </c>
      <c r="G6145" t="s">
        <v>25</v>
      </c>
      <c r="H6145" t="s">
        <v>19</v>
      </c>
      <c r="I6145" t="s">
        <v>21</v>
      </c>
      <c r="J6145">
        <v>340.70400000000001</v>
      </c>
      <c r="K6145">
        <v>6</v>
      </c>
      <c r="L6145">
        <v>0.2</v>
      </c>
      <c r="M6145">
        <v>-34.070399999999999</v>
      </c>
    </row>
    <row r="6146" spans="1:13" x14ac:dyDescent="0.3">
      <c r="A6146" t="s">
        <v>62</v>
      </c>
      <c r="B6146" t="s">
        <v>14</v>
      </c>
      <c r="C6146" t="s">
        <v>15</v>
      </c>
      <c r="D6146" t="s">
        <v>103</v>
      </c>
      <c r="E6146" t="s">
        <v>167</v>
      </c>
      <c r="F6146">
        <v>31907</v>
      </c>
      <c r="G6146" t="s">
        <v>18</v>
      </c>
      <c r="H6146" t="s">
        <v>19</v>
      </c>
      <c r="I6146" t="s">
        <v>20</v>
      </c>
      <c r="J6146">
        <v>354.9</v>
      </c>
      <c r="K6146">
        <v>5</v>
      </c>
      <c r="L6146">
        <v>0</v>
      </c>
      <c r="M6146">
        <v>88.724999999999994</v>
      </c>
    </row>
    <row r="6147" spans="1:13" x14ac:dyDescent="0.3">
      <c r="A6147" t="s">
        <v>13</v>
      </c>
      <c r="B6147" t="s">
        <v>44</v>
      </c>
      <c r="C6147" t="s">
        <v>15</v>
      </c>
      <c r="D6147" t="s">
        <v>52</v>
      </c>
      <c r="E6147" t="s">
        <v>24</v>
      </c>
      <c r="F6147">
        <v>94110</v>
      </c>
      <c r="G6147" t="s">
        <v>25</v>
      </c>
      <c r="H6147" t="s">
        <v>19</v>
      </c>
      <c r="I6147" t="s">
        <v>20</v>
      </c>
      <c r="J6147">
        <v>1198.33</v>
      </c>
      <c r="K6147">
        <v>10</v>
      </c>
      <c r="L6147">
        <v>0.15</v>
      </c>
      <c r="M6147">
        <v>70.489999999999995</v>
      </c>
    </row>
    <row r="6148" spans="1:13" x14ac:dyDescent="0.3">
      <c r="A6148" t="s">
        <v>28</v>
      </c>
      <c r="B6148" t="s">
        <v>14</v>
      </c>
      <c r="C6148" t="s">
        <v>15</v>
      </c>
      <c r="D6148" t="s">
        <v>23</v>
      </c>
      <c r="E6148" t="s">
        <v>24</v>
      </c>
      <c r="F6148">
        <v>90004</v>
      </c>
      <c r="G6148" t="s">
        <v>25</v>
      </c>
      <c r="H6148" t="s">
        <v>26</v>
      </c>
      <c r="I6148" t="s">
        <v>32</v>
      </c>
      <c r="J6148">
        <v>87.92</v>
      </c>
      <c r="K6148">
        <v>4</v>
      </c>
      <c r="L6148">
        <v>0</v>
      </c>
      <c r="M6148">
        <v>0.87919999999999998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19</v>
      </c>
      <c r="I6149" t="s">
        <v>33</v>
      </c>
      <c r="J6149">
        <v>51.968000000000004</v>
      </c>
      <c r="K6149">
        <v>2</v>
      </c>
      <c r="L6149">
        <v>0.2</v>
      </c>
      <c r="M6149">
        <v>10.393599999999999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51.335999999999999</v>
      </c>
      <c r="K6150">
        <v>3</v>
      </c>
      <c r="L6150">
        <v>0.2</v>
      </c>
      <c r="M6150">
        <v>5.7752999999999997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26</v>
      </c>
      <c r="I6151" t="s">
        <v>32</v>
      </c>
      <c r="J6151">
        <v>332.70400000000001</v>
      </c>
      <c r="K6151">
        <v>1</v>
      </c>
      <c r="L6151">
        <v>0.2</v>
      </c>
      <c r="M6151">
        <v>33.270400000000002</v>
      </c>
    </row>
    <row r="6152" spans="1:13" x14ac:dyDescent="0.3">
      <c r="A6152" t="s">
        <v>62</v>
      </c>
      <c r="B6152" t="s">
        <v>22</v>
      </c>
      <c r="C6152" t="s">
        <v>15</v>
      </c>
      <c r="D6152" t="s">
        <v>55</v>
      </c>
      <c r="E6152" t="s">
        <v>56</v>
      </c>
      <c r="F6152">
        <v>19120</v>
      </c>
      <c r="G6152" t="s">
        <v>57</v>
      </c>
      <c r="H6152" t="s">
        <v>19</v>
      </c>
      <c r="I6152" t="s">
        <v>33</v>
      </c>
      <c r="J6152">
        <v>42.408000000000001</v>
      </c>
      <c r="K6152">
        <v>3</v>
      </c>
      <c r="L6152">
        <v>0.2</v>
      </c>
      <c r="M6152">
        <v>9.5418000000000003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26</v>
      </c>
      <c r="I6153" t="s">
        <v>60</v>
      </c>
      <c r="J6153">
        <v>81.540000000000006</v>
      </c>
      <c r="K6153">
        <v>3</v>
      </c>
      <c r="L6153">
        <v>0</v>
      </c>
      <c r="M6153">
        <v>38.323799999999999</v>
      </c>
    </row>
    <row r="6154" spans="1:13" x14ac:dyDescent="0.3">
      <c r="A6154" t="s">
        <v>13</v>
      </c>
      <c r="B6154" t="s">
        <v>14</v>
      </c>
      <c r="C6154" t="s">
        <v>15</v>
      </c>
      <c r="D6154" t="s">
        <v>337</v>
      </c>
      <c r="E6154" t="s">
        <v>119</v>
      </c>
      <c r="F6154">
        <v>74133</v>
      </c>
      <c r="G6154" t="s">
        <v>47</v>
      </c>
      <c r="H6154" t="s">
        <v>35</v>
      </c>
      <c r="I6154" t="s">
        <v>59</v>
      </c>
      <c r="J6154">
        <v>167.28</v>
      </c>
      <c r="K6154">
        <v>12</v>
      </c>
      <c r="L6154">
        <v>0</v>
      </c>
      <c r="M6154">
        <v>23.4192</v>
      </c>
    </row>
    <row r="6155" spans="1:13" x14ac:dyDescent="0.3">
      <c r="A6155" t="s">
        <v>28</v>
      </c>
      <c r="B6155" t="s">
        <v>14</v>
      </c>
      <c r="C6155" t="s">
        <v>15</v>
      </c>
      <c r="D6155" t="s">
        <v>23</v>
      </c>
      <c r="E6155" t="s">
        <v>24</v>
      </c>
      <c r="F6155">
        <v>90049</v>
      </c>
      <c r="G6155" t="s">
        <v>25</v>
      </c>
      <c r="H6155" t="s">
        <v>26</v>
      </c>
      <c r="I6155" t="s">
        <v>32</v>
      </c>
      <c r="J6155">
        <v>772.68</v>
      </c>
      <c r="K6155">
        <v>4</v>
      </c>
      <c r="L6155">
        <v>0</v>
      </c>
      <c r="M6155">
        <v>108.1752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35</v>
      </c>
      <c r="I6156" t="s">
        <v>36</v>
      </c>
      <c r="J6156">
        <v>323.976</v>
      </c>
      <c r="K6156">
        <v>3</v>
      </c>
      <c r="L6156">
        <v>0.2</v>
      </c>
      <c r="M6156">
        <v>28.347899999999999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27</v>
      </c>
      <c r="J6157">
        <v>11.808</v>
      </c>
      <c r="K6157">
        <v>4</v>
      </c>
      <c r="L6157">
        <v>0.2</v>
      </c>
      <c r="M6157">
        <v>3.9851999999999999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32</v>
      </c>
      <c r="J6158">
        <v>26.16</v>
      </c>
      <c r="K6158">
        <v>3</v>
      </c>
      <c r="L6158">
        <v>0.2</v>
      </c>
      <c r="M6158">
        <v>1.962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26</v>
      </c>
      <c r="I6159" t="s">
        <v>37</v>
      </c>
      <c r="J6159">
        <v>33.57</v>
      </c>
      <c r="K6159">
        <v>5</v>
      </c>
      <c r="L6159">
        <v>0.7</v>
      </c>
      <c r="M6159">
        <v>-25.736999999999998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4.992</v>
      </c>
      <c r="K6160">
        <v>3</v>
      </c>
      <c r="L6160">
        <v>0.2</v>
      </c>
      <c r="M6160">
        <v>1.3728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19</v>
      </c>
      <c r="I6161" t="s">
        <v>33</v>
      </c>
      <c r="J6161">
        <v>20.015999999999998</v>
      </c>
      <c r="K6161">
        <v>3</v>
      </c>
      <c r="L6161">
        <v>0.2</v>
      </c>
      <c r="M6161">
        <v>5.5044000000000004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59</v>
      </c>
      <c r="J6162">
        <v>170.24</v>
      </c>
      <c r="K6162">
        <v>2</v>
      </c>
      <c r="L6162">
        <v>0.2</v>
      </c>
      <c r="M6162">
        <v>53.2</v>
      </c>
    </row>
    <row r="6163" spans="1:13" x14ac:dyDescent="0.3">
      <c r="A6163" t="s">
        <v>28</v>
      </c>
      <c r="B6163" t="s">
        <v>14</v>
      </c>
      <c r="C6163" t="s">
        <v>15</v>
      </c>
      <c r="D6163" t="s">
        <v>61</v>
      </c>
      <c r="E6163" t="s">
        <v>46</v>
      </c>
      <c r="F6163">
        <v>77036</v>
      </c>
      <c r="G6163" t="s">
        <v>47</v>
      </c>
      <c r="H6163" t="s">
        <v>26</v>
      </c>
      <c r="I6163" t="s">
        <v>41</v>
      </c>
      <c r="J6163">
        <v>117.456</v>
      </c>
      <c r="K6163">
        <v>3</v>
      </c>
      <c r="L6163">
        <v>0.2</v>
      </c>
      <c r="M6163">
        <v>44.045999999999999</v>
      </c>
    </row>
    <row r="6164" spans="1:13" x14ac:dyDescent="0.3">
      <c r="A6164" t="s">
        <v>13</v>
      </c>
      <c r="B6164" t="s">
        <v>22</v>
      </c>
      <c r="C6164" t="s">
        <v>15</v>
      </c>
      <c r="D6164" t="s">
        <v>23</v>
      </c>
      <c r="E6164" t="s">
        <v>24</v>
      </c>
      <c r="F6164">
        <v>90008</v>
      </c>
      <c r="G6164" t="s">
        <v>25</v>
      </c>
      <c r="H6164" t="s">
        <v>26</v>
      </c>
      <c r="I6164" t="s">
        <v>41</v>
      </c>
      <c r="J6164">
        <v>22.96</v>
      </c>
      <c r="K6164">
        <v>2</v>
      </c>
      <c r="L6164">
        <v>0</v>
      </c>
      <c r="M6164">
        <v>11.250400000000001</v>
      </c>
    </row>
    <row r="6165" spans="1:13" x14ac:dyDescent="0.3">
      <c r="A6165" t="s">
        <v>13</v>
      </c>
      <c r="B6165" t="s">
        <v>14</v>
      </c>
      <c r="C6165" t="s">
        <v>15</v>
      </c>
      <c r="D6165" t="s">
        <v>82</v>
      </c>
      <c r="E6165" t="s">
        <v>83</v>
      </c>
      <c r="F6165">
        <v>22153</v>
      </c>
      <c r="G6165" t="s">
        <v>18</v>
      </c>
      <c r="H6165" t="s">
        <v>26</v>
      </c>
      <c r="I6165" t="s">
        <v>41</v>
      </c>
      <c r="J6165">
        <v>13.36</v>
      </c>
      <c r="K6165">
        <v>2</v>
      </c>
      <c r="L6165">
        <v>0</v>
      </c>
      <c r="M6165">
        <v>6.4127999999999998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37</v>
      </c>
      <c r="J6166">
        <v>34.247999999999998</v>
      </c>
      <c r="K6166">
        <v>3</v>
      </c>
      <c r="L6166">
        <v>0.2</v>
      </c>
      <c r="M6166">
        <v>11.5587</v>
      </c>
    </row>
    <row r="6167" spans="1:13" x14ac:dyDescent="0.3">
      <c r="A6167" t="s">
        <v>13</v>
      </c>
      <c r="B6167" t="s">
        <v>22</v>
      </c>
      <c r="C6167" t="s">
        <v>15</v>
      </c>
      <c r="D6167" t="s">
        <v>75</v>
      </c>
      <c r="E6167" t="s">
        <v>76</v>
      </c>
      <c r="F6167">
        <v>10035</v>
      </c>
      <c r="G6167" t="s">
        <v>57</v>
      </c>
      <c r="H6167" t="s">
        <v>26</v>
      </c>
      <c r="I6167" t="s">
        <v>34</v>
      </c>
      <c r="J6167">
        <v>3.52</v>
      </c>
      <c r="K6167">
        <v>2</v>
      </c>
      <c r="L6167">
        <v>0</v>
      </c>
      <c r="M6167">
        <v>1.0207999999999999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26</v>
      </c>
      <c r="I6168" t="s">
        <v>37</v>
      </c>
      <c r="J6168">
        <v>26.7</v>
      </c>
      <c r="K6168">
        <v>5</v>
      </c>
      <c r="L6168">
        <v>0</v>
      </c>
      <c r="M6168">
        <v>12.548999999999999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35</v>
      </c>
      <c r="I6169" t="s">
        <v>59</v>
      </c>
      <c r="J6169">
        <v>21.2</v>
      </c>
      <c r="K6169">
        <v>2</v>
      </c>
      <c r="L6169">
        <v>0</v>
      </c>
      <c r="M6169">
        <v>9.1159999999999997</v>
      </c>
    </row>
    <row r="6170" spans="1:13" x14ac:dyDescent="0.3">
      <c r="A6170" t="s">
        <v>28</v>
      </c>
      <c r="B6170" t="s">
        <v>44</v>
      </c>
      <c r="C6170" t="s">
        <v>15</v>
      </c>
      <c r="D6170" t="s">
        <v>82</v>
      </c>
      <c r="E6170" t="s">
        <v>112</v>
      </c>
      <c r="F6170">
        <v>65807</v>
      </c>
      <c r="G6170" t="s">
        <v>47</v>
      </c>
      <c r="H6170" t="s">
        <v>26</v>
      </c>
      <c r="I6170" t="s">
        <v>32</v>
      </c>
      <c r="J6170">
        <v>838.38</v>
      </c>
      <c r="K6170">
        <v>2</v>
      </c>
      <c r="L6170">
        <v>0</v>
      </c>
      <c r="M6170">
        <v>226.36259999999999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19</v>
      </c>
      <c r="I6171" t="s">
        <v>21</v>
      </c>
      <c r="J6171">
        <v>1690.04</v>
      </c>
      <c r="K6171">
        <v>4</v>
      </c>
      <c r="L6171">
        <v>0</v>
      </c>
      <c r="M6171">
        <v>422.51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32</v>
      </c>
      <c r="J6172">
        <v>85.96</v>
      </c>
      <c r="K6172">
        <v>7</v>
      </c>
      <c r="L6172">
        <v>0</v>
      </c>
      <c r="M6172">
        <v>24.0688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60</v>
      </c>
      <c r="J6173">
        <v>121.96</v>
      </c>
      <c r="K6173">
        <v>2</v>
      </c>
      <c r="L6173">
        <v>0</v>
      </c>
      <c r="M6173">
        <v>57.321199999999997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41</v>
      </c>
      <c r="J6174">
        <v>23.92</v>
      </c>
      <c r="K6174">
        <v>4</v>
      </c>
      <c r="L6174">
        <v>0</v>
      </c>
      <c r="M6174">
        <v>11.720800000000001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26</v>
      </c>
      <c r="I6175" t="s">
        <v>32</v>
      </c>
      <c r="J6175">
        <v>63.96</v>
      </c>
      <c r="K6175">
        <v>2</v>
      </c>
      <c r="L6175">
        <v>0</v>
      </c>
      <c r="M6175">
        <v>6.3959999999999999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629.95000000000005</v>
      </c>
      <c r="K6176">
        <v>5</v>
      </c>
      <c r="L6176">
        <v>0</v>
      </c>
      <c r="M6176">
        <v>176.386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35</v>
      </c>
      <c r="I6177" t="s">
        <v>36</v>
      </c>
      <c r="J6177">
        <v>113.73</v>
      </c>
      <c r="K6177">
        <v>3</v>
      </c>
      <c r="L6177">
        <v>0</v>
      </c>
      <c r="M6177">
        <v>32.981699999999996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37</v>
      </c>
      <c r="J6178">
        <v>14.6</v>
      </c>
      <c r="K6178">
        <v>2</v>
      </c>
      <c r="L6178">
        <v>0</v>
      </c>
      <c r="M6178">
        <v>6.8620000000000001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32</v>
      </c>
      <c r="J6179">
        <v>887.84</v>
      </c>
      <c r="K6179">
        <v>8</v>
      </c>
      <c r="L6179">
        <v>0</v>
      </c>
      <c r="M6179">
        <v>17.756799999999998</v>
      </c>
    </row>
    <row r="6180" spans="1:13" x14ac:dyDescent="0.3">
      <c r="A6180" t="s">
        <v>62</v>
      </c>
      <c r="B6180" t="s">
        <v>44</v>
      </c>
      <c r="C6180" t="s">
        <v>15</v>
      </c>
      <c r="D6180" t="s">
        <v>94</v>
      </c>
      <c r="E6180" t="s">
        <v>95</v>
      </c>
      <c r="F6180">
        <v>97206</v>
      </c>
      <c r="G6180" t="s">
        <v>25</v>
      </c>
      <c r="H6180" t="s">
        <v>19</v>
      </c>
      <c r="I6180" t="s">
        <v>21</v>
      </c>
      <c r="J6180">
        <v>403.92</v>
      </c>
      <c r="K6180">
        <v>5</v>
      </c>
      <c r="L6180">
        <v>0.2</v>
      </c>
      <c r="M6180">
        <v>25.245000000000001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55</v>
      </c>
      <c r="E6181" t="s">
        <v>56</v>
      </c>
      <c r="F6181">
        <v>19120</v>
      </c>
      <c r="G6181" t="s">
        <v>57</v>
      </c>
      <c r="H6181" t="s">
        <v>26</v>
      </c>
      <c r="I6181" t="s">
        <v>34</v>
      </c>
      <c r="J6181">
        <v>106.8</v>
      </c>
      <c r="K6181">
        <v>10</v>
      </c>
      <c r="L6181">
        <v>0.2</v>
      </c>
      <c r="M6181">
        <v>10.68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32</v>
      </c>
      <c r="J6182">
        <v>70.95</v>
      </c>
      <c r="K6182">
        <v>3</v>
      </c>
      <c r="L6182">
        <v>0</v>
      </c>
      <c r="M6182">
        <v>20.575500000000002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37</v>
      </c>
      <c r="J6183">
        <v>34.944000000000003</v>
      </c>
      <c r="K6183">
        <v>6</v>
      </c>
      <c r="L6183">
        <v>0.2</v>
      </c>
      <c r="M6183">
        <v>11.7936</v>
      </c>
    </row>
    <row r="6184" spans="1:13" x14ac:dyDescent="0.3">
      <c r="A6184" t="s">
        <v>62</v>
      </c>
      <c r="B6184" t="s">
        <v>22</v>
      </c>
      <c r="C6184" t="s">
        <v>15</v>
      </c>
      <c r="D6184" t="s">
        <v>75</v>
      </c>
      <c r="E6184" t="s">
        <v>76</v>
      </c>
      <c r="F6184">
        <v>10035</v>
      </c>
      <c r="G6184" t="s">
        <v>57</v>
      </c>
      <c r="H6184" t="s">
        <v>26</v>
      </c>
      <c r="I6184" t="s">
        <v>34</v>
      </c>
      <c r="J6184">
        <v>119.04</v>
      </c>
      <c r="K6184">
        <v>6</v>
      </c>
      <c r="L6184">
        <v>0</v>
      </c>
      <c r="M6184">
        <v>35.712000000000003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559</v>
      </c>
      <c r="E6185" t="s">
        <v>65</v>
      </c>
      <c r="F6185">
        <v>60016</v>
      </c>
      <c r="G6185" t="s">
        <v>47</v>
      </c>
      <c r="H6185" t="s">
        <v>35</v>
      </c>
      <c r="I6185" t="s">
        <v>36</v>
      </c>
      <c r="J6185">
        <v>383.84</v>
      </c>
      <c r="K6185">
        <v>4</v>
      </c>
      <c r="L6185">
        <v>0.2</v>
      </c>
      <c r="M6185">
        <v>47.98</v>
      </c>
    </row>
    <row r="6186" spans="1:13" x14ac:dyDescent="0.3">
      <c r="A6186" t="s">
        <v>28</v>
      </c>
      <c r="B6186" t="s">
        <v>14</v>
      </c>
      <c r="C6186" t="s">
        <v>15</v>
      </c>
      <c r="D6186" t="s">
        <v>75</v>
      </c>
      <c r="E6186" t="s">
        <v>76</v>
      </c>
      <c r="F6186">
        <v>10035</v>
      </c>
      <c r="G6186" t="s">
        <v>57</v>
      </c>
      <c r="H6186" t="s">
        <v>19</v>
      </c>
      <c r="I6186" t="s">
        <v>33</v>
      </c>
      <c r="J6186">
        <v>799.56</v>
      </c>
      <c r="K6186">
        <v>9</v>
      </c>
      <c r="L6186">
        <v>0</v>
      </c>
      <c r="M6186">
        <v>207.88560000000001</v>
      </c>
    </row>
    <row r="6187" spans="1:13" x14ac:dyDescent="0.3">
      <c r="A6187" t="s">
        <v>168</v>
      </c>
      <c r="B6187" t="s">
        <v>14</v>
      </c>
      <c r="C6187" t="s">
        <v>15</v>
      </c>
      <c r="D6187" t="s">
        <v>42</v>
      </c>
      <c r="E6187" t="s">
        <v>43</v>
      </c>
      <c r="F6187">
        <v>98103</v>
      </c>
      <c r="G6187" t="s">
        <v>25</v>
      </c>
      <c r="H6187" t="s">
        <v>26</v>
      </c>
      <c r="I6187" t="s">
        <v>32</v>
      </c>
      <c r="J6187">
        <v>31.44</v>
      </c>
      <c r="K6187">
        <v>3</v>
      </c>
      <c r="L6187">
        <v>0</v>
      </c>
      <c r="M6187">
        <v>8.4887999999999995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41</v>
      </c>
      <c r="J6188">
        <v>25.92</v>
      </c>
      <c r="K6188">
        <v>5</v>
      </c>
      <c r="L6188">
        <v>0.2</v>
      </c>
      <c r="M6188">
        <v>9.0719999999999992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37</v>
      </c>
      <c r="J6189">
        <v>6.33</v>
      </c>
      <c r="K6189">
        <v>5</v>
      </c>
      <c r="L6189">
        <v>0.8</v>
      </c>
      <c r="M6189">
        <v>-9.8115000000000006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61</v>
      </c>
      <c r="E6190" t="s">
        <v>46</v>
      </c>
      <c r="F6190">
        <v>77095</v>
      </c>
      <c r="G6190" t="s">
        <v>47</v>
      </c>
      <c r="H6190" t="s">
        <v>26</v>
      </c>
      <c r="I6190" t="s">
        <v>41</v>
      </c>
      <c r="J6190">
        <v>75.88</v>
      </c>
      <c r="K6190">
        <v>5</v>
      </c>
      <c r="L6190">
        <v>0.2</v>
      </c>
      <c r="M6190">
        <v>26.558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35</v>
      </c>
      <c r="I6191" t="s">
        <v>36</v>
      </c>
      <c r="J6191">
        <v>329.988</v>
      </c>
      <c r="K6191">
        <v>2</v>
      </c>
      <c r="L6191">
        <v>0.4</v>
      </c>
      <c r="M6191">
        <v>-76.997200000000007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55</v>
      </c>
      <c r="E6192" t="s">
        <v>56</v>
      </c>
      <c r="F6192">
        <v>19143</v>
      </c>
      <c r="G6192" t="s">
        <v>57</v>
      </c>
      <c r="H6192" t="s">
        <v>26</v>
      </c>
      <c r="I6192" t="s">
        <v>32</v>
      </c>
      <c r="J6192">
        <v>71.376000000000005</v>
      </c>
      <c r="K6192">
        <v>3</v>
      </c>
      <c r="L6192">
        <v>0.2</v>
      </c>
      <c r="M6192">
        <v>-4.4610000000000003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26</v>
      </c>
      <c r="I6193" t="s">
        <v>41</v>
      </c>
      <c r="J6193">
        <v>63.77</v>
      </c>
      <c r="K6193">
        <v>7</v>
      </c>
      <c r="L6193">
        <v>0</v>
      </c>
      <c r="M6193">
        <v>28.6965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35</v>
      </c>
      <c r="I6194" t="s">
        <v>36</v>
      </c>
      <c r="J6194">
        <v>50.97</v>
      </c>
      <c r="K6194">
        <v>3</v>
      </c>
      <c r="L6194">
        <v>0</v>
      </c>
      <c r="M6194">
        <v>13.2522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103</v>
      </c>
      <c r="E6195" t="s">
        <v>74</v>
      </c>
      <c r="F6195">
        <v>47201</v>
      </c>
      <c r="G6195" t="s">
        <v>47</v>
      </c>
      <c r="H6195" t="s">
        <v>26</v>
      </c>
      <c r="I6195" t="s">
        <v>41</v>
      </c>
      <c r="J6195">
        <v>96.08</v>
      </c>
      <c r="K6195">
        <v>2</v>
      </c>
      <c r="L6195">
        <v>0</v>
      </c>
      <c r="M6195">
        <v>46.118400000000001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162</v>
      </c>
      <c r="J6196">
        <v>1439.9680000000001</v>
      </c>
      <c r="K6196">
        <v>4</v>
      </c>
      <c r="L6196">
        <v>0.2</v>
      </c>
      <c r="M6196">
        <v>485.98919999999998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231</v>
      </c>
      <c r="E6197" t="s">
        <v>65</v>
      </c>
      <c r="F6197">
        <v>60201</v>
      </c>
      <c r="G6197" t="s">
        <v>47</v>
      </c>
      <c r="H6197" t="s">
        <v>35</v>
      </c>
      <c r="I6197" t="s">
        <v>59</v>
      </c>
      <c r="J6197">
        <v>43.56</v>
      </c>
      <c r="K6197">
        <v>3</v>
      </c>
      <c r="L6197">
        <v>0.2</v>
      </c>
      <c r="M6197">
        <v>-4.9005000000000001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428</v>
      </c>
      <c r="E6198" t="s">
        <v>24</v>
      </c>
      <c r="F6198">
        <v>92307</v>
      </c>
      <c r="G6198" t="s">
        <v>25</v>
      </c>
      <c r="H6198" t="s">
        <v>19</v>
      </c>
      <c r="I6198" t="s">
        <v>21</v>
      </c>
      <c r="J6198">
        <v>563.91999999999996</v>
      </c>
      <c r="K6198">
        <v>5</v>
      </c>
      <c r="L6198">
        <v>0.2</v>
      </c>
      <c r="M6198">
        <v>7.0490000000000004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104</v>
      </c>
      <c r="F6199">
        <v>43229</v>
      </c>
      <c r="G6199" t="s">
        <v>57</v>
      </c>
      <c r="H6199" t="s">
        <v>35</v>
      </c>
      <c r="I6199" t="s">
        <v>36</v>
      </c>
      <c r="J6199">
        <v>235.15199999999999</v>
      </c>
      <c r="K6199">
        <v>8</v>
      </c>
      <c r="L6199">
        <v>0.4</v>
      </c>
      <c r="M6199">
        <v>-47.0304</v>
      </c>
    </row>
    <row r="6200" spans="1:13" x14ac:dyDescent="0.3">
      <c r="A6200" t="s">
        <v>62</v>
      </c>
      <c r="B6200" t="s">
        <v>44</v>
      </c>
      <c r="C6200" t="s">
        <v>15</v>
      </c>
      <c r="D6200" t="s">
        <v>378</v>
      </c>
      <c r="E6200" t="s">
        <v>104</v>
      </c>
      <c r="F6200">
        <v>43302</v>
      </c>
      <c r="G6200" t="s">
        <v>57</v>
      </c>
      <c r="H6200" t="s">
        <v>19</v>
      </c>
      <c r="I6200" t="s">
        <v>33</v>
      </c>
      <c r="J6200">
        <v>7.7119999999999997</v>
      </c>
      <c r="K6200">
        <v>2</v>
      </c>
      <c r="L6200">
        <v>0.2</v>
      </c>
      <c r="M6200">
        <v>1.7352000000000001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41</v>
      </c>
      <c r="J6201">
        <v>51.015999999999998</v>
      </c>
      <c r="K6201">
        <v>7</v>
      </c>
      <c r="L6201">
        <v>0.2</v>
      </c>
      <c r="M6201">
        <v>15.942500000000001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26</v>
      </c>
      <c r="I6202" t="s">
        <v>77</v>
      </c>
      <c r="J6202">
        <v>25.248000000000001</v>
      </c>
      <c r="K6202">
        <v>4</v>
      </c>
      <c r="L6202">
        <v>0.2</v>
      </c>
      <c r="M6202">
        <v>7.89</v>
      </c>
    </row>
    <row r="6203" spans="1:13" x14ac:dyDescent="0.3">
      <c r="A6203" t="s">
        <v>13</v>
      </c>
      <c r="B6203" t="s">
        <v>14</v>
      </c>
      <c r="C6203" t="s">
        <v>15</v>
      </c>
      <c r="D6203" t="s">
        <v>61</v>
      </c>
      <c r="E6203" t="s">
        <v>46</v>
      </c>
      <c r="F6203">
        <v>77095</v>
      </c>
      <c r="G6203" t="s">
        <v>47</v>
      </c>
      <c r="H6203" t="s">
        <v>19</v>
      </c>
      <c r="I6203" t="s">
        <v>21</v>
      </c>
      <c r="J6203">
        <v>56.686</v>
      </c>
      <c r="K6203">
        <v>1</v>
      </c>
      <c r="L6203">
        <v>0.3</v>
      </c>
      <c r="M6203">
        <v>-14.5764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378</v>
      </c>
      <c r="E6204" t="s">
        <v>104</v>
      </c>
      <c r="F6204">
        <v>43302</v>
      </c>
      <c r="G6204" t="s">
        <v>57</v>
      </c>
      <c r="H6204" t="s">
        <v>26</v>
      </c>
      <c r="I6204" t="s">
        <v>32</v>
      </c>
      <c r="J6204">
        <v>51.167999999999999</v>
      </c>
      <c r="K6204">
        <v>2</v>
      </c>
      <c r="L6204">
        <v>0.2</v>
      </c>
      <c r="M6204">
        <v>-6.3959999999999999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37</v>
      </c>
      <c r="J6205">
        <v>2793.5279999999998</v>
      </c>
      <c r="K6205">
        <v>9</v>
      </c>
      <c r="L6205">
        <v>0.2</v>
      </c>
      <c r="M6205">
        <v>942.81569999999999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26</v>
      </c>
      <c r="I6206" t="s">
        <v>32</v>
      </c>
      <c r="J6206">
        <v>1000.02</v>
      </c>
      <c r="K6206">
        <v>7</v>
      </c>
      <c r="L6206">
        <v>0</v>
      </c>
      <c r="M6206">
        <v>290.00580000000002</v>
      </c>
    </row>
    <row r="6207" spans="1:13" x14ac:dyDescent="0.3">
      <c r="A6207" t="s">
        <v>28</v>
      </c>
      <c r="B6207" t="s">
        <v>22</v>
      </c>
      <c r="C6207" t="s">
        <v>15</v>
      </c>
      <c r="D6207" t="s">
        <v>42</v>
      </c>
      <c r="E6207" t="s">
        <v>43</v>
      </c>
      <c r="F6207">
        <v>98103</v>
      </c>
      <c r="G6207" t="s">
        <v>25</v>
      </c>
      <c r="H6207" t="s">
        <v>19</v>
      </c>
      <c r="I6207" t="s">
        <v>33</v>
      </c>
      <c r="J6207">
        <v>65.94</v>
      </c>
      <c r="K6207">
        <v>3</v>
      </c>
      <c r="L6207">
        <v>0</v>
      </c>
      <c r="M6207">
        <v>22.419599999999999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77</v>
      </c>
      <c r="J6208">
        <v>18.239999999999998</v>
      </c>
      <c r="K6208">
        <v>3</v>
      </c>
      <c r="L6208">
        <v>0</v>
      </c>
      <c r="M6208">
        <v>9.1199999999999992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560</v>
      </c>
      <c r="E6209" t="s">
        <v>43</v>
      </c>
      <c r="F6209">
        <v>98632</v>
      </c>
      <c r="G6209" t="s">
        <v>25</v>
      </c>
      <c r="H6209" t="s">
        <v>26</v>
      </c>
      <c r="I6209" t="s">
        <v>38</v>
      </c>
      <c r="J6209">
        <v>76.12</v>
      </c>
      <c r="K6209">
        <v>2</v>
      </c>
      <c r="L6209">
        <v>0</v>
      </c>
      <c r="M6209">
        <v>22.0748</v>
      </c>
    </row>
    <row r="6210" spans="1:13" x14ac:dyDescent="0.3">
      <c r="A6210" t="s">
        <v>28</v>
      </c>
      <c r="B6210" t="s">
        <v>14</v>
      </c>
      <c r="C6210" t="s">
        <v>15</v>
      </c>
      <c r="D6210" t="s">
        <v>421</v>
      </c>
      <c r="E6210" t="s">
        <v>24</v>
      </c>
      <c r="F6210">
        <v>90278</v>
      </c>
      <c r="G6210" t="s">
        <v>25</v>
      </c>
      <c r="H6210" t="s">
        <v>26</v>
      </c>
      <c r="I6210" t="s">
        <v>60</v>
      </c>
      <c r="J6210">
        <v>7.64</v>
      </c>
      <c r="K6210">
        <v>1</v>
      </c>
      <c r="L6210">
        <v>0</v>
      </c>
      <c r="M6210">
        <v>3.7435999999999998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19</v>
      </c>
      <c r="I6211" t="s">
        <v>33</v>
      </c>
      <c r="J6211">
        <v>68.16</v>
      </c>
      <c r="K6211">
        <v>3</v>
      </c>
      <c r="L6211">
        <v>0</v>
      </c>
      <c r="M6211">
        <v>27.945599999999999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75</v>
      </c>
      <c r="E6212" t="s">
        <v>76</v>
      </c>
      <c r="F6212">
        <v>10035</v>
      </c>
      <c r="G6212" t="s">
        <v>57</v>
      </c>
      <c r="H6212" t="s">
        <v>26</v>
      </c>
      <c r="I6212" t="s">
        <v>60</v>
      </c>
      <c r="J6212">
        <v>62.24</v>
      </c>
      <c r="K6212">
        <v>8</v>
      </c>
      <c r="L6212">
        <v>0</v>
      </c>
      <c r="M6212">
        <v>29.252800000000001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183</v>
      </c>
      <c r="E6213" t="s">
        <v>17</v>
      </c>
      <c r="F6213">
        <v>40214</v>
      </c>
      <c r="G6213" t="s">
        <v>18</v>
      </c>
      <c r="H6213" t="s">
        <v>35</v>
      </c>
      <c r="I6213" t="s">
        <v>36</v>
      </c>
      <c r="J6213">
        <v>29.97</v>
      </c>
      <c r="K6213">
        <v>3</v>
      </c>
      <c r="L6213">
        <v>0</v>
      </c>
      <c r="M6213">
        <v>0.29970000000000002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125.7</v>
      </c>
      <c r="K6214">
        <v>6</v>
      </c>
      <c r="L6214">
        <v>0</v>
      </c>
      <c r="M6214">
        <v>35.195999999999998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35</v>
      </c>
      <c r="I6215" t="s">
        <v>36</v>
      </c>
      <c r="J6215">
        <v>191.98</v>
      </c>
      <c r="K6215">
        <v>2</v>
      </c>
      <c r="L6215">
        <v>0</v>
      </c>
      <c r="M6215">
        <v>51.834600000000002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232</v>
      </c>
      <c r="E6216" t="s">
        <v>70</v>
      </c>
      <c r="F6216">
        <v>48183</v>
      </c>
      <c r="G6216" t="s">
        <v>47</v>
      </c>
      <c r="H6216" t="s">
        <v>26</v>
      </c>
      <c r="I6216" t="s">
        <v>32</v>
      </c>
      <c r="J6216">
        <v>20.86</v>
      </c>
      <c r="K6216">
        <v>7</v>
      </c>
      <c r="L6216">
        <v>0</v>
      </c>
      <c r="M6216">
        <v>1.4601999999999999</v>
      </c>
    </row>
    <row r="6217" spans="1:13" x14ac:dyDescent="0.3">
      <c r="A6217" t="s">
        <v>13</v>
      </c>
      <c r="B6217" t="s">
        <v>14</v>
      </c>
      <c r="C6217" t="s">
        <v>15</v>
      </c>
      <c r="D6217" t="s">
        <v>23</v>
      </c>
      <c r="E6217" t="s">
        <v>24</v>
      </c>
      <c r="F6217">
        <v>90045</v>
      </c>
      <c r="G6217" t="s">
        <v>25</v>
      </c>
      <c r="H6217" t="s">
        <v>26</v>
      </c>
      <c r="I6217" t="s">
        <v>27</v>
      </c>
      <c r="J6217">
        <v>56.7</v>
      </c>
      <c r="K6217">
        <v>9</v>
      </c>
      <c r="L6217">
        <v>0</v>
      </c>
      <c r="M6217">
        <v>26.082000000000001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19</v>
      </c>
      <c r="I6218" t="s">
        <v>33</v>
      </c>
      <c r="J6218">
        <v>72.703999999999994</v>
      </c>
      <c r="K6218">
        <v>4</v>
      </c>
      <c r="L6218">
        <v>0.2</v>
      </c>
      <c r="M6218">
        <v>19.084800000000001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34</v>
      </c>
      <c r="J6219">
        <v>12.263999999999999</v>
      </c>
      <c r="K6219">
        <v>7</v>
      </c>
      <c r="L6219">
        <v>0.2</v>
      </c>
      <c r="M6219">
        <v>1.0730999999999999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561</v>
      </c>
      <c r="E6220" t="s">
        <v>86</v>
      </c>
      <c r="F6220">
        <v>37075</v>
      </c>
      <c r="G6220" t="s">
        <v>18</v>
      </c>
      <c r="H6220" t="s">
        <v>26</v>
      </c>
      <c r="I6220" t="s">
        <v>32</v>
      </c>
      <c r="J6220">
        <v>218.352</v>
      </c>
      <c r="K6220">
        <v>3</v>
      </c>
      <c r="L6220">
        <v>0.2</v>
      </c>
      <c r="M6220">
        <v>-54.588000000000001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20</v>
      </c>
      <c r="J6221">
        <v>66.293999999999997</v>
      </c>
      <c r="K6221">
        <v>1</v>
      </c>
      <c r="L6221">
        <v>0.7</v>
      </c>
      <c r="M6221">
        <v>-103.86060000000001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94</v>
      </c>
      <c r="E6222" t="s">
        <v>95</v>
      </c>
      <c r="F6222">
        <v>97206</v>
      </c>
      <c r="G6222" t="s">
        <v>25</v>
      </c>
      <c r="H6222" t="s">
        <v>19</v>
      </c>
      <c r="I6222" t="s">
        <v>21</v>
      </c>
      <c r="J6222">
        <v>291.16800000000001</v>
      </c>
      <c r="K6222">
        <v>4</v>
      </c>
      <c r="L6222">
        <v>0.2</v>
      </c>
      <c r="M6222">
        <v>-14.558400000000001</v>
      </c>
    </row>
    <row r="6223" spans="1:13" x14ac:dyDescent="0.3">
      <c r="A6223" t="s">
        <v>28</v>
      </c>
      <c r="B6223" t="s">
        <v>14</v>
      </c>
      <c r="C6223" t="s">
        <v>15</v>
      </c>
      <c r="D6223" t="s">
        <v>303</v>
      </c>
      <c r="E6223" t="s">
        <v>46</v>
      </c>
      <c r="F6223">
        <v>75061</v>
      </c>
      <c r="G6223" t="s">
        <v>47</v>
      </c>
      <c r="H6223" t="s">
        <v>35</v>
      </c>
      <c r="I6223" t="s">
        <v>36</v>
      </c>
      <c r="J6223">
        <v>88.775999999999996</v>
      </c>
      <c r="K6223">
        <v>3</v>
      </c>
      <c r="L6223">
        <v>0.2</v>
      </c>
      <c r="M6223">
        <v>7.7679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36</v>
      </c>
      <c r="J6224">
        <v>110.376</v>
      </c>
      <c r="K6224">
        <v>4</v>
      </c>
      <c r="L6224">
        <v>0.4</v>
      </c>
      <c r="M6224">
        <v>-20.235600000000002</v>
      </c>
    </row>
    <row r="6225" spans="1:13" x14ac:dyDescent="0.3">
      <c r="A6225" t="s">
        <v>28</v>
      </c>
      <c r="B6225" t="s">
        <v>44</v>
      </c>
      <c r="C6225" t="s">
        <v>15</v>
      </c>
      <c r="D6225" t="s">
        <v>221</v>
      </c>
      <c r="E6225" t="s">
        <v>104</v>
      </c>
      <c r="F6225">
        <v>44105</v>
      </c>
      <c r="G6225" t="s">
        <v>57</v>
      </c>
      <c r="H6225" t="s">
        <v>35</v>
      </c>
      <c r="I6225" t="s">
        <v>59</v>
      </c>
      <c r="J6225">
        <v>55.176000000000002</v>
      </c>
      <c r="K6225">
        <v>3</v>
      </c>
      <c r="L6225">
        <v>0.2</v>
      </c>
      <c r="M6225">
        <v>15.863099999999999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562</v>
      </c>
      <c r="E6226" t="s">
        <v>102</v>
      </c>
      <c r="F6226">
        <v>50701</v>
      </c>
      <c r="G6226" t="s">
        <v>47</v>
      </c>
      <c r="H6226" t="s">
        <v>26</v>
      </c>
      <c r="I6226" t="s">
        <v>34</v>
      </c>
      <c r="J6226">
        <v>30.32</v>
      </c>
      <c r="K6226">
        <v>4</v>
      </c>
      <c r="L6226">
        <v>0</v>
      </c>
      <c r="M6226">
        <v>11.8248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19</v>
      </c>
      <c r="I6227" t="s">
        <v>21</v>
      </c>
      <c r="J6227">
        <v>177.56800000000001</v>
      </c>
      <c r="K6227">
        <v>2</v>
      </c>
      <c r="L6227">
        <v>0.2</v>
      </c>
      <c r="M6227">
        <v>8.8783999999999992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19.440000000000001</v>
      </c>
      <c r="K6228">
        <v>3</v>
      </c>
      <c r="L6228">
        <v>0</v>
      </c>
      <c r="M6228">
        <v>9.3312000000000008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41</v>
      </c>
      <c r="J6229">
        <v>71.28</v>
      </c>
      <c r="K6229">
        <v>11</v>
      </c>
      <c r="L6229">
        <v>0</v>
      </c>
      <c r="M6229">
        <v>34.214399999999998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26</v>
      </c>
      <c r="I6230" t="s">
        <v>37</v>
      </c>
      <c r="J6230">
        <v>1471.96</v>
      </c>
      <c r="K6230">
        <v>5</v>
      </c>
      <c r="L6230">
        <v>0.2</v>
      </c>
      <c r="M6230">
        <v>459.98750000000001</v>
      </c>
    </row>
    <row r="6231" spans="1:13" x14ac:dyDescent="0.3">
      <c r="A6231" t="s">
        <v>168</v>
      </c>
      <c r="B6231" t="s">
        <v>14</v>
      </c>
      <c r="C6231" t="s">
        <v>15</v>
      </c>
      <c r="D6231" t="s">
        <v>42</v>
      </c>
      <c r="E6231" t="s">
        <v>43</v>
      </c>
      <c r="F6231">
        <v>98105</v>
      </c>
      <c r="G6231" t="s">
        <v>25</v>
      </c>
      <c r="H6231" t="s">
        <v>35</v>
      </c>
      <c r="I6231" t="s">
        <v>36</v>
      </c>
      <c r="J6231">
        <v>79.959999999999994</v>
      </c>
      <c r="K6231">
        <v>5</v>
      </c>
      <c r="L6231">
        <v>0.2</v>
      </c>
      <c r="M6231">
        <v>-17.991</v>
      </c>
    </row>
    <row r="6232" spans="1:13" x14ac:dyDescent="0.3">
      <c r="A6232" t="s">
        <v>28</v>
      </c>
      <c r="B6232" t="s">
        <v>22</v>
      </c>
      <c r="C6232" t="s">
        <v>15</v>
      </c>
      <c r="D6232" t="s">
        <v>55</v>
      </c>
      <c r="E6232" t="s">
        <v>56</v>
      </c>
      <c r="F6232">
        <v>19120</v>
      </c>
      <c r="G6232" t="s">
        <v>57</v>
      </c>
      <c r="H6232" t="s">
        <v>26</v>
      </c>
      <c r="I6232" t="s">
        <v>60</v>
      </c>
      <c r="J6232">
        <v>57.576000000000001</v>
      </c>
      <c r="K6232">
        <v>3</v>
      </c>
      <c r="L6232">
        <v>0.2</v>
      </c>
      <c r="M6232">
        <v>21.591000000000001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75</v>
      </c>
      <c r="E6233" t="s">
        <v>76</v>
      </c>
      <c r="F6233">
        <v>10009</v>
      </c>
      <c r="G6233" t="s">
        <v>57</v>
      </c>
      <c r="H6233" t="s">
        <v>26</v>
      </c>
      <c r="I6233" t="s">
        <v>37</v>
      </c>
      <c r="J6233">
        <v>26.335999999999999</v>
      </c>
      <c r="K6233">
        <v>4</v>
      </c>
      <c r="L6233">
        <v>0.2</v>
      </c>
      <c r="M6233">
        <v>9.2175999999999991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19</v>
      </c>
      <c r="I6234" t="s">
        <v>33</v>
      </c>
      <c r="J6234">
        <v>166.5</v>
      </c>
      <c r="K6234">
        <v>3</v>
      </c>
      <c r="L6234">
        <v>0</v>
      </c>
      <c r="M6234">
        <v>21.645</v>
      </c>
    </row>
    <row r="6235" spans="1:13" x14ac:dyDescent="0.3">
      <c r="A6235" t="s">
        <v>28</v>
      </c>
      <c r="B6235" t="s">
        <v>14</v>
      </c>
      <c r="C6235" t="s">
        <v>15</v>
      </c>
      <c r="D6235" t="s">
        <v>117</v>
      </c>
      <c r="E6235" t="s">
        <v>24</v>
      </c>
      <c r="F6235">
        <v>95123</v>
      </c>
      <c r="G6235" t="s">
        <v>25</v>
      </c>
      <c r="H6235" t="s">
        <v>26</v>
      </c>
      <c r="I6235" t="s">
        <v>32</v>
      </c>
      <c r="J6235">
        <v>360.38</v>
      </c>
      <c r="K6235">
        <v>2</v>
      </c>
      <c r="L6235">
        <v>0</v>
      </c>
      <c r="M6235">
        <v>93.698800000000006</v>
      </c>
    </row>
    <row r="6236" spans="1:13" x14ac:dyDescent="0.3">
      <c r="A6236" t="s">
        <v>13</v>
      </c>
      <c r="B6236" t="s">
        <v>14</v>
      </c>
      <c r="C6236" t="s">
        <v>15</v>
      </c>
      <c r="D6236" t="s">
        <v>23</v>
      </c>
      <c r="E6236" t="s">
        <v>24</v>
      </c>
      <c r="F6236">
        <v>90008</v>
      </c>
      <c r="G6236" t="s">
        <v>25</v>
      </c>
      <c r="H6236" t="s">
        <v>26</v>
      </c>
      <c r="I6236" t="s">
        <v>37</v>
      </c>
      <c r="J6236">
        <v>11.744</v>
      </c>
      <c r="K6236">
        <v>1</v>
      </c>
      <c r="L6236">
        <v>0.2</v>
      </c>
      <c r="M6236">
        <v>3.8168000000000002</v>
      </c>
    </row>
    <row r="6237" spans="1:13" x14ac:dyDescent="0.3">
      <c r="A6237" t="s">
        <v>13</v>
      </c>
      <c r="B6237" t="s">
        <v>22</v>
      </c>
      <c r="C6237" t="s">
        <v>15</v>
      </c>
      <c r="D6237" t="s">
        <v>39</v>
      </c>
      <c r="E6237" t="s">
        <v>247</v>
      </c>
      <c r="F6237">
        <v>3301</v>
      </c>
      <c r="G6237" t="s">
        <v>57</v>
      </c>
      <c r="H6237" t="s">
        <v>19</v>
      </c>
      <c r="I6237" t="s">
        <v>33</v>
      </c>
      <c r="J6237">
        <v>247.44</v>
      </c>
      <c r="K6237">
        <v>8</v>
      </c>
      <c r="L6237">
        <v>0</v>
      </c>
      <c r="M6237">
        <v>101.4504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90</v>
      </c>
      <c r="E6238" t="s">
        <v>86</v>
      </c>
      <c r="F6238">
        <v>38401</v>
      </c>
      <c r="G6238" t="s">
        <v>18</v>
      </c>
      <c r="H6238" t="s">
        <v>26</v>
      </c>
      <c r="I6238" t="s">
        <v>37</v>
      </c>
      <c r="J6238">
        <v>18.239999999999998</v>
      </c>
      <c r="K6238">
        <v>2</v>
      </c>
      <c r="L6238">
        <v>0.7</v>
      </c>
      <c r="M6238">
        <v>-14.592000000000001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319</v>
      </c>
      <c r="E6239" t="s">
        <v>43</v>
      </c>
      <c r="F6239">
        <v>98006</v>
      </c>
      <c r="G6239" t="s">
        <v>25</v>
      </c>
      <c r="H6239" t="s">
        <v>26</v>
      </c>
      <c r="I6239" t="s">
        <v>110</v>
      </c>
      <c r="J6239">
        <v>25.35</v>
      </c>
      <c r="K6239">
        <v>3</v>
      </c>
      <c r="L6239">
        <v>0</v>
      </c>
      <c r="M6239">
        <v>7.6050000000000004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26</v>
      </c>
      <c r="I6240" t="s">
        <v>34</v>
      </c>
      <c r="J6240">
        <v>119.04</v>
      </c>
      <c r="K6240">
        <v>6</v>
      </c>
      <c r="L6240">
        <v>0</v>
      </c>
      <c r="M6240">
        <v>30.950399999999998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19</v>
      </c>
      <c r="I6241" t="s">
        <v>33</v>
      </c>
      <c r="J6241">
        <v>22.14</v>
      </c>
      <c r="K6241">
        <v>3</v>
      </c>
      <c r="L6241">
        <v>0</v>
      </c>
      <c r="M6241">
        <v>6.4206000000000003</v>
      </c>
    </row>
    <row r="6242" spans="1:13" x14ac:dyDescent="0.3">
      <c r="A6242" t="s">
        <v>28</v>
      </c>
      <c r="B6242" t="s">
        <v>44</v>
      </c>
      <c r="C6242" t="s">
        <v>15</v>
      </c>
      <c r="D6242" t="s">
        <v>42</v>
      </c>
      <c r="E6242" t="s">
        <v>43</v>
      </c>
      <c r="F6242">
        <v>98105</v>
      </c>
      <c r="G6242" t="s">
        <v>25</v>
      </c>
      <c r="H6242" t="s">
        <v>35</v>
      </c>
      <c r="I6242" t="s">
        <v>59</v>
      </c>
      <c r="J6242">
        <v>13.98</v>
      </c>
      <c r="K6242">
        <v>2</v>
      </c>
      <c r="L6242">
        <v>0</v>
      </c>
      <c r="M6242">
        <v>6.0114000000000001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26</v>
      </c>
      <c r="I6243" t="s">
        <v>37</v>
      </c>
      <c r="J6243">
        <v>43.41</v>
      </c>
      <c r="K6243">
        <v>1</v>
      </c>
      <c r="L6243">
        <v>0</v>
      </c>
      <c r="M6243">
        <v>19.968599999999999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19</v>
      </c>
      <c r="I6244" t="s">
        <v>33</v>
      </c>
      <c r="J6244">
        <v>6.24</v>
      </c>
      <c r="K6244">
        <v>3</v>
      </c>
      <c r="L6244">
        <v>0</v>
      </c>
      <c r="M6244">
        <v>2.6208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38</v>
      </c>
      <c r="J6245">
        <v>465.16</v>
      </c>
      <c r="K6245">
        <v>2</v>
      </c>
      <c r="L6245">
        <v>0</v>
      </c>
      <c r="M6245">
        <v>120.94159999999999</v>
      </c>
    </row>
    <row r="6246" spans="1:13" x14ac:dyDescent="0.3">
      <c r="A6246" t="s">
        <v>28</v>
      </c>
      <c r="B6246" t="s">
        <v>14</v>
      </c>
      <c r="C6246" t="s">
        <v>15</v>
      </c>
      <c r="D6246" t="s">
        <v>103</v>
      </c>
      <c r="E6246" t="s">
        <v>74</v>
      </c>
      <c r="F6246">
        <v>47201</v>
      </c>
      <c r="G6246" t="s">
        <v>47</v>
      </c>
      <c r="H6246" t="s">
        <v>26</v>
      </c>
      <c r="I6246" t="s">
        <v>41</v>
      </c>
      <c r="J6246">
        <v>7.98</v>
      </c>
      <c r="K6246">
        <v>1</v>
      </c>
      <c r="L6246">
        <v>0</v>
      </c>
      <c r="M6246">
        <v>3.99</v>
      </c>
    </row>
    <row r="6247" spans="1:13" x14ac:dyDescent="0.3">
      <c r="A6247" t="s">
        <v>62</v>
      </c>
      <c r="B6247" t="s">
        <v>14</v>
      </c>
      <c r="C6247" t="s">
        <v>15</v>
      </c>
      <c r="D6247" t="s">
        <v>79</v>
      </c>
      <c r="E6247" t="s">
        <v>65</v>
      </c>
      <c r="F6247">
        <v>60623</v>
      </c>
      <c r="G6247" t="s">
        <v>47</v>
      </c>
      <c r="H6247" t="s">
        <v>26</v>
      </c>
      <c r="I6247" t="s">
        <v>38</v>
      </c>
      <c r="J6247">
        <v>2.3940000000000001</v>
      </c>
      <c r="K6247">
        <v>1</v>
      </c>
      <c r="L6247">
        <v>0.8</v>
      </c>
      <c r="M6247">
        <v>-6.3441000000000001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26</v>
      </c>
      <c r="I6248" t="s">
        <v>41</v>
      </c>
      <c r="J6248">
        <v>58.32</v>
      </c>
      <c r="K6248">
        <v>9</v>
      </c>
      <c r="L6248">
        <v>0</v>
      </c>
      <c r="M6248">
        <v>27.993600000000001</v>
      </c>
    </row>
    <row r="6249" spans="1:13" x14ac:dyDescent="0.3">
      <c r="A6249" t="s">
        <v>168</v>
      </c>
      <c r="B6249" t="s">
        <v>44</v>
      </c>
      <c r="C6249" t="s">
        <v>15</v>
      </c>
      <c r="D6249" t="s">
        <v>510</v>
      </c>
      <c r="E6249" t="s">
        <v>167</v>
      </c>
      <c r="F6249">
        <v>30062</v>
      </c>
      <c r="G6249" t="s">
        <v>18</v>
      </c>
      <c r="H6249" t="s">
        <v>35</v>
      </c>
      <c r="I6249" t="s">
        <v>36</v>
      </c>
      <c r="J6249">
        <v>200.97</v>
      </c>
      <c r="K6249">
        <v>3</v>
      </c>
      <c r="L6249">
        <v>0</v>
      </c>
      <c r="M6249">
        <v>50.2425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205</v>
      </c>
      <c r="E6250" t="s">
        <v>88</v>
      </c>
      <c r="F6250">
        <v>36116</v>
      </c>
      <c r="G6250" t="s">
        <v>18</v>
      </c>
      <c r="H6250" t="s">
        <v>19</v>
      </c>
      <c r="I6250" t="s">
        <v>33</v>
      </c>
      <c r="J6250">
        <v>21.36</v>
      </c>
      <c r="K6250">
        <v>8</v>
      </c>
      <c r="L6250">
        <v>0</v>
      </c>
      <c r="M6250">
        <v>8.1167999999999996</v>
      </c>
    </row>
    <row r="6251" spans="1:13" x14ac:dyDescent="0.3">
      <c r="A6251" t="s">
        <v>28</v>
      </c>
      <c r="B6251" t="s">
        <v>22</v>
      </c>
      <c r="C6251" t="s">
        <v>15</v>
      </c>
      <c r="D6251" t="s">
        <v>328</v>
      </c>
      <c r="E6251" t="s">
        <v>46</v>
      </c>
      <c r="F6251">
        <v>75023</v>
      </c>
      <c r="G6251" t="s">
        <v>47</v>
      </c>
      <c r="H6251" t="s">
        <v>26</v>
      </c>
      <c r="I6251" t="s">
        <v>27</v>
      </c>
      <c r="J6251">
        <v>9.8559999999999999</v>
      </c>
      <c r="K6251">
        <v>4</v>
      </c>
      <c r="L6251">
        <v>0.2</v>
      </c>
      <c r="M6251">
        <v>3.4496000000000002</v>
      </c>
    </row>
    <row r="6252" spans="1:13" x14ac:dyDescent="0.3">
      <c r="A6252" t="s">
        <v>13</v>
      </c>
      <c r="B6252" t="s">
        <v>44</v>
      </c>
      <c r="C6252" t="s">
        <v>15</v>
      </c>
      <c r="D6252" t="s">
        <v>150</v>
      </c>
      <c r="E6252" t="s">
        <v>30</v>
      </c>
      <c r="F6252">
        <v>33319</v>
      </c>
      <c r="G6252" t="s">
        <v>18</v>
      </c>
      <c r="H6252" t="s">
        <v>26</v>
      </c>
      <c r="I6252" t="s">
        <v>37</v>
      </c>
      <c r="J6252">
        <v>3.444</v>
      </c>
      <c r="K6252">
        <v>1</v>
      </c>
      <c r="L6252">
        <v>0.7</v>
      </c>
      <c r="M6252">
        <v>-2.5255999999999998</v>
      </c>
    </row>
    <row r="6253" spans="1:13" x14ac:dyDescent="0.3">
      <c r="A6253" t="s">
        <v>13</v>
      </c>
      <c r="B6253" t="s">
        <v>22</v>
      </c>
      <c r="C6253" t="s">
        <v>15</v>
      </c>
      <c r="D6253" t="s">
        <v>103</v>
      </c>
      <c r="E6253" t="s">
        <v>104</v>
      </c>
      <c r="F6253">
        <v>43229</v>
      </c>
      <c r="G6253" t="s">
        <v>57</v>
      </c>
      <c r="H6253" t="s">
        <v>26</v>
      </c>
      <c r="I6253" t="s">
        <v>110</v>
      </c>
      <c r="J6253">
        <v>384.59199999999998</v>
      </c>
      <c r="K6253">
        <v>2</v>
      </c>
      <c r="L6253">
        <v>0.2</v>
      </c>
      <c r="M6253">
        <v>-81.725800000000007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75</v>
      </c>
      <c r="E6254" t="s">
        <v>76</v>
      </c>
      <c r="F6254">
        <v>10009</v>
      </c>
      <c r="G6254" t="s">
        <v>57</v>
      </c>
      <c r="H6254" t="s">
        <v>26</v>
      </c>
      <c r="I6254" t="s">
        <v>60</v>
      </c>
      <c r="J6254">
        <v>22.92</v>
      </c>
      <c r="K6254">
        <v>3</v>
      </c>
      <c r="L6254">
        <v>0</v>
      </c>
      <c r="M6254">
        <v>11.2308</v>
      </c>
    </row>
    <row r="6255" spans="1:13" x14ac:dyDescent="0.3">
      <c r="A6255" t="s">
        <v>13</v>
      </c>
      <c r="B6255" t="s">
        <v>14</v>
      </c>
      <c r="C6255" t="s">
        <v>15</v>
      </c>
      <c r="D6255" t="s">
        <v>182</v>
      </c>
      <c r="E6255" t="s">
        <v>74</v>
      </c>
      <c r="F6255">
        <v>47374</v>
      </c>
      <c r="G6255" t="s">
        <v>47</v>
      </c>
      <c r="H6255" t="s">
        <v>26</v>
      </c>
      <c r="I6255" t="s">
        <v>37</v>
      </c>
      <c r="J6255">
        <v>11.36</v>
      </c>
      <c r="K6255">
        <v>4</v>
      </c>
      <c r="L6255">
        <v>0</v>
      </c>
      <c r="M6255">
        <v>5.5663999999999998</v>
      </c>
    </row>
    <row r="6256" spans="1:13" x14ac:dyDescent="0.3">
      <c r="A6256" t="s">
        <v>28</v>
      </c>
      <c r="B6256" t="s">
        <v>14</v>
      </c>
      <c r="C6256" t="s">
        <v>15</v>
      </c>
      <c r="D6256" t="s">
        <v>42</v>
      </c>
      <c r="E6256" t="s">
        <v>43</v>
      </c>
      <c r="F6256">
        <v>98115</v>
      </c>
      <c r="G6256" t="s">
        <v>25</v>
      </c>
      <c r="H6256" t="s">
        <v>26</v>
      </c>
      <c r="I6256" t="s">
        <v>37</v>
      </c>
      <c r="J6256">
        <v>14.592000000000001</v>
      </c>
      <c r="K6256">
        <v>3</v>
      </c>
      <c r="L6256">
        <v>0.2</v>
      </c>
      <c r="M6256">
        <v>4.9248000000000003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159</v>
      </c>
      <c r="E6257" t="s">
        <v>76</v>
      </c>
      <c r="F6257">
        <v>11561</v>
      </c>
      <c r="G6257" t="s">
        <v>57</v>
      </c>
      <c r="H6257" t="s">
        <v>26</v>
      </c>
      <c r="I6257" t="s">
        <v>27</v>
      </c>
      <c r="J6257">
        <v>41.4</v>
      </c>
      <c r="K6257">
        <v>4</v>
      </c>
      <c r="L6257">
        <v>0</v>
      </c>
      <c r="M6257">
        <v>19.872</v>
      </c>
    </row>
    <row r="6258" spans="1:13" x14ac:dyDescent="0.3">
      <c r="A6258" t="s">
        <v>62</v>
      </c>
      <c r="B6258" t="s">
        <v>22</v>
      </c>
      <c r="C6258" t="s">
        <v>15</v>
      </c>
      <c r="D6258" t="s">
        <v>264</v>
      </c>
      <c r="E6258" t="s">
        <v>65</v>
      </c>
      <c r="F6258">
        <v>61107</v>
      </c>
      <c r="G6258" t="s">
        <v>47</v>
      </c>
      <c r="H6258" t="s">
        <v>26</v>
      </c>
      <c r="I6258" t="s">
        <v>37</v>
      </c>
      <c r="J6258">
        <v>442.37200000000001</v>
      </c>
      <c r="K6258">
        <v>7</v>
      </c>
      <c r="L6258">
        <v>0.8</v>
      </c>
      <c r="M6258">
        <v>-729.91380000000004</v>
      </c>
    </row>
    <row r="6259" spans="1:13" x14ac:dyDescent="0.3">
      <c r="A6259" t="s">
        <v>28</v>
      </c>
      <c r="B6259" t="s">
        <v>22</v>
      </c>
      <c r="C6259" t="s">
        <v>15</v>
      </c>
      <c r="D6259" t="s">
        <v>103</v>
      </c>
      <c r="E6259" t="s">
        <v>167</v>
      </c>
      <c r="F6259">
        <v>31907</v>
      </c>
      <c r="G6259" t="s">
        <v>18</v>
      </c>
      <c r="H6259" t="s">
        <v>26</v>
      </c>
      <c r="I6259" t="s">
        <v>37</v>
      </c>
      <c r="J6259">
        <v>34.5</v>
      </c>
      <c r="K6259">
        <v>3</v>
      </c>
      <c r="L6259">
        <v>0</v>
      </c>
      <c r="M6259">
        <v>15.525</v>
      </c>
    </row>
    <row r="6260" spans="1:13" x14ac:dyDescent="0.3">
      <c r="A6260" t="s">
        <v>168</v>
      </c>
      <c r="B6260" t="s">
        <v>14</v>
      </c>
      <c r="C6260" t="s">
        <v>15</v>
      </c>
      <c r="D6260" t="s">
        <v>337</v>
      </c>
      <c r="E6260" t="s">
        <v>119</v>
      </c>
      <c r="F6260">
        <v>74133</v>
      </c>
      <c r="G6260" t="s">
        <v>47</v>
      </c>
      <c r="H6260" t="s">
        <v>26</v>
      </c>
      <c r="I6260" t="s">
        <v>37</v>
      </c>
      <c r="J6260">
        <v>28.85</v>
      </c>
      <c r="K6260">
        <v>5</v>
      </c>
      <c r="L6260">
        <v>0</v>
      </c>
      <c r="M6260">
        <v>14.425000000000001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3.488</v>
      </c>
      <c r="K6261">
        <v>2</v>
      </c>
      <c r="L6261">
        <v>0.2</v>
      </c>
      <c r="M6261">
        <v>1.1772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405</v>
      </c>
      <c r="E6262" t="s">
        <v>86</v>
      </c>
      <c r="F6262">
        <v>37211</v>
      </c>
      <c r="G6262" t="s">
        <v>18</v>
      </c>
      <c r="H6262" t="s">
        <v>26</v>
      </c>
      <c r="I6262" t="s">
        <v>41</v>
      </c>
      <c r="J6262">
        <v>143.85599999999999</v>
      </c>
      <c r="K6262">
        <v>9</v>
      </c>
      <c r="L6262">
        <v>0.2</v>
      </c>
      <c r="M6262">
        <v>48.551400000000001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35</v>
      </c>
      <c r="I6263" t="s">
        <v>36</v>
      </c>
      <c r="J6263">
        <v>311.98</v>
      </c>
      <c r="K6263">
        <v>2</v>
      </c>
      <c r="L6263">
        <v>0</v>
      </c>
      <c r="M6263">
        <v>93.593999999999994</v>
      </c>
    </row>
    <row r="6264" spans="1:13" x14ac:dyDescent="0.3">
      <c r="A6264" t="s">
        <v>13</v>
      </c>
      <c r="B6264" t="s">
        <v>44</v>
      </c>
      <c r="C6264" t="s">
        <v>15</v>
      </c>
      <c r="D6264" t="s">
        <v>563</v>
      </c>
      <c r="E6264" t="s">
        <v>166</v>
      </c>
      <c r="F6264">
        <v>2138</v>
      </c>
      <c r="G6264" t="s">
        <v>57</v>
      </c>
      <c r="H6264" t="s">
        <v>26</v>
      </c>
      <c r="I6264" t="s">
        <v>37</v>
      </c>
      <c r="J6264">
        <v>22.45</v>
      </c>
      <c r="K6264">
        <v>5</v>
      </c>
      <c r="L6264">
        <v>0</v>
      </c>
      <c r="M6264">
        <v>10.327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35</v>
      </c>
      <c r="I6265" t="s">
        <v>36</v>
      </c>
      <c r="J6265">
        <v>39.991999999999997</v>
      </c>
      <c r="K6265">
        <v>1</v>
      </c>
      <c r="L6265">
        <v>0.2</v>
      </c>
      <c r="M6265">
        <v>-7.9984000000000002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19</v>
      </c>
      <c r="I6266" t="s">
        <v>21</v>
      </c>
      <c r="J6266">
        <v>1159.056</v>
      </c>
      <c r="K6266">
        <v>9</v>
      </c>
      <c r="L6266">
        <v>0.2</v>
      </c>
      <c r="M6266">
        <v>43.464599999999997</v>
      </c>
    </row>
    <row r="6267" spans="1:13" x14ac:dyDescent="0.3">
      <c r="A6267" t="s">
        <v>28</v>
      </c>
      <c r="B6267" t="s">
        <v>22</v>
      </c>
      <c r="C6267" t="s">
        <v>15</v>
      </c>
      <c r="D6267" t="s">
        <v>267</v>
      </c>
      <c r="E6267" t="s">
        <v>24</v>
      </c>
      <c r="F6267">
        <v>94601</v>
      </c>
      <c r="G6267" t="s">
        <v>25</v>
      </c>
      <c r="H6267" t="s">
        <v>26</v>
      </c>
      <c r="I6267" t="s">
        <v>34</v>
      </c>
      <c r="J6267">
        <v>179.9</v>
      </c>
      <c r="K6267">
        <v>5</v>
      </c>
      <c r="L6267">
        <v>0</v>
      </c>
      <c r="M6267">
        <v>44.975000000000001</v>
      </c>
    </row>
    <row r="6268" spans="1:13" x14ac:dyDescent="0.3">
      <c r="A6268" t="s">
        <v>62</v>
      </c>
      <c r="B6268" t="s">
        <v>22</v>
      </c>
      <c r="C6268" t="s">
        <v>15</v>
      </c>
      <c r="D6268" t="s">
        <v>564</v>
      </c>
      <c r="E6268" t="s">
        <v>65</v>
      </c>
      <c r="F6268">
        <v>60067</v>
      </c>
      <c r="G6268" t="s">
        <v>47</v>
      </c>
      <c r="H6268" t="s">
        <v>35</v>
      </c>
      <c r="I6268" t="s">
        <v>59</v>
      </c>
      <c r="J6268">
        <v>116.312</v>
      </c>
      <c r="K6268">
        <v>7</v>
      </c>
      <c r="L6268">
        <v>0.2</v>
      </c>
      <c r="M6268">
        <v>23.2624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19</v>
      </c>
      <c r="I6269" t="s">
        <v>33</v>
      </c>
      <c r="J6269">
        <v>12.42</v>
      </c>
      <c r="K6269">
        <v>3</v>
      </c>
      <c r="L6269">
        <v>0</v>
      </c>
      <c r="M6269">
        <v>4.4711999999999996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35</v>
      </c>
      <c r="I6270" t="s">
        <v>59</v>
      </c>
      <c r="J6270">
        <v>428.4</v>
      </c>
      <c r="K6270">
        <v>3</v>
      </c>
      <c r="L6270">
        <v>0</v>
      </c>
      <c r="M6270">
        <v>89.963999999999999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19</v>
      </c>
      <c r="I6271" t="s">
        <v>33</v>
      </c>
      <c r="J6271">
        <v>24.75</v>
      </c>
      <c r="K6271">
        <v>5</v>
      </c>
      <c r="L6271">
        <v>0</v>
      </c>
      <c r="M6271">
        <v>10.89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27</v>
      </c>
      <c r="J6272">
        <v>87.71</v>
      </c>
      <c r="K6272">
        <v>7</v>
      </c>
      <c r="L6272">
        <v>0</v>
      </c>
      <c r="M6272">
        <v>41.223700000000001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26</v>
      </c>
      <c r="I6273" t="s">
        <v>32</v>
      </c>
      <c r="J6273">
        <v>69.52</v>
      </c>
      <c r="K6273">
        <v>2</v>
      </c>
      <c r="L6273">
        <v>0</v>
      </c>
      <c r="M6273">
        <v>17.38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35</v>
      </c>
      <c r="I6274" t="s">
        <v>36</v>
      </c>
      <c r="J6274">
        <v>20.783999999999999</v>
      </c>
      <c r="K6274">
        <v>2</v>
      </c>
      <c r="L6274">
        <v>0.2</v>
      </c>
      <c r="M6274">
        <v>-4.6764000000000001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26</v>
      </c>
      <c r="I6275" t="s">
        <v>37</v>
      </c>
      <c r="J6275">
        <v>12.816000000000001</v>
      </c>
      <c r="K6275">
        <v>3</v>
      </c>
      <c r="L6275">
        <v>0.2</v>
      </c>
      <c r="M6275">
        <v>4.1651999999999996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148</v>
      </c>
      <c r="E6276" t="s">
        <v>104</v>
      </c>
      <c r="F6276">
        <v>45231</v>
      </c>
      <c r="G6276" t="s">
        <v>57</v>
      </c>
      <c r="H6276" t="s">
        <v>26</v>
      </c>
      <c r="I6276" t="s">
        <v>27</v>
      </c>
      <c r="J6276">
        <v>5.9039999999999999</v>
      </c>
      <c r="K6276">
        <v>2</v>
      </c>
      <c r="L6276">
        <v>0.2</v>
      </c>
      <c r="M6276">
        <v>1.9925999999999999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19</v>
      </c>
      <c r="I6277" t="s">
        <v>33</v>
      </c>
      <c r="J6277">
        <v>63.823999999999998</v>
      </c>
      <c r="K6277">
        <v>2</v>
      </c>
      <c r="L6277">
        <v>0.2</v>
      </c>
      <c r="M6277">
        <v>9.5736000000000008</v>
      </c>
    </row>
    <row r="6278" spans="1:13" x14ac:dyDescent="0.3">
      <c r="A6278" t="s">
        <v>28</v>
      </c>
      <c r="B6278" t="s">
        <v>14</v>
      </c>
      <c r="C6278" t="s">
        <v>15</v>
      </c>
      <c r="D6278" t="s">
        <v>378</v>
      </c>
      <c r="E6278" t="s">
        <v>104</v>
      </c>
      <c r="F6278">
        <v>43302</v>
      </c>
      <c r="G6278" t="s">
        <v>57</v>
      </c>
      <c r="H6278" t="s">
        <v>26</v>
      </c>
      <c r="I6278" t="s">
        <v>32</v>
      </c>
      <c r="J6278">
        <v>141.55199999999999</v>
      </c>
      <c r="K6278">
        <v>3</v>
      </c>
      <c r="L6278">
        <v>0.2</v>
      </c>
      <c r="M6278">
        <v>-26.541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26</v>
      </c>
      <c r="I6279" t="s">
        <v>60</v>
      </c>
      <c r="J6279">
        <v>304.89999999999998</v>
      </c>
      <c r="K6279">
        <v>5</v>
      </c>
      <c r="L6279">
        <v>0</v>
      </c>
      <c r="M6279">
        <v>143.303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23</v>
      </c>
      <c r="E6280" t="s">
        <v>24</v>
      </c>
      <c r="F6280">
        <v>90049</v>
      </c>
      <c r="G6280" t="s">
        <v>25</v>
      </c>
      <c r="H6280" t="s">
        <v>19</v>
      </c>
      <c r="I6280" t="s">
        <v>21</v>
      </c>
      <c r="J6280">
        <v>563.24</v>
      </c>
      <c r="K6280">
        <v>5</v>
      </c>
      <c r="L6280">
        <v>0.2</v>
      </c>
      <c r="M6280">
        <v>56.323999999999998</v>
      </c>
    </row>
    <row r="6281" spans="1:13" x14ac:dyDescent="0.3">
      <c r="A6281" t="s">
        <v>28</v>
      </c>
      <c r="B6281" t="s">
        <v>22</v>
      </c>
      <c r="C6281" t="s">
        <v>15</v>
      </c>
      <c r="D6281" t="s">
        <v>154</v>
      </c>
      <c r="E6281" t="s">
        <v>104</v>
      </c>
      <c r="F6281">
        <v>44107</v>
      </c>
      <c r="G6281" t="s">
        <v>57</v>
      </c>
      <c r="H6281" t="s">
        <v>19</v>
      </c>
      <c r="I6281" t="s">
        <v>31</v>
      </c>
      <c r="J6281">
        <v>661.17600000000004</v>
      </c>
      <c r="K6281">
        <v>2</v>
      </c>
      <c r="L6281">
        <v>0.4</v>
      </c>
      <c r="M6281">
        <v>-231.41159999999999</v>
      </c>
    </row>
    <row r="6282" spans="1:13" x14ac:dyDescent="0.3">
      <c r="A6282" t="s">
        <v>28</v>
      </c>
      <c r="B6282" t="s">
        <v>44</v>
      </c>
      <c r="C6282" t="s">
        <v>15</v>
      </c>
      <c r="D6282" t="s">
        <v>557</v>
      </c>
      <c r="E6282" t="s">
        <v>86</v>
      </c>
      <c r="F6282">
        <v>37087</v>
      </c>
      <c r="G6282" t="s">
        <v>18</v>
      </c>
      <c r="H6282" t="s">
        <v>35</v>
      </c>
      <c r="I6282" t="s">
        <v>36</v>
      </c>
      <c r="J6282">
        <v>239.976</v>
      </c>
      <c r="K6282">
        <v>3</v>
      </c>
      <c r="L6282">
        <v>0.2</v>
      </c>
      <c r="M6282">
        <v>17.998200000000001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19</v>
      </c>
      <c r="I6283" t="s">
        <v>31</v>
      </c>
      <c r="J6283">
        <v>502.488</v>
      </c>
      <c r="K6283">
        <v>3</v>
      </c>
      <c r="L6283">
        <v>0.2</v>
      </c>
      <c r="M6283">
        <v>-87.935400000000001</v>
      </c>
    </row>
    <row r="6284" spans="1:13" x14ac:dyDescent="0.3">
      <c r="A6284" t="s">
        <v>28</v>
      </c>
      <c r="B6284" t="s">
        <v>22</v>
      </c>
      <c r="C6284" t="s">
        <v>15</v>
      </c>
      <c r="D6284" t="s">
        <v>52</v>
      </c>
      <c r="E6284" t="s">
        <v>24</v>
      </c>
      <c r="F6284">
        <v>94122</v>
      </c>
      <c r="G6284" t="s">
        <v>25</v>
      </c>
      <c r="H6284" t="s">
        <v>26</v>
      </c>
      <c r="I6284" t="s">
        <v>37</v>
      </c>
      <c r="J6284">
        <v>196.70400000000001</v>
      </c>
      <c r="K6284">
        <v>6</v>
      </c>
      <c r="L6284">
        <v>0.2</v>
      </c>
      <c r="M6284">
        <v>68.846400000000003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21</v>
      </c>
      <c r="J6285">
        <v>915.13599999999997</v>
      </c>
      <c r="K6285">
        <v>4</v>
      </c>
      <c r="L6285">
        <v>0.2</v>
      </c>
      <c r="M6285">
        <v>102.9528</v>
      </c>
    </row>
    <row r="6286" spans="1:13" x14ac:dyDescent="0.3">
      <c r="A6286" t="s">
        <v>13</v>
      </c>
      <c r="B6286" t="s">
        <v>44</v>
      </c>
      <c r="C6286" t="s">
        <v>15</v>
      </c>
      <c r="D6286" t="s">
        <v>546</v>
      </c>
      <c r="E6286" t="s">
        <v>24</v>
      </c>
      <c r="F6286">
        <v>95928</v>
      </c>
      <c r="G6286" t="s">
        <v>25</v>
      </c>
      <c r="H6286" t="s">
        <v>19</v>
      </c>
      <c r="I6286" t="s">
        <v>33</v>
      </c>
      <c r="J6286">
        <v>327.76</v>
      </c>
      <c r="K6286">
        <v>8</v>
      </c>
      <c r="L6286">
        <v>0</v>
      </c>
      <c r="M6286">
        <v>91.772800000000004</v>
      </c>
    </row>
    <row r="6287" spans="1:13" x14ac:dyDescent="0.3">
      <c r="A6287" t="s">
        <v>62</v>
      </c>
      <c r="B6287" t="s">
        <v>14</v>
      </c>
      <c r="C6287" t="s">
        <v>15</v>
      </c>
      <c r="D6287" t="s">
        <v>210</v>
      </c>
      <c r="E6287" t="s">
        <v>83</v>
      </c>
      <c r="F6287">
        <v>24153</v>
      </c>
      <c r="G6287" t="s">
        <v>18</v>
      </c>
      <c r="H6287" t="s">
        <v>19</v>
      </c>
      <c r="I6287" t="s">
        <v>21</v>
      </c>
      <c r="J6287">
        <v>701.96</v>
      </c>
      <c r="K6287">
        <v>2</v>
      </c>
      <c r="L6287">
        <v>0</v>
      </c>
      <c r="M6287">
        <v>168.47040000000001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35</v>
      </c>
      <c r="I6288" t="s">
        <v>36</v>
      </c>
      <c r="J6288">
        <v>88.775999999999996</v>
      </c>
      <c r="K6288">
        <v>3</v>
      </c>
      <c r="L6288">
        <v>0.2</v>
      </c>
      <c r="M6288">
        <v>7.7679</v>
      </c>
    </row>
    <row r="6289" spans="1:13" x14ac:dyDescent="0.3">
      <c r="A6289" t="s">
        <v>28</v>
      </c>
      <c r="B6289" t="s">
        <v>14</v>
      </c>
      <c r="C6289" t="s">
        <v>15</v>
      </c>
      <c r="D6289" t="s">
        <v>23</v>
      </c>
      <c r="E6289" t="s">
        <v>24</v>
      </c>
      <c r="F6289">
        <v>90008</v>
      </c>
      <c r="G6289" t="s">
        <v>25</v>
      </c>
      <c r="H6289" t="s">
        <v>26</v>
      </c>
      <c r="I6289" t="s">
        <v>34</v>
      </c>
      <c r="J6289">
        <v>64.14</v>
      </c>
      <c r="K6289">
        <v>3</v>
      </c>
      <c r="L6289">
        <v>0</v>
      </c>
      <c r="M6289">
        <v>16.676400000000001</v>
      </c>
    </row>
    <row r="6290" spans="1:13" x14ac:dyDescent="0.3">
      <c r="A6290" t="s">
        <v>62</v>
      </c>
      <c r="B6290" t="s">
        <v>22</v>
      </c>
      <c r="C6290" t="s">
        <v>15</v>
      </c>
      <c r="D6290" t="s">
        <v>75</v>
      </c>
      <c r="E6290" t="s">
        <v>76</v>
      </c>
      <c r="F6290">
        <v>10024</v>
      </c>
      <c r="G6290" t="s">
        <v>57</v>
      </c>
      <c r="H6290" t="s">
        <v>26</v>
      </c>
      <c r="I6290" t="s">
        <v>37</v>
      </c>
      <c r="J6290">
        <v>33.552</v>
      </c>
      <c r="K6290">
        <v>1</v>
      </c>
      <c r="L6290">
        <v>0.2</v>
      </c>
      <c r="M6290">
        <v>12.582000000000001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38</v>
      </c>
      <c r="J6291">
        <v>1737.18</v>
      </c>
      <c r="K6291">
        <v>6</v>
      </c>
      <c r="L6291">
        <v>0</v>
      </c>
      <c r="M6291">
        <v>503.78219999999999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32</v>
      </c>
      <c r="J6292">
        <v>704.25</v>
      </c>
      <c r="K6292">
        <v>5</v>
      </c>
      <c r="L6292">
        <v>0</v>
      </c>
      <c r="M6292">
        <v>84.51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565</v>
      </c>
      <c r="E6293" t="s">
        <v>166</v>
      </c>
      <c r="F6293">
        <v>1915</v>
      </c>
      <c r="G6293" t="s">
        <v>57</v>
      </c>
      <c r="H6293" t="s">
        <v>26</v>
      </c>
      <c r="I6293" t="s">
        <v>41</v>
      </c>
      <c r="J6293">
        <v>141.76</v>
      </c>
      <c r="K6293">
        <v>4</v>
      </c>
      <c r="L6293">
        <v>0</v>
      </c>
      <c r="M6293">
        <v>66.627200000000002</v>
      </c>
    </row>
    <row r="6294" spans="1:13" x14ac:dyDescent="0.3">
      <c r="A6294" t="s">
        <v>28</v>
      </c>
      <c r="B6294" t="s">
        <v>22</v>
      </c>
      <c r="C6294" t="s">
        <v>15</v>
      </c>
      <c r="D6294" t="s">
        <v>144</v>
      </c>
      <c r="E6294" t="s">
        <v>24</v>
      </c>
      <c r="F6294">
        <v>92024</v>
      </c>
      <c r="G6294" t="s">
        <v>25</v>
      </c>
      <c r="H6294" t="s">
        <v>26</v>
      </c>
      <c r="I6294" t="s">
        <v>37</v>
      </c>
      <c r="J6294">
        <v>36.36</v>
      </c>
      <c r="K6294">
        <v>3</v>
      </c>
      <c r="L6294">
        <v>0.2</v>
      </c>
      <c r="M6294">
        <v>12.2715</v>
      </c>
    </row>
    <row r="6295" spans="1:13" x14ac:dyDescent="0.3">
      <c r="A6295" t="s">
        <v>62</v>
      </c>
      <c r="B6295" t="s">
        <v>44</v>
      </c>
      <c r="C6295" t="s">
        <v>15</v>
      </c>
      <c r="D6295" t="s">
        <v>52</v>
      </c>
      <c r="E6295" t="s">
        <v>24</v>
      </c>
      <c r="F6295">
        <v>94109</v>
      </c>
      <c r="G6295" t="s">
        <v>25</v>
      </c>
      <c r="H6295" t="s">
        <v>19</v>
      </c>
      <c r="I6295" t="s">
        <v>33</v>
      </c>
      <c r="J6295">
        <v>25.83</v>
      </c>
      <c r="K6295">
        <v>3</v>
      </c>
      <c r="L6295">
        <v>0</v>
      </c>
      <c r="M6295">
        <v>9.5571000000000002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37</v>
      </c>
      <c r="J6296">
        <v>24.588000000000001</v>
      </c>
      <c r="K6296">
        <v>3</v>
      </c>
      <c r="L6296">
        <v>0.8</v>
      </c>
      <c r="M6296">
        <v>-38.111400000000003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79</v>
      </c>
      <c r="E6297" t="s">
        <v>65</v>
      </c>
      <c r="F6297">
        <v>60623</v>
      </c>
      <c r="G6297" t="s">
        <v>47</v>
      </c>
      <c r="H6297" t="s">
        <v>26</v>
      </c>
      <c r="I6297" t="s">
        <v>60</v>
      </c>
      <c r="J6297">
        <v>13.984</v>
      </c>
      <c r="K6297">
        <v>2</v>
      </c>
      <c r="L6297">
        <v>0.2</v>
      </c>
      <c r="M6297">
        <v>4.7195999999999998</v>
      </c>
    </row>
    <row r="6298" spans="1:13" x14ac:dyDescent="0.3">
      <c r="A6298" t="s">
        <v>28</v>
      </c>
      <c r="B6298" t="s">
        <v>14</v>
      </c>
      <c r="C6298" t="s">
        <v>15</v>
      </c>
      <c r="D6298" t="s">
        <v>135</v>
      </c>
      <c r="E6298" t="s">
        <v>46</v>
      </c>
      <c r="F6298">
        <v>75220</v>
      </c>
      <c r="G6298" t="s">
        <v>47</v>
      </c>
      <c r="H6298" t="s">
        <v>35</v>
      </c>
      <c r="I6298" t="s">
        <v>36</v>
      </c>
      <c r="J6298">
        <v>195.96</v>
      </c>
      <c r="K6298">
        <v>5</v>
      </c>
      <c r="L6298">
        <v>0.2</v>
      </c>
      <c r="M6298">
        <v>19.596</v>
      </c>
    </row>
    <row r="6299" spans="1:13" x14ac:dyDescent="0.3">
      <c r="A6299" t="s">
        <v>13</v>
      </c>
      <c r="B6299" t="s">
        <v>44</v>
      </c>
      <c r="C6299" t="s">
        <v>15</v>
      </c>
      <c r="D6299" t="s">
        <v>420</v>
      </c>
      <c r="E6299" t="s">
        <v>46</v>
      </c>
      <c r="F6299">
        <v>78415</v>
      </c>
      <c r="G6299" t="s">
        <v>47</v>
      </c>
      <c r="H6299" t="s">
        <v>26</v>
      </c>
      <c r="I6299" t="s">
        <v>41</v>
      </c>
      <c r="J6299">
        <v>74.352000000000004</v>
      </c>
      <c r="K6299">
        <v>3</v>
      </c>
      <c r="L6299">
        <v>0.2</v>
      </c>
      <c r="M6299">
        <v>23.234999999999999</v>
      </c>
    </row>
    <row r="6300" spans="1:13" x14ac:dyDescent="0.3">
      <c r="A6300" t="s">
        <v>168</v>
      </c>
      <c r="B6300" t="s">
        <v>14</v>
      </c>
      <c r="C6300" t="s">
        <v>15</v>
      </c>
      <c r="D6300" t="s">
        <v>75</v>
      </c>
      <c r="E6300" t="s">
        <v>76</v>
      </c>
      <c r="F6300">
        <v>10035</v>
      </c>
      <c r="G6300" t="s">
        <v>57</v>
      </c>
      <c r="H6300" t="s">
        <v>26</v>
      </c>
      <c r="I6300" t="s">
        <v>41</v>
      </c>
      <c r="J6300">
        <v>6.68</v>
      </c>
      <c r="K6300">
        <v>1</v>
      </c>
      <c r="L6300">
        <v>0</v>
      </c>
      <c r="M6300">
        <v>3.2063999999999999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26</v>
      </c>
      <c r="I6301" t="s">
        <v>110</v>
      </c>
      <c r="J6301">
        <v>17.584</v>
      </c>
      <c r="K6301">
        <v>7</v>
      </c>
      <c r="L6301">
        <v>0.2</v>
      </c>
      <c r="M6301">
        <v>-4.1761999999999997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19</v>
      </c>
      <c r="I6302" t="s">
        <v>21</v>
      </c>
      <c r="J6302">
        <v>104.78400000000001</v>
      </c>
      <c r="K6302">
        <v>1</v>
      </c>
      <c r="L6302">
        <v>0.2</v>
      </c>
      <c r="M6302">
        <v>-14.4078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26</v>
      </c>
      <c r="I6303" t="s">
        <v>41</v>
      </c>
      <c r="J6303">
        <v>47.951999999999998</v>
      </c>
      <c r="K6303">
        <v>3</v>
      </c>
      <c r="L6303">
        <v>0.2</v>
      </c>
      <c r="M6303">
        <v>16.783200000000001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19</v>
      </c>
      <c r="I6304" t="s">
        <v>21</v>
      </c>
      <c r="J6304">
        <v>650.35199999999998</v>
      </c>
      <c r="K6304">
        <v>3</v>
      </c>
      <c r="L6304">
        <v>0.2</v>
      </c>
      <c r="M6304">
        <v>-97.552800000000005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27</v>
      </c>
      <c r="J6305">
        <v>629.18399999999997</v>
      </c>
      <c r="K6305">
        <v>8</v>
      </c>
      <c r="L6305">
        <v>0.2</v>
      </c>
      <c r="M6305">
        <v>228.07919999999999</v>
      </c>
    </row>
    <row r="6306" spans="1:13" x14ac:dyDescent="0.3">
      <c r="A6306" t="s">
        <v>13</v>
      </c>
      <c r="B6306" t="s">
        <v>22</v>
      </c>
      <c r="C6306" t="s">
        <v>15</v>
      </c>
      <c r="D6306" t="s">
        <v>566</v>
      </c>
      <c r="E6306" t="s">
        <v>95</v>
      </c>
      <c r="F6306">
        <v>97405</v>
      </c>
      <c r="G6306" t="s">
        <v>25</v>
      </c>
      <c r="H6306" t="s">
        <v>26</v>
      </c>
      <c r="I6306" t="s">
        <v>41</v>
      </c>
      <c r="J6306">
        <v>15.176</v>
      </c>
      <c r="K6306">
        <v>1</v>
      </c>
      <c r="L6306">
        <v>0.2</v>
      </c>
      <c r="M6306">
        <v>5.3116000000000003</v>
      </c>
    </row>
    <row r="6307" spans="1:13" x14ac:dyDescent="0.3">
      <c r="A6307" t="s">
        <v>28</v>
      </c>
      <c r="B6307" t="s">
        <v>14</v>
      </c>
      <c r="C6307" t="s">
        <v>15</v>
      </c>
      <c r="D6307" t="s">
        <v>567</v>
      </c>
      <c r="E6307" t="s">
        <v>24</v>
      </c>
      <c r="F6307">
        <v>93030</v>
      </c>
      <c r="G6307" t="s">
        <v>25</v>
      </c>
      <c r="H6307" t="s">
        <v>19</v>
      </c>
      <c r="I6307" t="s">
        <v>33</v>
      </c>
      <c r="J6307">
        <v>127.95</v>
      </c>
      <c r="K6307">
        <v>3</v>
      </c>
      <c r="L6307">
        <v>0</v>
      </c>
      <c r="M6307">
        <v>21.7515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26</v>
      </c>
      <c r="I6308" t="s">
        <v>32</v>
      </c>
      <c r="J6308">
        <v>579.51</v>
      </c>
      <c r="K6308">
        <v>3</v>
      </c>
      <c r="L6308">
        <v>0</v>
      </c>
      <c r="M6308">
        <v>81.131399999999999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126</v>
      </c>
      <c r="E6309" t="s">
        <v>127</v>
      </c>
      <c r="F6309">
        <v>6824</v>
      </c>
      <c r="G6309" t="s">
        <v>57</v>
      </c>
      <c r="H6309" t="s">
        <v>35</v>
      </c>
      <c r="I6309" t="s">
        <v>36</v>
      </c>
      <c r="J6309">
        <v>14.99</v>
      </c>
      <c r="K6309">
        <v>1</v>
      </c>
      <c r="L6309">
        <v>0</v>
      </c>
      <c r="M6309">
        <v>7.3451000000000004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34</v>
      </c>
      <c r="J6310">
        <v>151.91999999999999</v>
      </c>
      <c r="K6310">
        <v>4</v>
      </c>
      <c r="L6310">
        <v>0</v>
      </c>
      <c r="M6310">
        <v>45.576000000000001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27</v>
      </c>
      <c r="J6311">
        <v>196.62</v>
      </c>
      <c r="K6311">
        <v>2</v>
      </c>
      <c r="L6311">
        <v>0</v>
      </c>
      <c r="M6311">
        <v>96.343800000000002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144.12</v>
      </c>
      <c r="K6312">
        <v>3</v>
      </c>
      <c r="L6312">
        <v>0</v>
      </c>
      <c r="M6312">
        <v>69.177599999999998</v>
      </c>
    </row>
    <row r="6313" spans="1:13" x14ac:dyDescent="0.3">
      <c r="A6313" t="s">
        <v>28</v>
      </c>
      <c r="B6313" t="s">
        <v>22</v>
      </c>
      <c r="C6313" t="s">
        <v>15</v>
      </c>
      <c r="D6313" t="s">
        <v>84</v>
      </c>
      <c r="E6313" t="s">
        <v>70</v>
      </c>
      <c r="F6313">
        <v>49201</v>
      </c>
      <c r="G6313" t="s">
        <v>47</v>
      </c>
      <c r="H6313" t="s">
        <v>26</v>
      </c>
      <c r="I6313" t="s">
        <v>41</v>
      </c>
      <c r="J6313">
        <v>15.96</v>
      </c>
      <c r="K6313">
        <v>2</v>
      </c>
      <c r="L6313">
        <v>0</v>
      </c>
      <c r="M6313">
        <v>7.98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35</v>
      </c>
      <c r="I6314" t="s">
        <v>36</v>
      </c>
      <c r="J6314">
        <v>39.96</v>
      </c>
      <c r="K6314">
        <v>5</v>
      </c>
      <c r="L6314">
        <v>0.2</v>
      </c>
      <c r="M6314">
        <v>3.4965000000000002</v>
      </c>
    </row>
    <row r="6315" spans="1:13" x14ac:dyDescent="0.3">
      <c r="A6315" t="s">
        <v>13</v>
      </c>
      <c r="B6315" t="s">
        <v>22</v>
      </c>
      <c r="C6315" t="s">
        <v>15</v>
      </c>
      <c r="D6315" t="s">
        <v>314</v>
      </c>
      <c r="E6315" t="s">
        <v>24</v>
      </c>
      <c r="F6315">
        <v>92677</v>
      </c>
      <c r="G6315" t="s">
        <v>25</v>
      </c>
      <c r="H6315" t="s">
        <v>26</v>
      </c>
      <c r="I6315" t="s">
        <v>41</v>
      </c>
      <c r="J6315">
        <v>34.08</v>
      </c>
      <c r="K6315">
        <v>6</v>
      </c>
      <c r="L6315">
        <v>0</v>
      </c>
      <c r="M6315">
        <v>15.336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189</v>
      </c>
      <c r="E6316" t="s">
        <v>30</v>
      </c>
      <c r="F6316">
        <v>32216</v>
      </c>
      <c r="G6316" t="s">
        <v>18</v>
      </c>
      <c r="H6316" t="s">
        <v>26</v>
      </c>
      <c r="I6316" t="s">
        <v>41</v>
      </c>
      <c r="J6316">
        <v>10.368</v>
      </c>
      <c r="K6316">
        <v>2</v>
      </c>
      <c r="L6316">
        <v>0.2</v>
      </c>
      <c r="M6316">
        <v>3.6288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228</v>
      </c>
      <c r="E6317" t="s">
        <v>76</v>
      </c>
      <c r="F6317">
        <v>10550</v>
      </c>
      <c r="G6317" t="s">
        <v>57</v>
      </c>
      <c r="H6317" t="s">
        <v>26</v>
      </c>
      <c r="I6317" t="s">
        <v>37</v>
      </c>
      <c r="J6317">
        <v>7.7519999999999998</v>
      </c>
      <c r="K6317">
        <v>3</v>
      </c>
      <c r="L6317">
        <v>0.2</v>
      </c>
      <c r="M6317">
        <v>2.8100999999999998</v>
      </c>
    </row>
    <row r="6318" spans="1:13" x14ac:dyDescent="0.3">
      <c r="A6318" t="s">
        <v>13</v>
      </c>
      <c r="B6318" t="s">
        <v>44</v>
      </c>
      <c r="C6318" t="s">
        <v>15</v>
      </c>
      <c r="D6318" t="s">
        <v>385</v>
      </c>
      <c r="E6318" t="s">
        <v>70</v>
      </c>
      <c r="F6318">
        <v>48640</v>
      </c>
      <c r="G6318" t="s">
        <v>47</v>
      </c>
      <c r="H6318" t="s">
        <v>26</v>
      </c>
      <c r="I6318" t="s">
        <v>60</v>
      </c>
      <c r="J6318">
        <v>15.28</v>
      </c>
      <c r="K6318">
        <v>2</v>
      </c>
      <c r="L6318">
        <v>0</v>
      </c>
      <c r="M6318">
        <v>7.4871999999999996</v>
      </c>
    </row>
    <row r="6319" spans="1:13" x14ac:dyDescent="0.3">
      <c r="A6319" t="s">
        <v>28</v>
      </c>
      <c r="B6319" t="s">
        <v>14</v>
      </c>
      <c r="C6319" t="s">
        <v>15</v>
      </c>
      <c r="D6319" t="s">
        <v>114</v>
      </c>
      <c r="E6319" t="s">
        <v>72</v>
      </c>
      <c r="F6319">
        <v>19711</v>
      </c>
      <c r="G6319" t="s">
        <v>57</v>
      </c>
      <c r="H6319" t="s">
        <v>35</v>
      </c>
      <c r="I6319" t="s">
        <v>123</v>
      </c>
      <c r="J6319">
        <v>65.97</v>
      </c>
      <c r="K6319">
        <v>3</v>
      </c>
      <c r="L6319">
        <v>0</v>
      </c>
      <c r="M6319">
        <v>31.0059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41</v>
      </c>
      <c r="J6320">
        <v>33.4</v>
      </c>
      <c r="K6320">
        <v>5</v>
      </c>
      <c r="L6320">
        <v>0</v>
      </c>
      <c r="M6320">
        <v>16.032</v>
      </c>
    </row>
    <row r="6321" spans="1:13" x14ac:dyDescent="0.3">
      <c r="A6321" t="s">
        <v>28</v>
      </c>
      <c r="B6321" t="s">
        <v>22</v>
      </c>
      <c r="C6321" t="s">
        <v>15</v>
      </c>
      <c r="D6321" t="s">
        <v>52</v>
      </c>
      <c r="E6321" t="s">
        <v>24</v>
      </c>
      <c r="F6321">
        <v>94109</v>
      </c>
      <c r="G6321" t="s">
        <v>25</v>
      </c>
      <c r="H6321" t="s">
        <v>26</v>
      </c>
      <c r="I6321" t="s">
        <v>60</v>
      </c>
      <c r="J6321">
        <v>210.84</v>
      </c>
      <c r="K6321">
        <v>4</v>
      </c>
      <c r="L6321">
        <v>0</v>
      </c>
      <c r="M6321">
        <v>103.3116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26</v>
      </c>
      <c r="I6322" t="s">
        <v>32</v>
      </c>
      <c r="J6322">
        <v>13.98</v>
      </c>
      <c r="K6322">
        <v>1</v>
      </c>
      <c r="L6322">
        <v>0</v>
      </c>
      <c r="M6322">
        <v>4.0541999999999998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19</v>
      </c>
      <c r="I6323" t="s">
        <v>33</v>
      </c>
      <c r="J6323">
        <v>272.94</v>
      </c>
      <c r="K6323">
        <v>3</v>
      </c>
      <c r="L6323">
        <v>0</v>
      </c>
      <c r="M6323">
        <v>30.023399999999999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37</v>
      </c>
      <c r="J6324">
        <v>19.05</v>
      </c>
      <c r="K6324">
        <v>5</v>
      </c>
      <c r="L6324">
        <v>0</v>
      </c>
      <c r="M6324">
        <v>8.9535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38</v>
      </c>
      <c r="J6325">
        <v>247.71600000000001</v>
      </c>
      <c r="K6325">
        <v>4</v>
      </c>
      <c r="L6325">
        <v>0.1</v>
      </c>
      <c r="M6325">
        <v>93.581599999999995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32</v>
      </c>
      <c r="J6326">
        <v>66.58</v>
      </c>
      <c r="K6326">
        <v>2</v>
      </c>
      <c r="L6326">
        <v>0</v>
      </c>
      <c r="M6326">
        <v>15.979200000000001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26</v>
      </c>
      <c r="I6327" t="s">
        <v>34</v>
      </c>
      <c r="J6327">
        <v>43.92</v>
      </c>
      <c r="K6327">
        <v>3</v>
      </c>
      <c r="L6327">
        <v>0</v>
      </c>
      <c r="M6327">
        <v>12.736800000000001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19</v>
      </c>
      <c r="I6328" t="s">
        <v>33</v>
      </c>
      <c r="J6328">
        <v>14.73</v>
      </c>
      <c r="K6328">
        <v>3</v>
      </c>
      <c r="L6328">
        <v>0</v>
      </c>
      <c r="M6328">
        <v>4.8609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26</v>
      </c>
      <c r="I6329" t="s">
        <v>37</v>
      </c>
      <c r="J6329">
        <v>29.7</v>
      </c>
      <c r="K6329">
        <v>5</v>
      </c>
      <c r="L6329">
        <v>0</v>
      </c>
      <c r="M6329">
        <v>13.365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75</v>
      </c>
      <c r="E6330" t="s">
        <v>76</v>
      </c>
      <c r="F6330">
        <v>10011</v>
      </c>
      <c r="G6330" t="s">
        <v>57</v>
      </c>
      <c r="H6330" t="s">
        <v>26</v>
      </c>
      <c r="I6330" t="s">
        <v>37</v>
      </c>
      <c r="J6330">
        <v>18.28</v>
      </c>
      <c r="K6330">
        <v>5</v>
      </c>
      <c r="L6330">
        <v>0.2</v>
      </c>
      <c r="M6330">
        <v>6.3979999999999997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19</v>
      </c>
      <c r="I6331" t="s">
        <v>33</v>
      </c>
      <c r="J6331">
        <v>47.04</v>
      </c>
      <c r="K6331">
        <v>4</v>
      </c>
      <c r="L6331">
        <v>0</v>
      </c>
      <c r="M6331">
        <v>15.993600000000001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23</v>
      </c>
      <c r="E6332" t="s">
        <v>24</v>
      </c>
      <c r="F6332">
        <v>90008</v>
      </c>
      <c r="G6332" t="s">
        <v>25</v>
      </c>
      <c r="H6332" t="s">
        <v>35</v>
      </c>
      <c r="I6332" t="s">
        <v>36</v>
      </c>
      <c r="J6332">
        <v>339.96</v>
      </c>
      <c r="K6332">
        <v>5</v>
      </c>
      <c r="L6332">
        <v>0.2</v>
      </c>
      <c r="M6332">
        <v>42.494999999999997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35</v>
      </c>
      <c r="I6333" t="s">
        <v>36</v>
      </c>
      <c r="J6333">
        <v>87.8</v>
      </c>
      <c r="K6333">
        <v>4</v>
      </c>
      <c r="L6333">
        <v>0</v>
      </c>
      <c r="M6333">
        <v>43.9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19</v>
      </c>
      <c r="I6334" t="s">
        <v>21</v>
      </c>
      <c r="J6334">
        <v>221.38200000000001</v>
      </c>
      <c r="K6334">
        <v>2</v>
      </c>
      <c r="L6334">
        <v>0.1</v>
      </c>
      <c r="M6334">
        <v>2.4598</v>
      </c>
    </row>
    <row r="6335" spans="1:13" x14ac:dyDescent="0.3">
      <c r="A6335" t="s">
        <v>28</v>
      </c>
      <c r="B6335" t="s">
        <v>22</v>
      </c>
      <c r="C6335" t="s">
        <v>15</v>
      </c>
      <c r="D6335" t="s">
        <v>75</v>
      </c>
      <c r="E6335" t="s">
        <v>76</v>
      </c>
      <c r="F6335">
        <v>10035</v>
      </c>
      <c r="G6335" t="s">
        <v>57</v>
      </c>
      <c r="H6335" t="s">
        <v>35</v>
      </c>
      <c r="I6335" t="s">
        <v>123</v>
      </c>
      <c r="J6335">
        <v>5199.96</v>
      </c>
      <c r="K6335">
        <v>4</v>
      </c>
      <c r="L6335">
        <v>0</v>
      </c>
      <c r="M6335">
        <v>1351.9896000000001</v>
      </c>
    </row>
    <row r="6336" spans="1:13" x14ac:dyDescent="0.3">
      <c r="A6336" t="s">
        <v>62</v>
      </c>
      <c r="B6336" t="s">
        <v>14</v>
      </c>
      <c r="C6336" t="s">
        <v>15</v>
      </c>
      <c r="D6336" t="s">
        <v>235</v>
      </c>
      <c r="E6336" t="s">
        <v>104</v>
      </c>
      <c r="F6336">
        <v>43130</v>
      </c>
      <c r="G6336" t="s">
        <v>57</v>
      </c>
      <c r="H6336" t="s">
        <v>26</v>
      </c>
      <c r="I6336" t="s">
        <v>32</v>
      </c>
      <c r="J6336">
        <v>156.512</v>
      </c>
      <c r="K6336">
        <v>4</v>
      </c>
      <c r="L6336">
        <v>0.2</v>
      </c>
      <c r="M6336">
        <v>-35.215200000000003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35</v>
      </c>
      <c r="I6337" t="s">
        <v>59</v>
      </c>
      <c r="J6337">
        <v>119.85</v>
      </c>
      <c r="K6337">
        <v>3</v>
      </c>
      <c r="L6337">
        <v>0</v>
      </c>
      <c r="M6337">
        <v>52.734000000000002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30.44</v>
      </c>
      <c r="K6338">
        <v>2</v>
      </c>
      <c r="L6338">
        <v>0</v>
      </c>
      <c r="M6338">
        <v>14.9156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26</v>
      </c>
      <c r="I6339" t="s">
        <v>37</v>
      </c>
      <c r="J6339">
        <v>69.28</v>
      </c>
      <c r="K6339">
        <v>2</v>
      </c>
      <c r="L6339">
        <v>0</v>
      </c>
      <c r="M6339">
        <v>33.254399999999997</v>
      </c>
    </row>
    <row r="6340" spans="1:13" x14ac:dyDescent="0.3">
      <c r="A6340" t="s">
        <v>62</v>
      </c>
      <c r="B6340" t="s">
        <v>44</v>
      </c>
      <c r="C6340" t="s">
        <v>15</v>
      </c>
      <c r="D6340" t="s">
        <v>114</v>
      </c>
      <c r="E6340" t="s">
        <v>72</v>
      </c>
      <c r="F6340">
        <v>19711</v>
      </c>
      <c r="G6340" t="s">
        <v>57</v>
      </c>
      <c r="H6340" t="s">
        <v>35</v>
      </c>
      <c r="I6340" t="s">
        <v>36</v>
      </c>
      <c r="J6340">
        <v>587.97</v>
      </c>
      <c r="K6340">
        <v>3</v>
      </c>
      <c r="L6340">
        <v>0</v>
      </c>
      <c r="M6340">
        <v>170.51130000000001</v>
      </c>
    </row>
    <row r="6341" spans="1:13" x14ac:dyDescent="0.3">
      <c r="A6341" t="s">
        <v>168</v>
      </c>
      <c r="B6341" t="s">
        <v>44</v>
      </c>
      <c r="C6341" t="s">
        <v>15</v>
      </c>
      <c r="D6341" t="s">
        <v>75</v>
      </c>
      <c r="E6341" t="s">
        <v>76</v>
      </c>
      <c r="F6341">
        <v>10024</v>
      </c>
      <c r="G6341" t="s">
        <v>57</v>
      </c>
      <c r="H6341" t="s">
        <v>26</v>
      </c>
      <c r="I6341" t="s">
        <v>27</v>
      </c>
      <c r="J6341">
        <v>24.55</v>
      </c>
      <c r="K6341">
        <v>5</v>
      </c>
      <c r="L6341">
        <v>0</v>
      </c>
      <c r="M6341">
        <v>12.029500000000001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37</v>
      </c>
      <c r="J6342">
        <v>12.176</v>
      </c>
      <c r="K6342">
        <v>1</v>
      </c>
      <c r="L6342">
        <v>0.2</v>
      </c>
      <c r="M6342">
        <v>4.4138000000000002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32</v>
      </c>
      <c r="J6343">
        <v>37.32</v>
      </c>
      <c r="K6343">
        <v>3</v>
      </c>
      <c r="L6343">
        <v>0</v>
      </c>
      <c r="M6343">
        <v>10.4496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52</v>
      </c>
      <c r="E6344" t="s">
        <v>24</v>
      </c>
      <c r="F6344">
        <v>94109</v>
      </c>
      <c r="G6344" t="s">
        <v>25</v>
      </c>
      <c r="H6344" t="s">
        <v>26</v>
      </c>
      <c r="I6344" t="s">
        <v>110</v>
      </c>
      <c r="J6344">
        <v>35.06</v>
      </c>
      <c r="K6344">
        <v>2</v>
      </c>
      <c r="L6344">
        <v>0</v>
      </c>
      <c r="M6344">
        <v>10.518000000000001</v>
      </c>
    </row>
    <row r="6345" spans="1:13" x14ac:dyDescent="0.3">
      <c r="A6345" t="s">
        <v>28</v>
      </c>
      <c r="B6345" t="s">
        <v>14</v>
      </c>
      <c r="C6345" t="s">
        <v>15</v>
      </c>
      <c r="D6345" t="s">
        <v>135</v>
      </c>
      <c r="E6345" t="s">
        <v>46</v>
      </c>
      <c r="F6345">
        <v>75217</v>
      </c>
      <c r="G6345" t="s">
        <v>47</v>
      </c>
      <c r="H6345" t="s">
        <v>19</v>
      </c>
      <c r="I6345" t="s">
        <v>33</v>
      </c>
      <c r="J6345">
        <v>108.4</v>
      </c>
      <c r="K6345">
        <v>5</v>
      </c>
      <c r="L6345">
        <v>0.6</v>
      </c>
      <c r="M6345">
        <v>-105.69</v>
      </c>
    </row>
    <row r="6346" spans="1:13" x14ac:dyDescent="0.3">
      <c r="A6346" t="s">
        <v>28</v>
      </c>
      <c r="B6346" t="s">
        <v>22</v>
      </c>
      <c r="C6346" t="s">
        <v>15</v>
      </c>
      <c r="D6346" t="s">
        <v>180</v>
      </c>
      <c r="E6346" t="s">
        <v>30</v>
      </c>
      <c r="F6346">
        <v>33178</v>
      </c>
      <c r="G6346" t="s">
        <v>18</v>
      </c>
      <c r="H6346" t="s">
        <v>35</v>
      </c>
      <c r="I6346" t="s">
        <v>36</v>
      </c>
      <c r="J6346">
        <v>361.37599999999998</v>
      </c>
      <c r="K6346">
        <v>2</v>
      </c>
      <c r="L6346">
        <v>0.2</v>
      </c>
      <c r="M6346">
        <v>27.103200000000001</v>
      </c>
    </row>
    <row r="6347" spans="1:13" x14ac:dyDescent="0.3">
      <c r="A6347" t="s">
        <v>28</v>
      </c>
      <c r="B6347" t="s">
        <v>14</v>
      </c>
      <c r="C6347" t="s">
        <v>15</v>
      </c>
      <c r="D6347" t="s">
        <v>55</v>
      </c>
      <c r="E6347" t="s">
        <v>56</v>
      </c>
      <c r="F6347">
        <v>19120</v>
      </c>
      <c r="G6347" t="s">
        <v>57</v>
      </c>
      <c r="H6347" t="s">
        <v>26</v>
      </c>
      <c r="I6347" t="s">
        <v>37</v>
      </c>
      <c r="J6347">
        <v>2.4119999999999999</v>
      </c>
      <c r="K6347">
        <v>1</v>
      </c>
      <c r="L6347">
        <v>0.7</v>
      </c>
      <c r="M6347">
        <v>-2.0099999999999998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26</v>
      </c>
      <c r="I6348" t="s">
        <v>38</v>
      </c>
      <c r="J6348">
        <v>8.39</v>
      </c>
      <c r="K6348">
        <v>1</v>
      </c>
      <c r="L6348">
        <v>0</v>
      </c>
      <c r="M6348">
        <v>2.0975000000000001</v>
      </c>
    </row>
    <row r="6349" spans="1:13" x14ac:dyDescent="0.3">
      <c r="A6349" t="s">
        <v>28</v>
      </c>
      <c r="B6349" t="s">
        <v>22</v>
      </c>
      <c r="C6349" t="s">
        <v>15</v>
      </c>
      <c r="D6349" t="s">
        <v>75</v>
      </c>
      <c r="E6349" t="s">
        <v>76</v>
      </c>
      <c r="F6349">
        <v>10011</v>
      </c>
      <c r="G6349" t="s">
        <v>57</v>
      </c>
      <c r="H6349" t="s">
        <v>35</v>
      </c>
      <c r="I6349" t="s">
        <v>36</v>
      </c>
      <c r="J6349">
        <v>337.98</v>
      </c>
      <c r="K6349">
        <v>2</v>
      </c>
      <c r="L6349">
        <v>0</v>
      </c>
      <c r="M6349">
        <v>101.39400000000001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55</v>
      </c>
      <c r="E6350" t="s">
        <v>56</v>
      </c>
      <c r="F6350">
        <v>19120</v>
      </c>
      <c r="G6350" t="s">
        <v>57</v>
      </c>
      <c r="H6350" t="s">
        <v>26</v>
      </c>
      <c r="I6350" t="s">
        <v>32</v>
      </c>
      <c r="J6350">
        <v>83.92</v>
      </c>
      <c r="K6350">
        <v>5</v>
      </c>
      <c r="L6350">
        <v>0.2</v>
      </c>
      <c r="M6350">
        <v>-13.637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37</v>
      </c>
      <c r="J6351">
        <v>19.68</v>
      </c>
      <c r="K6351">
        <v>5</v>
      </c>
      <c r="L6351">
        <v>0.2</v>
      </c>
      <c r="M6351">
        <v>6.8879999999999999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26</v>
      </c>
      <c r="I6352" t="s">
        <v>41</v>
      </c>
      <c r="J6352">
        <v>6.48</v>
      </c>
      <c r="K6352">
        <v>1</v>
      </c>
      <c r="L6352">
        <v>0</v>
      </c>
      <c r="M6352">
        <v>3.1103999999999998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42</v>
      </c>
      <c r="E6353" t="s">
        <v>43</v>
      </c>
      <c r="F6353">
        <v>98103</v>
      </c>
      <c r="G6353" t="s">
        <v>25</v>
      </c>
      <c r="H6353" t="s">
        <v>35</v>
      </c>
      <c r="I6353" t="s">
        <v>36</v>
      </c>
      <c r="J6353">
        <v>86.352000000000004</v>
      </c>
      <c r="K6353">
        <v>6</v>
      </c>
      <c r="L6353">
        <v>0.2</v>
      </c>
      <c r="M6353">
        <v>8.6351999999999993</v>
      </c>
    </row>
    <row r="6354" spans="1:13" x14ac:dyDescent="0.3">
      <c r="A6354" t="s">
        <v>28</v>
      </c>
      <c r="B6354" t="s">
        <v>44</v>
      </c>
      <c r="C6354" t="s">
        <v>15</v>
      </c>
      <c r="D6354" t="s">
        <v>23</v>
      </c>
      <c r="E6354" t="s">
        <v>24</v>
      </c>
      <c r="F6354">
        <v>90032</v>
      </c>
      <c r="G6354" t="s">
        <v>25</v>
      </c>
      <c r="H6354" t="s">
        <v>26</v>
      </c>
      <c r="I6354" t="s">
        <v>34</v>
      </c>
      <c r="J6354">
        <v>56.3</v>
      </c>
      <c r="K6354">
        <v>2</v>
      </c>
      <c r="L6354">
        <v>0</v>
      </c>
      <c r="M6354">
        <v>15.763999999999999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82</v>
      </c>
      <c r="E6355" t="s">
        <v>95</v>
      </c>
      <c r="F6355">
        <v>97477</v>
      </c>
      <c r="G6355" t="s">
        <v>25</v>
      </c>
      <c r="H6355" t="s">
        <v>26</v>
      </c>
      <c r="I6355" t="s">
        <v>34</v>
      </c>
      <c r="J6355">
        <v>51.015999999999998</v>
      </c>
      <c r="K6355">
        <v>7</v>
      </c>
      <c r="L6355">
        <v>0.2</v>
      </c>
      <c r="M6355">
        <v>8.2901000000000007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26</v>
      </c>
      <c r="I6356" t="s">
        <v>37</v>
      </c>
      <c r="J6356">
        <v>150.80000000000001</v>
      </c>
      <c r="K6356">
        <v>5</v>
      </c>
      <c r="L6356">
        <v>0.2</v>
      </c>
      <c r="M6356">
        <v>56.55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35</v>
      </c>
      <c r="I6357" t="s">
        <v>123</v>
      </c>
      <c r="J6357">
        <v>1039.992</v>
      </c>
      <c r="K6357">
        <v>1</v>
      </c>
      <c r="L6357">
        <v>0.2</v>
      </c>
      <c r="M6357">
        <v>103.9992</v>
      </c>
    </row>
    <row r="6358" spans="1:13" x14ac:dyDescent="0.3">
      <c r="A6358" t="s">
        <v>28</v>
      </c>
      <c r="B6358" t="s">
        <v>14</v>
      </c>
      <c r="C6358" t="s">
        <v>15</v>
      </c>
      <c r="D6358" t="s">
        <v>568</v>
      </c>
      <c r="E6358" t="s">
        <v>43</v>
      </c>
      <c r="F6358">
        <v>98059</v>
      </c>
      <c r="G6358" t="s">
        <v>25</v>
      </c>
      <c r="H6358" t="s">
        <v>26</v>
      </c>
      <c r="I6358" t="s">
        <v>41</v>
      </c>
      <c r="J6358">
        <v>51.84</v>
      </c>
      <c r="K6358">
        <v>8</v>
      </c>
      <c r="L6358">
        <v>0</v>
      </c>
      <c r="M6358">
        <v>24.883199999999999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35</v>
      </c>
      <c r="I6359" t="s">
        <v>36</v>
      </c>
      <c r="J6359">
        <v>41.22</v>
      </c>
      <c r="K6359">
        <v>1</v>
      </c>
      <c r="L6359">
        <v>0</v>
      </c>
      <c r="M6359">
        <v>11.1294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26</v>
      </c>
      <c r="I6360" t="s">
        <v>110</v>
      </c>
      <c r="J6360">
        <v>240.37</v>
      </c>
      <c r="K6360">
        <v>1</v>
      </c>
      <c r="L6360">
        <v>0</v>
      </c>
      <c r="M6360">
        <v>7.2111000000000001</v>
      </c>
    </row>
    <row r="6361" spans="1:13" x14ac:dyDescent="0.3">
      <c r="A6361" t="s">
        <v>62</v>
      </c>
      <c r="B6361" t="s">
        <v>44</v>
      </c>
      <c r="C6361" t="s">
        <v>15</v>
      </c>
      <c r="D6361" t="s">
        <v>75</v>
      </c>
      <c r="E6361" t="s">
        <v>76</v>
      </c>
      <c r="F6361">
        <v>10009</v>
      </c>
      <c r="G6361" t="s">
        <v>57</v>
      </c>
      <c r="H6361" t="s">
        <v>35</v>
      </c>
      <c r="I6361" t="s">
        <v>36</v>
      </c>
      <c r="J6361">
        <v>119.02</v>
      </c>
      <c r="K6361">
        <v>2</v>
      </c>
      <c r="L6361">
        <v>0</v>
      </c>
      <c r="M6361">
        <v>33.325600000000001</v>
      </c>
    </row>
    <row r="6362" spans="1:13" x14ac:dyDescent="0.3">
      <c r="A6362" t="s">
        <v>28</v>
      </c>
      <c r="B6362" t="s">
        <v>14</v>
      </c>
      <c r="C6362" t="s">
        <v>15</v>
      </c>
      <c r="D6362" t="s">
        <v>117</v>
      </c>
      <c r="E6362" t="s">
        <v>24</v>
      </c>
      <c r="F6362">
        <v>95123</v>
      </c>
      <c r="G6362" t="s">
        <v>25</v>
      </c>
      <c r="H6362" t="s">
        <v>26</v>
      </c>
      <c r="I6362" t="s">
        <v>37</v>
      </c>
      <c r="J6362">
        <v>133.12</v>
      </c>
      <c r="K6362">
        <v>5</v>
      </c>
      <c r="L6362">
        <v>0.2</v>
      </c>
      <c r="M6362">
        <v>49.92</v>
      </c>
    </row>
    <row r="6363" spans="1:13" x14ac:dyDescent="0.3">
      <c r="A6363" t="s">
        <v>28</v>
      </c>
      <c r="B6363" t="s">
        <v>22</v>
      </c>
      <c r="C6363" t="s">
        <v>15</v>
      </c>
      <c r="D6363" t="s">
        <v>128</v>
      </c>
      <c r="E6363" t="s">
        <v>46</v>
      </c>
      <c r="F6363">
        <v>75051</v>
      </c>
      <c r="G6363" t="s">
        <v>47</v>
      </c>
      <c r="H6363" t="s">
        <v>19</v>
      </c>
      <c r="I6363" t="s">
        <v>33</v>
      </c>
      <c r="J6363">
        <v>38.08</v>
      </c>
      <c r="K6363">
        <v>5</v>
      </c>
      <c r="L6363">
        <v>0.6</v>
      </c>
      <c r="M6363">
        <v>-29.512</v>
      </c>
    </row>
    <row r="6364" spans="1:13" x14ac:dyDescent="0.3">
      <c r="A6364" t="s">
        <v>168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20</v>
      </c>
      <c r="J6364">
        <v>113.568</v>
      </c>
      <c r="K6364">
        <v>2</v>
      </c>
      <c r="L6364">
        <v>0.2</v>
      </c>
      <c r="M6364">
        <v>12.776400000000001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19</v>
      </c>
      <c r="I6365" t="s">
        <v>33</v>
      </c>
      <c r="J6365">
        <v>83.92</v>
      </c>
      <c r="K6365">
        <v>4</v>
      </c>
      <c r="L6365">
        <v>0</v>
      </c>
      <c r="M6365">
        <v>21.819199999999999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26</v>
      </c>
      <c r="I6366" t="s">
        <v>34</v>
      </c>
      <c r="J6366">
        <v>6.63</v>
      </c>
      <c r="K6366">
        <v>3</v>
      </c>
      <c r="L6366">
        <v>0</v>
      </c>
      <c r="M6366">
        <v>3.1160999999999999</v>
      </c>
    </row>
    <row r="6367" spans="1:13" x14ac:dyDescent="0.3">
      <c r="A6367" t="s">
        <v>13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59</v>
      </c>
      <c r="J6367">
        <v>371.97</v>
      </c>
      <c r="K6367">
        <v>3</v>
      </c>
      <c r="L6367">
        <v>0</v>
      </c>
      <c r="M6367">
        <v>66.954599999999999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19</v>
      </c>
      <c r="I6368" t="s">
        <v>21</v>
      </c>
      <c r="J6368">
        <v>561.58399999999995</v>
      </c>
      <c r="K6368">
        <v>2</v>
      </c>
      <c r="L6368">
        <v>0.2</v>
      </c>
      <c r="M6368">
        <v>70.197999999999993</v>
      </c>
    </row>
    <row r="6369" spans="1:13" x14ac:dyDescent="0.3">
      <c r="A6369" t="s">
        <v>28</v>
      </c>
      <c r="B6369" t="s">
        <v>22</v>
      </c>
      <c r="C6369" t="s">
        <v>15</v>
      </c>
      <c r="D6369" t="s">
        <v>85</v>
      </c>
      <c r="E6369" t="s">
        <v>86</v>
      </c>
      <c r="F6369">
        <v>38109</v>
      </c>
      <c r="G6369" t="s">
        <v>18</v>
      </c>
      <c r="H6369" t="s">
        <v>26</v>
      </c>
      <c r="I6369" t="s">
        <v>32</v>
      </c>
      <c r="J6369">
        <v>99.92</v>
      </c>
      <c r="K6369">
        <v>5</v>
      </c>
      <c r="L6369">
        <v>0.2</v>
      </c>
      <c r="M6369">
        <v>-1.2490000000000001</v>
      </c>
    </row>
    <row r="6370" spans="1:13" x14ac:dyDescent="0.3">
      <c r="A6370" t="s">
        <v>62</v>
      </c>
      <c r="B6370" t="s">
        <v>44</v>
      </c>
      <c r="C6370" t="s">
        <v>15</v>
      </c>
      <c r="D6370" t="s">
        <v>55</v>
      </c>
      <c r="E6370" t="s">
        <v>56</v>
      </c>
      <c r="F6370">
        <v>19143</v>
      </c>
      <c r="G6370" t="s">
        <v>57</v>
      </c>
      <c r="H6370" t="s">
        <v>26</v>
      </c>
      <c r="I6370" t="s">
        <v>27</v>
      </c>
      <c r="J6370">
        <v>4.9279999999999999</v>
      </c>
      <c r="K6370">
        <v>2</v>
      </c>
      <c r="L6370">
        <v>0.2</v>
      </c>
      <c r="M6370">
        <v>1.7248000000000001</v>
      </c>
    </row>
    <row r="6371" spans="1:13" x14ac:dyDescent="0.3">
      <c r="A6371" t="s">
        <v>28</v>
      </c>
      <c r="B6371" t="s">
        <v>14</v>
      </c>
      <c r="C6371" t="s">
        <v>15</v>
      </c>
      <c r="D6371" t="s">
        <v>23</v>
      </c>
      <c r="E6371" t="s">
        <v>24</v>
      </c>
      <c r="F6371">
        <v>90004</v>
      </c>
      <c r="G6371" t="s">
        <v>25</v>
      </c>
      <c r="H6371" t="s">
        <v>19</v>
      </c>
      <c r="I6371" t="s">
        <v>33</v>
      </c>
      <c r="J6371">
        <v>14.76</v>
      </c>
      <c r="K6371">
        <v>2</v>
      </c>
      <c r="L6371">
        <v>0</v>
      </c>
      <c r="M6371">
        <v>4.2804000000000002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35</v>
      </c>
      <c r="I6372" t="s">
        <v>59</v>
      </c>
      <c r="J6372">
        <v>99.99</v>
      </c>
      <c r="K6372">
        <v>1</v>
      </c>
      <c r="L6372">
        <v>0</v>
      </c>
      <c r="M6372">
        <v>41.995800000000003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507</v>
      </c>
      <c r="E6373" t="s">
        <v>127</v>
      </c>
      <c r="F6373">
        <v>6708</v>
      </c>
      <c r="G6373" t="s">
        <v>57</v>
      </c>
      <c r="H6373" t="s">
        <v>26</v>
      </c>
      <c r="I6373" t="s">
        <v>32</v>
      </c>
      <c r="J6373">
        <v>286.14999999999998</v>
      </c>
      <c r="K6373">
        <v>5</v>
      </c>
      <c r="L6373">
        <v>0</v>
      </c>
      <c r="M6373">
        <v>71.537499999999994</v>
      </c>
    </row>
    <row r="6374" spans="1:13" x14ac:dyDescent="0.3">
      <c r="A6374" t="s">
        <v>28</v>
      </c>
      <c r="B6374" t="s">
        <v>44</v>
      </c>
      <c r="C6374" t="s">
        <v>15</v>
      </c>
      <c r="D6374" t="s">
        <v>523</v>
      </c>
      <c r="E6374" t="s">
        <v>81</v>
      </c>
      <c r="F6374">
        <v>85224</v>
      </c>
      <c r="G6374" t="s">
        <v>25</v>
      </c>
      <c r="H6374" t="s">
        <v>26</v>
      </c>
      <c r="I6374" t="s">
        <v>77</v>
      </c>
      <c r="J6374">
        <v>49.792000000000002</v>
      </c>
      <c r="K6374">
        <v>8</v>
      </c>
      <c r="L6374">
        <v>0.2</v>
      </c>
      <c r="M6374">
        <v>-11.8256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19</v>
      </c>
      <c r="I6375" t="s">
        <v>20</v>
      </c>
      <c r="J6375">
        <v>299.97500000000002</v>
      </c>
      <c r="K6375">
        <v>5</v>
      </c>
      <c r="L6375">
        <v>0.5</v>
      </c>
      <c r="M6375">
        <v>-167.98599999999999</v>
      </c>
    </row>
    <row r="6376" spans="1:13" x14ac:dyDescent="0.3">
      <c r="A6376" t="s">
        <v>28</v>
      </c>
      <c r="B6376" t="s">
        <v>14</v>
      </c>
      <c r="C6376" t="s">
        <v>15</v>
      </c>
      <c r="D6376" t="s">
        <v>82</v>
      </c>
      <c r="E6376" t="s">
        <v>104</v>
      </c>
      <c r="F6376">
        <v>45503</v>
      </c>
      <c r="G6376" t="s">
        <v>57</v>
      </c>
      <c r="H6376" t="s">
        <v>35</v>
      </c>
      <c r="I6376" t="s">
        <v>36</v>
      </c>
      <c r="J6376">
        <v>158.376</v>
      </c>
      <c r="K6376">
        <v>4</v>
      </c>
      <c r="L6376">
        <v>0.4</v>
      </c>
      <c r="M6376">
        <v>-36.9544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26</v>
      </c>
      <c r="I6377" t="s">
        <v>37</v>
      </c>
      <c r="J6377">
        <v>32.783999999999999</v>
      </c>
      <c r="K6377">
        <v>4</v>
      </c>
      <c r="L6377">
        <v>0.8</v>
      </c>
      <c r="M6377">
        <v>-52.4544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47.984000000000002</v>
      </c>
      <c r="K6378">
        <v>2</v>
      </c>
      <c r="L6378">
        <v>0.2</v>
      </c>
      <c r="M6378">
        <v>14.395200000000001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35</v>
      </c>
      <c r="I6379" t="s">
        <v>59</v>
      </c>
      <c r="J6379">
        <v>62.591999999999999</v>
      </c>
      <c r="K6379">
        <v>8</v>
      </c>
      <c r="L6379">
        <v>0.2</v>
      </c>
      <c r="M6379">
        <v>13.300800000000001</v>
      </c>
    </row>
    <row r="6380" spans="1:13" x14ac:dyDescent="0.3">
      <c r="A6380" t="s">
        <v>62</v>
      </c>
      <c r="B6380" t="s">
        <v>14</v>
      </c>
      <c r="C6380" t="s">
        <v>15</v>
      </c>
      <c r="D6380" t="s">
        <v>164</v>
      </c>
      <c r="E6380" t="s">
        <v>46</v>
      </c>
      <c r="F6380">
        <v>78745</v>
      </c>
      <c r="G6380" t="s">
        <v>47</v>
      </c>
      <c r="H6380" t="s">
        <v>26</v>
      </c>
      <c r="I6380" t="s">
        <v>37</v>
      </c>
      <c r="J6380">
        <v>4.2759999999999998</v>
      </c>
      <c r="K6380">
        <v>1</v>
      </c>
      <c r="L6380">
        <v>0.8</v>
      </c>
      <c r="M6380">
        <v>-6.6277999999999997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41</v>
      </c>
      <c r="J6381">
        <v>10.56</v>
      </c>
      <c r="K6381">
        <v>2</v>
      </c>
      <c r="L6381">
        <v>0</v>
      </c>
      <c r="M6381">
        <v>4.7519999999999998</v>
      </c>
    </row>
    <row r="6382" spans="1:13" x14ac:dyDescent="0.3">
      <c r="A6382" t="s">
        <v>28</v>
      </c>
      <c r="B6382" t="s">
        <v>14</v>
      </c>
      <c r="C6382" t="s">
        <v>15</v>
      </c>
      <c r="D6382" t="s">
        <v>140</v>
      </c>
      <c r="E6382" t="s">
        <v>70</v>
      </c>
      <c r="F6382">
        <v>48234</v>
      </c>
      <c r="G6382" t="s">
        <v>47</v>
      </c>
      <c r="H6382" t="s">
        <v>26</v>
      </c>
      <c r="I6382" t="s">
        <v>32</v>
      </c>
      <c r="J6382">
        <v>229.94</v>
      </c>
      <c r="K6382">
        <v>2</v>
      </c>
      <c r="L6382">
        <v>0</v>
      </c>
      <c r="M6382">
        <v>6.8982000000000001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60</v>
      </c>
      <c r="J6383">
        <v>311.14999999999998</v>
      </c>
      <c r="K6383">
        <v>5</v>
      </c>
      <c r="L6383">
        <v>0</v>
      </c>
      <c r="M6383">
        <v>146.2405</v>
      </c>
    </row>
    <row r="6384" spans="1:13" x14ac:dyDescent="0.3">
      <c r="A6384" t="s">
        <v>28</v>
      </c>
      <c r="B6384" t="s">
        <v>22</v>
      </c>
      <c r="C6384" t="s">
        <v>15</v>
      </c>
      <c r="D6384" t="s">
        <v>82</v>
      </c>
      <c r="E6384" t="s">
        <v>83</v>
      </c>
      <c r="F6384">
        <v>22153</v>
      </c>
      <c r="G6384" t="s">
        <v>18</v>
      </c>
      <c r="H6384" t="s">
        <v>26</v>
      </c>
      <c r="I6384" t="s">
        <v>41</v>
      </c>
      <c r="J6384">
        <v>12.96</v>
      </c>
      <c r="K6384">
        <v>2</v>
      </c>
      <c r="L6384">
        <v>0</v>
      </c>
      <c r="M6384">
        <v>6.3503999999999996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41</v>
      </c>
      <c r="J6385">
        <v>14.62</v>
      </c>
      <c r="K6385">
        <v>2</v>
      </c>
      <c r="L6385">
        <v>0</v>
      </c>
      <c r="M6385">
        <v>6.7252000000000001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27</v>
      </c>
      <c r="J6386">
        <v>5.76</v>
      </c>
      <c r="K6386">
        <v>2</v>
      </c>
      <c r="L6386">
        <v>0</v>
      </c>
      <c r="M6386">
        <v>2.8224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26</v>
      </c>
      <c r="I6387" t="s">
        <v>77</v>
      </c>
      <c r="J6387">
        <v>21.48</v>
      </c>
      <c r="K6387">
        <v>6</v>
      </c>
      <c r="L6387">
        <v>0</v>
      </c>
      <c r="M6387">
        <v>10.5252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19</v>
      </c>
      <c r="I6388" t="s">
        <v>33</v>
      </c>
      <c r="J6388">
        <v>396.92</v>
      </c>
      <c r="K6388">
        <v>4</v>
      </c>
      <c r="L6388">
        <v>0</v>
      </c>
      <c r="M6388">
        <v>198.46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32</v>
      </c>
      <c r="J6389">
        <v>17.149999999999999</v>
      </c>
      <c r="K6389">
        <v>1</v>
      </c>
      <c r="L6389">
        <v>0</v>
      </c>
      <c r="M6389">
        <v>4.6304999999999996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75</v>
      </c>
      <c r="E6390" t="s">
        <v>76</v>
      </c>
      <c r="F6390">
        <v>10011</v>
      </c>
      <c r="G6390" t="s">
        <v>57</v>
      </c>
      <c r="H6390" t="s">
        <v>26</v>
      </c>
      <c r="I6390" t="s">
        <v>37</v>
      </c>
      <c r="J6390">
        <v>23.12</v>
      </c>
      <c r="K6390">
        <v>2</v>
      </c>
      <c r="L6390">
        <v>0.2</v>
      </c>
      <c r="M6390">
        <v>7.8029999999999999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135</v>
      </c>
      <c r="E6391" t="s">
        <v>46</v>
      </c>
      <c r="F6391">
        <v>75217</v>
      </c>
      <c r="G6391" t="s">
        <v>47</v>
      </c>
      <c r="H6391" t="s">
        <v>26</v>
      </c>
      <c r="I6391" t="s">
        <v>34</v>
      </c>
      <c r="J6391">
        <v>5.2480000000000002</v>
      </c>
      <c r="K6391">
        <v>2</v>
      </c>
      <c r="L6391">
        <v>0.2</v>
      </c>
      <c r="M6391">
        <v>0.59040000000000004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35</v>
      </c>
      <c r="I6392" t="s">
        <v>36</v>
      </c>
      <c r="J6392">
        <v>824.95</v>
      </c>
      <c r="K6392">
        <v>5</v>
      </c>
      <c r="L6392">
        <v>0</v>
      </c>
      <c r="M6392">
        <v>247.48500000000001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27</v>
      </c>
      <c r="J6393">
        <v>24.64</v>
      </c>
      <c r="K6393">
        <v>8</v>
      </c>
      <c r="L6393">
        <v>0</v>
      </c>
      <c r="M6393">
        <v>11.827199999999999</v>
      </c>
    </row>
    <row r="6394" spans="1:13" x14ac:dyDescent="0.3">
      <c r="A6394" t="s">
        <v>28</v>
      </c>
      <c r="B6394" t="s">
        <v>44</v>
      </c>
      <c r="C6394" t="s">
        <v>15</v>
      </c>
      <c r="D6394" t="s">
        <v>39</v>
      </c>
      <c r="E6394" t="s">
        <v>247</v>
      </c>
      <c r="F6394">
        <v>3301</v>
      </c>
      <c r="G6394" t="s">
        <v>57</v>
      </c>
      <c r="H6394" t="s">
        <v>26</v>
      </c>
      <c r="I6394" t="s">
        <v>34</v>
      </c>
      <c r="J6394">
        <v>227.88</v>
      </c>
      <c r="K6394">
        <v>6</v>
      </c>
      <c r="L6394">
        <v>0</v>
      </c>
      <c r="M6394">
        <v>68.364000000000004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19</v>
      </c>
      <c r="I6395" t="s">
        <v>20</v>
      </c>
      <c r="J6395">
        <v>241.96</v>
      </c>
      <c r="K6395">
        <v>2</v>
      </c>
      <c r="L6395">
        <v>0</v>
      </c>
      <c r="M6395">
        <v>33.874400000000001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26</v>
      </c>
      <c r="I6396" t="s">
        <v>37</v>
      </c>
      <c r="J6396">
        <v>3.89</v>
      </c>
      <c r="K6396">
        <v>1</v>
      </c>
      <c r="L6396">
        <v>0</v>
      </c>
      <c r="M6396">
        <v>1.8672</v>
      </c>
    </row>
    <row r="6397" spans="1:13" x14ac:dyDescent="0.3">
      <c r="A6397" t="s">
        <v>62</v>
      </c>
      <c r="B6397" t="s">
        <v>14</v>
      </c>
      <c r="C6397" t="s">
        <v>15</v>
      </c>
      <c r="D6397" t="s">
        <v>325</v>
      </c>
      <c r="E6397" t="s">
        <v>125</v>
      </c>
      <c r="F6397">
        <v>70506</v>
      </c>
      <c r="G6397" t="s">
        <v>18</v>
      </c>
      <c r="H6397" t="s">
        <v>19</v>
      </c>
      <c r="I6397" t="s">
        <v>33</v>
      </c>
      <c r="J6397">
        <v>8.01</v>
      </c>
      <c r="K6397">
        <v>3</v>
      </c>
      <c r="L6397">
        <v>0</v>
      </c>
      <c r="M6397">
        <v>3.0438000000000001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339</v>
      </c>
      <c r="E6398" t="s">
        <v>40</v>
      </c>
      <c r="F6398">
        <v>27604</v>
      </c>
      <c r="G6398" t="s">
        <v>18</v>
      </c>
      <c r="H6398" t="s">
        <v>35</v>
      </c>
      <c r="I6398" t="s">
        <v>36</v>
      </c>
      <c r="J6398">
        <v>177.48</v>
      </c>
      <c r="K6398">
        <v>3</v>
      </c>
      <c r="L6398">
        <v>0.2</v>
      </c>
      <c r="M6398">
        <v>19.9665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19</v>
      </c>
      <c r="I6399" t="s">
        <v>21</v>
      </c>
      <c r="J6399">
        <v>569.56799999999998</v>
      </c>
      <c r="K6399">
        <v>2</v>
      </c>
      <c r="L6399">
        <v>0.2</v>
      </c>
      <c r="M6399">
        <v>7.1196000000000002</v>
      </c>
    </row>
    <row r="6400" spans="1:13" x14ac:dyDescent="0.3">
      <c r="A6400" t="s">
        <v>13</v>
      </c>
      <c r="B6400" t="s">
        <v>22</v>
      </c>
      <c r="C6400" t="s">
        <v>15</v>
      </c>
      <c r="D6400" t="s">
        <v>344</v>
      </c>
      <c r="E6400" t="s">
        <v>43</v>
      </c>
      <c r="F6400">
        <v>99207</v>
      </c>
      <c r="G6400" t="s">
        <v>25</v>
      </c>
      <c r="H6400" t="s">
        <v>26</v>
      </c>
      <c r="I6400" t="s">
        <v>32</v>
      </c>
      <c r="J6400">
        <v>149.72999999999999</v>
      </c>
      <c r="K6400">
        <v>7</v>
      </c>
      <c r="L6400">
        <v>0</v>
      </c>
      <c r="M6400">
        <v>43.421700000000001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19</v>
      </c>
      <c r="I6401" t="s">
        <v>21</v>
      </c>
      <c r="J6401">
        <v>899.43</v>
      </c>
      <c r="K6401">
        <v>5</v>
      </c>
      <c r="L6401">
        <v>0.3</v>
      </c>
      <c r="M6401">
        <v>-12.849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34</v>
      </c>
      <c r="J6402">
        <v>46.2</v>
      </c>
      <c r="K6402">
        <v>5</v>
      </c>
      <c r="L6402">
        <v>0.2</v>
      </c>
      <c r="M6402">
        <v>5.7750000000000004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26</v>
      </c>
      <c r="I6403" t="s">
        <v>41</v>
      </c>
      <c r="J6403">
        <v>47.951999999999998</v>
      </c>
      <c r="K6403">
        <v>3</v>
      </c>
      <c r="L6403">
        <v>0.2</v>
      </c>
      <c r="M6403">
        <v>16.183800000000002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35</v>
      </c>
      <c r="I6404" t="s">
        <v>36</v>
      </c>
      <c r="J6404">
        <v>7.992</v>
      </c>
      <c r="K6404">
        <v>1</v>
      </c>
      <c r="L6404">
        <v>0.2</v>
      </c>
      <c r="M6404">
        <v>0.69930000000000003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61</v>
      </c>
      <c r="E6405" t="s">
        <v>46</v>
      </c>
      <c r="F6405">
        <v>77041</v>
      </c>
      <c r="G6405" t="s">
        <v>47</v>
      </c>
      <c r="H6405" t="s">
        <v>26</v>
      </c>
      <c r="I6405" t="s">
        <v>41</v>
      </c>
      <c r="J6405">
        <v>76.864000000000004</v>
      </c>
      <c r="K6405">
        <v>2</v>
      </c>
      <c r="L6405">
        <v>0.2</v>
      </c>
      <c r="M6405">
        <v>26.9024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26</v>
      </c>
      <c r="I6406" t="s">
        <v>37</v>
      </c>
      <c r="J6406">
        <v>102.93</v>
      </c>
      <c r="K6406">
        <v>3</v>
      </c>
      <c r="L6406">
        <v>0</v>
      </c>
      <c r="M6406">
        <v>48.377099999999999</v>
      </c>
    </row>
    <row r="6407" spans="1:13" x14ac:dyDescent="0.3">
      <c r="A6407" t="s">
        <v>28</v>
      </c>
      <c r="B6407" t="s">
        <v>44</v>
      </c>
      <c r="C6407" t="s">
        <v>15</v>
      </c>
      <c r="D6407" t="s">
        <v>183</v>
      </c>
      <c r="E6407" t="s">
        <v>17</v>
      </c>
      <c r="F6407">
        <v>40214</v>
      </c>
      <c r="G6407" t="s">
        <v>18</v>
      </c>
      <c r="H6407" t="s">
        <v>35</v>
      </c>
      <c r="I6407" t="s">
        <v>59</v>
      </c>
      <c r="J6407">
        <v>98.16</v>
      </c>
      <c r="K6407">
        <v>6</v>
      </c>
      <c r="L6407">
        <v>0</v>
      </c>
      <c r="M6407">
        <v>9.8160000000000007</v>
      </c>
    </row>
    <row r="6408" spans="1:13" x14ac:dyDescent="0.3">
      <c r="A6408" t="s">
        <v>13</v>
      </c>
      <c r="B6408" t="s">
        <v>44</v>
      </c>
      <c r="C6408" t="s">
        <v>15</v>
      </c>
      <c r="D6408" t="s">
        <v>479</v>
      </c>
      <c r="E6408" t="s">
        <v>30</v>
      </c>
      <c r="F6408">
        <v>33021</v>
      </c>
      <c r="G6408" t="s">
        <v>18</v>
      </c>
      <c r="H6408" t="s">
        <v>26</v>
      </c>
      <c r="I6408" t="s">
        <v>37</v>
      </c>
      <c r="J6408">
        <v>11.52</v>
      </c>
      <c r="K6408">
        <v>5</v>
      </c>
      <c r="L6408">
        <v>0.7</v>
      </c>
      <c r="M6408">
        <v>-7.68</v>
      </c>
    </row>
    <row r="6409" spans="1:13" x14ac:dyDescent="0.3">
      <c r="A6409" t="s">
        <v>168</v>
      </c>
      <c r="B6409" t="s">
        <v>22</v>
      </c>
      <c r="C6409" t="s">
        <v>15</v>
      </c>
      <c r="D6409" t="s">
        <v>523</v>
      </c>
      <c r="E6409" t="s">
        <v>81</v>
      </c>
      <c r="F6409">
        <v>85224</v>
      </c>
      <c r="G6409" t="s">
        <v>25</v>
      </c>
      <c r="H6409" t="s">
        <v>26</v>
      </c>
      <c r="I6409" t="s">
        <v>41</v>
      </c>
      <c r="J6409">
        <v>83.88</v>
      </c>
      <c r="K6409">
        <v>1</v>
      </c>
      <c r="L6409">
        <v>0.2</v>
      </c>
      <c r="M6409">
        <v>29.358000000000001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35</v>
      </c>
      <c r="I6410" t="s">
        <v>36</v>
      </c>
      <c r="J6410">
        <v>108.57599999999999</v>
      </c>
      <c r="K6410">
        <v>4</v>
      </c>
      <c r="L6410">
        <v>0.4</v>
      </c>
      <c r="M6410">
        <v>-25.334399999999999</v>
      </c>
    </row>
    <row r="6411" spans="1:13" x14ac:dyDescent="0.3">
      <c r="A6411" t="s">
        <v>28</v>
      </c>
      <c r="B6411" t="s">
        <v>14</v>
      </c>
      <c r="C6411" t="s">
        <v>15</v>
      </c>
      <c r="D6411" t="s">
        <v>55</v>
      </c>
      <c r="E6411" t="s">
        <v>56</v>
      </c>
      <c r="F6411">
        <v>19120</v>
      </c>
      <c r="G6411" t="s">
        <v>57</v>
      </c>
      <c r="H6411" t="s">
        <v>26</v>
      </c>
      <c r="I6411" t="s">
        <v>77</v>
      </c>
      <c r="J6411">
        <v>5.984</v>
      </c>
      <c r="K6411">
        <v>2</v>
      </c>
      <c r="L6411">
        <v>0.2</v>
      </c>
      <c r="M6411">
        <v>-1.3464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26</v>
      </c>
      <c r="I6412" t="s">
        <v>110</v>
      </c>
      <c r="J6412">
        <v>21.96</v>
      </c>
      <c r="K6412">
        <v>2</v>
      </c>
      <c r="L6412">
        <v>0</v>
      </c>
      <c r="M6412">
        <v>6.1487999999999996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19</v>
      </c>
      <c r="I6413" t="s">
        <v>21</v>
      </c>
      <c r="J6413">
        <v>368.97</v>
      </c>
      <c r="K6413">
        <v>3</v>
      </c>
      <c r="L6413">
        <v>0</v>
      </c>
      <c r="M6413">
        <v>81.173400000000001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34</v>
      </c>
      <c r="J6414">
        <v>12.39</v>
      </c>
      <c r="K6414">
        <v>3</v>
      </c>
      <c r="L6414">
        <v>0</v>
      </c>
      <c r="M6414">
        <v>3.4691999999999998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337</v>
      </c>
      <c r="E6415" t="s">
        <v>119</v>
      </c>
      <c r="F6415">
        <v>74133</v>
      </c>
      <c r="G6415" t="s">
        <v>47</v>
      </c>
      <c r="H6415" t="s">
        <v>26</v>
      </c>
      <c r="I6415" t="s">
        <v>32</v>
      </c>
      <c r="J6415">
        <v>332.94</v>
      </c>
      <c r="K6415">
        <v>3</v>
      </c>
      <c r="L6415">
        <v>0</v>
      </c>
      <c r="M6415">
        <v>9.9882000000000009</v>
      </c>
    </row>
    <row r="6416" spans="1:13" x14ac:dyDescent="0.3">
      <c r="A6416" t="s">
        <v>28</v>
      </c>
      <c r="B6416" t="s">
        <v>22</v>
      </c>
      <c r="C6416" t="s">
        <v>15</v>
      </c>
      <c r="D6416" t="s">
        <v>537</v>
      </c>
      <c r="E6416" t="s">
        <v>51</v>
      </c>
      <c r="F6416">
        <v>84020</v>
      </c>
      <c r="G6416" t="s">
        <v>25</v>
      </c>
      <c r="H6416" t="s">
        <v>35</v>
      </c>
      <c r="I6416" t="s">
        <v>59</v>
      </c>
      <c r="J6416">
        <v>111.93</v>
      </c>
      <c r="K6416">
        <v>7</v>
      </c>
      <c r="L6416">
        <v>0</v>
      </c>
      <c r="M6416">
        <v>34.698300000000003</v>
      </c>
    </row>
    <row r="6417" spans="1:13" x14ac:dyDescent="0.3">
      <c r="A6417" t="s">
        <v>62</v>
      </c>
      <c r="B6417" t="s">
        <v>44</v>
      </c>
      <c r="C6417" t="s">
        <v>15</v>
      </c>
      <c r="D6417" t="s">
        <v>267</v>
      </c>
      <c r="E6417" t="s">
        <v>24</v>
      </c>
      <c r="F6417">
        <v>94601</v>
      </c>
      <c r="G6417" t="s">
        <v>25</v>
      </c>
      <c r="H6417" t="s">
        <v>19</v>
      </c>
      <c r="I6417" t="s">
        <v>21</v>
      </c>
      <c r="J6417">
        <v>454.27199999999999</v>
      </c>
      <c r="K6417">
        <v>8</v>
      </c>
      <c r="L6417">
        <v>0.2</v>
      </c>
      <c r="M6417">
        <v>-73.819199999999995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184</v>
      </c>
      <c r="E6418" t="s">
        <v>166</v>
      </c>
      <c r="F6418">
        <v>1841</v>
      </c>
      <c r="G6418" t="s">
        <v>57</v>
      </c>
      <c r="H6418" t="s">
        <v>26</v>
      </c>
      <c r="I6418" t="s">
        <v>41</v>
      </c>
      <c r="J6418">
        <v>19.440000000000001</v>
      </c>
      <c r="K6418">
        <v>3</v>
      </c>
      <c r="L6418">
        <v>0</v>
      </c>
      <c r="M6418">
        <v>9.3312000000000008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35</v>
      </c>
      <c r="I6419" t="s">
        <v>162</v>
      </c>
      <c r="J6419">
        <v>8399.9760000000006</v>
      </c>
      <c r="K6419">
        <v>4</v>
      </c>
      <c r="L6419">
        <v>0.4</v>
      </c>
      <c r="M6419">
        <v>1119.9967999999999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37</v>
      </c>
      <c r="J6420">
        <v>6.2939999999999996</v>
      </c>
      <c r="K6420">
        <v>1</v>
      </c>
      <c r="L6420">
        <v>0.7</v>
      </c>
      <c r="M6420">
        <v>-4.1959999999999997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26</v>
      </c>
      <c r="I6421" t="s">
        <v>41</v>
      </c>
      <c r="J6421">
        <v>10.368</v>
      </c>
      <c r="K6421">
        <v>2</v>
      </c>
      <c r="L6421">
        <v>0.2</v>
      </c>
      <c r="M6421">
        <v>3.6288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55</v>
      </c>
      <c r="E6422" t="s">
        <v>56</v>
      </c>
      <c r="F6422">
        <v>19120</v>
      </c>
      <c r="G6422" t="s">
        <v>57</v>
      </c>
      <c r="H6422" t="s">
        <v>35</v>
      </c>
      <c r="I6422" t="s">
        <v>36</v>
      </c>
      <c r="J6422">
        <v>122.38200000000001</v>
      </c>
      <c r="K6422">
        <v>3</v>
      </c>
      <c r="L6422">
        <v>0.4</v>
      </c>
      <c r="M6422">
        <v>-24.476400000000002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26</v>
      </c>
      <c r="I6423" t="s">
        <v>32</v>
      </c>
      <c r="J6423">
        <v>25.984000000000002</v>
      </c>
      <c r="K6423">
        <v>2</v>
      </c>
      <c r="L6423">
        <v>0.2</v>
      </c>
      <c r="M6423">
        <v>-1.6240000000000001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19</v>
      </c>
      <c r="I6424" t="s">
        <v>31</v>
      </c>
      <c r="J6424">
        <v>945.03599999999994</v>
      </c>
      <c r="K6424">
        <v>6</v>
      </c>
      <c r="L6424">
        <v>0.4</v>
      </c>
      <c r="M6424">
        <v>-299.26139999999998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26</v>
      </c>
      <c r="I6425" t="s">
        <v>37</v>
      </c>
      <c r="J6425">
        <v>14.301</v>
      </c>
      <c r="K6425">
        <v>7</v>
      </c>
      <c r="L6425">
        <v>0.7</v>
      </c>
      <c r="M6425">
        <v>-10.487399999999999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189</v>
      </c>
      <c r="E6426" t="s">
        <v>40</v>
      </c>
      <c r="F6426">
        <v>28540</v>
      </c>
      <c r="G6426" t="s">
        <v>18</v>
      </c>
      <c r="H6426" t="s">
        <v>19</v>
      </c>
      <c r="I6426" t="s">
        <v>33</v>
      </c>
      <c r="J6426">
        <v>410.35199999999998</v>
      </c>
      <c r="K6426">
        <v>3</v>
      </c>
      <c r="L6426">
        <v>0.2</v>
      </c>
      <c r="M6426">
        <v>-51.293999999999997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26</v>
      </c>
      <c r="I6427" t="s">
        <v>41</v>
      </c>
      <c r="J6427">
        <v>23.52</v>
      </c>
      <c r="K6427">
        <v>5</v>
      </c>
      <c r="L6427">
        <v>0.2</v>
      </c>
      <c r="M6427">
        <v>8.5259999999999998</v>
      </c>
    </row>
    <row r="6428" spans="1:13" x14ac:dyDescent="0.3">
      <c r="A6428" t="s">
        <v>28</v>
      </c>
      <c r="B6428" t="s">
        <v>22</v>
      </c>
      <c r="C6428" t="s">
        <v>15</v>
      </c>
      <c r="D6428" t="s">
        <v>79</v>
      </c>
      <c r="E6428" t="s">
        <v>65</v>
      </c>
      <c r="F6428">
        <v>60610</v>
      </c>
      <c r="G6428" t="s">
        <v>47</v>
      </c>
      <c r="H6428" t="s">
        <v>35</v>
      </c>
      <c r="I6428" t="s">
        <v>36</v>
      </c>
      <c r="J6428">
        <v>180.96</v>
      </c>
      <c r="K6428">
        <v>5</v>
      </c>
      <c r="L6428">
        <v>0.2</v>
      </c>
      <c r="M6428">
        <v>13.571999999999999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19</v>
      </c>
      <c r="I6429" t="s">
        <v>33</v>
      </c>
      <c r="J6429">
        <v>35</v>
      </c>
      <c r="K6429">
        <v>4</v>
      </c>
      <c r="L6429">
        <v>0</v>
      </c>
      <c r="M6429">
        <v>14.7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26</v>
      </c>
      <c r="I6430" t="s">
        <v>32</v>
      </c>
      <c r="J6430">
        <v>477.15</v>
      </c>
      <c r="K6430">
        <v>5</v>
      </c>
      <c r="L6430">
        <v>0</v>
      </c>
      <c r="M6430">
        <v>28.629000000000001</v>
      </c>
    </row>
    <row r="6431" spans="1:13" x14ac:dyDescent="0.3">
      <c r="A6431" t="s">
        <v>62</v>
      </c>
      <c r="B6431" t="s">
        <v>14</v>
      </c>
      <c r="C6431" t="s">
        <v>15</v>
      </c>
      <c r="D6431" t="s">
        <v>540</v>
      </c>
      <c r="E6431" t="s">
        <v>437</v>
      </c>
      <c r="F6431">
        <v>83201</v>
      </c>
      <c r="G6431" t="s">
        <v>25</v>
      </c>
      <c r="H6431" t="s">
        <v>35</v>
      </c>
      <c r="I6431" t="s">
        <v>36</v>
      </c>
      <c r="J6431">
        <v>302.37599999999998</v>
      </c>
      <c r="K6431">
        <v>3</v>
      </c>
      <c r="L6431">
        <v>0.2</v>
      </c>
      <c r="M6431">
        <v>22.6782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328</v>
      </c>
      <c r="E6432" t="s">
        <v>46</v>
      </c>
      <c r="F6432">
        <v>75023</v>
      </c>
      <c r="G6432" t="s">
        <v>47</v>
      </c>
      <c r="H6432" t="s">
        <v>19</v>
      </c>
      <c r="I6432" t="s">
        <v>31</v>
      </c>
      <c r="J6432">
        <v>974.98800000000006</v>
      </c>
      <c r="K6432">
        <v>4</v>
      </c>
      <c r="L6432">
        <v>0.3</v>
      </c>
      <c r="M6432">
        <v>-97.498800000000003</v>
      </c>
    </row>
    <row r="6433" spans="1:13" x14ac:dyDescent="0.3">
      <c r="A6433" t="s">
        <v>62</v>
      </c>
      <c r="B6433" t="s">
        <v>14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19</v>
      </c>
      <c r="I6433" t="s">
        <v>21</v>
      </c>
      <c r="J6433">
        <v>589.41</v>
      </c>
      <c r="K6433">
        <v>5</v>
      </c>
      <c r="L6433">
        <v>0.1</v>
      </c>
      <c r="M6433">
        <v>-6.5490000000000004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34</v>
      </c>
      <c r="J6434">
        <v>34.700000000000003</v>
      </c>
      <c r="K6434">
        <v>5</v>
      </c>
      <c r="L6434">
        <v>0</v>
      </c>
      <c r="M6434">
        <v>12.492000000000001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32</v>
      </c>
      <c r="J6435">
        <v>99.87</v>
      </c>
      <c r="K6435">
        <v>3</v>
      </c>
      <c r="L6435">
        <v>0</v>
      </c>
      <c r="M6435">
        <v>23.968800000000002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41</v>
      </c>
      <c r="J6436">
        <v>37.94</v>
      </c>
      <c r="K6436">
        <v>2</v>
      </c>
      <c r="L6436">
        <v>0</v>
      </c>
      <c r="M6436">
        <v>18.211200000000002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26</v>
      </c>
      <c r="I6437" t="s">
        <v>27</v>
      </c>
      <c r="J6437">
        <v>24.9</v>
      </c>
      <c r="K6437">
        <v>5</v>
      </c>
      <c r="L6437">
        <v>0</v>
      </c>
      <c r="M6437">
        <v>11.454000000000001</v>
      </c>
    </row>
    <row r="6438" spans="1:13" x14ac:dyDescent="0.3">
      <c r="A6438" t="s">
        <v>28</v>
      </c>
      <c r="B6438" t="s">
        <v>22</v>
      </c>
      <c r="C6438" t="s">
        <v>15</v>
      </c>
      <c r="D6438" t="s">
        <v>75</v>
      </c>
      <c r="E6438" t="s">
        <v>76</v>
      </c>
      <c r="F6438">
        <v>10024</v>
      </c>
      <c r="G6438" t="s">
        <v>57</v>
      </c>
      <c r="H6438" t="s">
        <v>19</v>
      </c>
      <c r="I6438" t="s">
        <v>33</v>
      </c>
      <c r="J6438">
        <v>82.26</v>
      </c>
      <c r="K6438">
        <v>3</v>
      </c>
      <c r="L6438">
        <v>0</v>
      </c>
      <c r="M6438">
        <v>33.726599999999998</v>
      </c>
    </row>
    <row r="6439" spans="1:13" x14ac:dyDescent="0.3">
      <c r="A6439" t="s">
        <v>28</v>
      </c>
      <c r="B6439" t="s">
        <v>14</v>
      </c>
      <c r="C6439" t="s">
        <v>15</v>
      </c>
      <c r="D6439" t="s">
        <v>79</v>
      </c>
      <c r="E6439" t="s">
        <v>65</v>
      </c>
      <c r="F6439">
        <v>60623</v>
      </c>
      <c r="G6439" t="s">
        <v>47</v>
      </c>
      <c r="H6439" t="s">
        <v>26</v>
      </c>
      <c r="I6439" t="s">
        <v>77</v>
      </c>
      <c r="J6439">
        <v>7.1040000000000001</v>
      </c>
      <c r="K6439">
        <v>6</v>
      </c>
      <c r="L6439">
        <v>0.2</v>
      </c>
      <c r="M6439">
        <v>2.4864000000000002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19</v>
      </c>
      <c r="I6440" t="s">
        <v>33</v>
      </c>
      <c r="J6440">
        <v>103.5</v>
      </c>
      <c r="K6440">
        <v>5</v>
      </c>
      <c r="L6440">
        <v>0.6</v>
      </c>
      <c r="M6440">
        <v>-77.625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27</v>
      </c>
      <c r="J6441">
        <v>2.464</v>
      </c>
      <c r="K6441">
        <v>1</v>
      </c>
      <c r="L6441">
        <v>0.2</v>
      </c>
      <c r="M6441">
        <v>0.86240000000000006</v>
      </c>
    </row>
    <row r="6442" spans="1:13" x14ac:dyDescent="0.3">
      <c r="A6442" t="s">
        <v>13</v>
      </c>
      <c r="B6442" t="s">
        <v>44</v>
      </c>
      <c r="C6442" t="s">
        <v>15</v>
      </c>
      <c r="D6442" t="s">
        <v>61</v>
      </c>
      <c r="E6442" t="s">
        <v>46</v>
      </c>
      <c r="F6442">
        <v>77095</v>
      </c>
      <c r="G6442" t="s">
        <v>47</v>
      </c>
      <c r="H6442" t="s">
        <v>26</v>
      </c>
      <c r="I6442" t="s">
        <v>32</v>
      </c>
      <c r="J6442">
        <v>8.7200000000000006</v>
      </c>
      <c r="K6442">
        <v>1</v>
      </c>
      <c r="L6442">
        <v>0.2</v>
      </c>
      <c r="M6442">
        <v>0.65400000000000003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37</v>
      </c>
      <c r="J6443">
        <v>10.76</v>
      </c>
      <c r="K6443">
        <v>2</v>
      </c>
      <c r="L6443">
        <v>0</v>
      </c>
      <c r="M6443">
        <v>5.1647999999999996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41</v>
      </c>
      <c r="J6444">
        <v>45.68</v>
      </c>
      <c r="K6444">
        <v>2</v>
      </c>
      <c r="L6444">
        <v>0</v>
      </c>
      <c r="M6444">
        <v>21.012799999999999</v>
      </c>
    </row>
    <row r="6445" spans="1:13" x14ac:dyDescent="0.3">
      <c r="A6445" t="s">
        <v>28</v>
      </c>
      <c r="B6445" t="s">
        <v>14</v>
      </c>
      <c r="C6445" t="s">
        <v>15</v>
      </c>
      <c r="D6445" t="s">
        <v>341</v>
      </c>
      <c r="E6445" t="s">
        <v>127</v>
      </c>
      <c r="F6445">
        <v>6450</v>
      </c>
      <c r="G6445" t="s">
        <v>57</v>
      </c>
      <c r="H6445" t="s">
        <v>26</v>
      </c>
      <c r="I6445" t="s">
        <v>34</v>
      </c>
      <c r="J6445">
        <v>6.7</v>
      </c>
      <c r="K6445">
        <v>1</v>
      </c>
      <c r="L6445">
        <v>0</v>
      </c>
      <c r="M6445">
        <v>2.2109999999999999</v>
      </c>
    </row>
    <row r="6446" spans="1:13" x14ac:dyDescent="0.3">
      <c r="A6446" t="s">
        <v>13</v>
      </c>
      <c r="B6446" t="s">
        <v>14</v>
      </c>
      <c r="C6446" t="s">
        <v>15</v>
      </c>
      <c r="D6446" t="s">
        <v>569</v>
      </c>
      <c r="E6446" t="s">
        <v>65</v>
      </c>
      <c r="F6446">
        <v>60025</v>
      </c>
      <c r="G6446" t="s">
        <v>47</v>
      </c>
      <c r="H6446" t="s">
        <v>35</v>
      </c>
      <c r="I6446" t="s">
        <v>36</v>
      </c>
      <c r="J6446">
        <v>158.376</v>
      </c>
      <c r="K6446">
        <v>3</v>
      </c>
      <c r="L6446">
        <v>0.2</v>
      </c>
      <c r="M6446">
        <v>13.857900000000001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61</v>
      </c>
      <c r="E6447" t="s">
        <v>46</v>
      </c>
      <c r="F6447">
        <v>77036</v>
      </c>
      <c r="G6447" t="s">
        <v>47</v>
      </c>
      <c r="H6447" t="s">
        <v>26</v>
      </c>
      <c r="I6447" t="s">
        <v>34</v>
      </c>
      <c r="J6447">
        <v>3.44</v>
      </c>
      <c r="K6447">
        <v>2</v>
      </c>
      <c r="L6447">
        <v>0.2</v>
      </c>
      <c r="M6447">
        <v>0.55900000000000005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26</v>
      </c>
      <c r="I6448" t="s">
        <v>32</v>
      </c>
      <c r="J6448">
        <v>56.56</v>
      </c>
      <c r="K6448">
        <v>2</v>
      </c>
      <c r="L6448">
        <v>0</v>
      </c>
      <c r="M6448">
        <v>15.2712</v>
      </c>
    </row>
    <row r="6449" spans="1:13" x14ac:dyDescent="0.3">
      <c r="A6449" t="s">
        <v>62</v>
      </c>
      <c r="B6449" t="s">
        <v>14</v>
      </c>
      <c r="C6449" t="s">
        <v>15</v>
      </c>
      <c r="D6449" t="s">
        <v>52</v>
      </c>
      <c r="E6449" t="s">
        <v>24</v>
      </c>
      <c r="F6449">
        <v>94110</v>
      </c>
      <c r="G6449" t="s">
        <v>25</v>
      </c>
      <c r="H6449" t="s">
        <v>19</v>
      </c>
      <c r="I6449" t="s">
        <v>33</v>
      </c>
      <c r="J6449">
        <v>36.96</v>
      </c>
      <c r="K6449">
        <v>7</v>
      </c>
      <c r="L6449">
        <v>0</v>
      </c>
      <c r="M6449">
        <v>11.457599999999999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35</v>
      </c>
      <c r="I6450" t="s">
        <v>36</v>
      </c>
      <c r="J6450">
        <v>135.99</v>
      </c>
      <c r="K6450">
        <v>1</v>
      </c>
      <c r="L6450">
        <v>0</v>
      </c>
      <c r="M6450">
        <v>36.717300000000002</v>
      </c>
    </row>
    <row r="6451" spans="1:13" x14ac:dyDescent="0.3">
      <c r="A6451" t="s">
        <v>28</v>
      </c>
      <c r="B6451" t="s">
        <v>22</v>
      </c>
      <c r="C6451" t="s">
        <v>15</v>
      </c>
      <c r="D6451" t="s">
        <v>75</v>
      </c>
      <c r="E6451" t="s">
        <v>76</v>
      </c>
      <c r="F6451">
        <v>10009</v>
      </c>
      <c r="G6451" t="s">
        <v>57</v>
      </c>
      <c r="H6451" t="s">
        <v>26</v>
      </c>
      <c r="I6451" t="s">
        <v>34</v>
      </c>
      <c r="J6451">
        <v>15.96</v>
      </c>
      <c r="K6451">
        <v>7</v>
      </c>
      <c r="L6451">
        <v>0</v>
      </c>
      <c r="M6451">
        <v>7.0224000000000002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3.76</v>
      </c>
      <c r="K6452">
        <v>2</v>
      </c>
      <c r="L6452">
        <v>0</v>
      </c>
      <c r="M6452">
        <v>1.0904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14.7</v>
      </c>
      <c r="K6453">
        <v>5</v>
      </c>
      <c r="L6453">
        <v>0</v>
      </c>
      <c r="M6453">
        <v>6.6150000000000002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26</v>
      </c>
      <c r="I6454" t="s">
        <v>34</v>
      </c>
      <c r="J6454">
        <v>37.200000000000003</v>
      </c>
      <c r="K6454">
        <v>5</v>
      </c>
      <c r="L6454">
        <v>0</v>
      </c>
      <c r="M6454">
        <v>9.3000000000000007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35</v>
      </c>
      <c r="I6455" t="s">
        <v>59</v>
      </c>
      <c r="J6455">
        <v>89.97</v>
      </c>
      <c r="K6455">
        <v>3</v>
      </c>
      <c r="L6455">
        <v>0</v>
      </c>
      <c r="M6455">
        <v>18.893699999999999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19</v>
      </c>
      <c r="I6456" t="s">
        <v>21</v>
      </c>
      <c r="J6456">
        <v>261.95999999999998</v>
      </c>
      <c r="K6456">
        <v>2</v>
      </c>
      <c r="L6456">
        <v>0</v>
      </c>
      <c r="M6456">
        <v>23.5764</v>
      </c>
    </row>
    <row r="6457" spans="1:13" x14ac:dyDescent="0.3">
      <c r="A6457" t="s">
        <v>62</v>
      </c>
      <c r="B6457" t="s">
        <v>22</v>
      </c>
      <c r="C6457" t="s">
        <v>15</v>
      </c>
      <c r="D6457" t="s">
        <v>333</v>
      </c>
      <c r="E6457" t="s">
        <v>248</v>
      </c>
      <c r="F6457">
        <v>21215</v>
      </c>
      <c r="G6457" t="s">
        <v>57</v>
      </c>
      <c r="H6457" t="s">
        <v>26</v>
      </c>
      <c r="I6457" t="s">
        <v>27</v>
      </c>
      <c r="J6457">
        <v>74</v>
      </c>
      <c r="K6457">
        <v>5</v>
      </c>
      <c r="L6457">
        <v>0</v>
      </c>
      <c r="M6457">
        <v>37</v>
      </c>
    </row>
    <row r="6458" spans="1:13" x14ac:dyDescent="0.3">
      <c r="A6458" t="s">
        <v>28</v>
      </c>
      <c r="B6458" t="s">
        <v>44</v>
      </c>
      <c r="C6458" t="s">
        <v>15</v>
      </c>
      <c r="D6458" t="s">
        <v>183</v>
      </c>
      <c r="E6458" t="s">
        <v>17</v>
      </c>
      <c r="F6458">
        <v>40214</v>
      </c>
      <c r="G6458" t="s">
        <v>18</v>
      </c>
      <c r="H6458" t="s">
        <v>19</v>
      </c>
      <c r="I6458" t="s">
        <v>33</v>
      </c>
      <c r="J6458">
        <v>13.28</v>
      </c>
      <c r="K6458">
        <v>2</v>
      </c>
      <c r="L6458">
        <v>0</v>
      </c>
      <c r="M6458">
        <v>6.3743999999999996</v>
      </c>
    </row>
    <row r="6459" spans="1:13" x14ac:dyDescent="0.3">
      <c r="A6459" t="s">
        <v>28</v>
      </c>
      <c r="B6459" t="s">
        <v>14</v>
      </c>
      <c r="C6459" t="s">
        <v>15</v>
      </c>
      <c r="D6459" t="s">
        <v>557</v>
      </c>
      <c r="E6459" t="s">
        <v>86</v>
      </c>
      <c r="F6459">
        <v>37087</v>
      </c>
      <c r="G6459" t="s">
        <v>18</v>
      </c>
      <c r="H6459" t="s">
        <v>26</v>
      </c>
      <c r="I6459" t="s">
        <v>32</v>
      </c>
      <c r="J6459">
        <v>84.96</v>
      </c>
      <c r="K6459">
        <v>6</v>
      </c>
      <c r="L6459">
        <v>0.2</v>
      </c>
      <c r="M6459">
        <v>6.3719999999999999</v>
      </c>
    </row>
    <row r="6460" spans="1:13" x14ac:dyDescent="0.3">
      <c r="A6460" t="s">
        <v>13</v>
      </c>
      <c r="B6460" t="s">
        <v>14</v>
      </c>
      <c r="C6460" t="s">
        <v>15</v>
      </c>
      <c r="D6460" t="s">
        <v>23</v>
      </c>
      <c r="E6460" t="s">
        <v>24</v>
      </c>
      <c r="F6460">
        <v>90008</v>
      </c>
      <c r="G6460" t="s">
        <v>25</v>
      </c>
      <c r="H6460" t="s">
        <v>35</v>
      </c>
      <c r="I6460" t="s">
        <v>59</v>
      </c>
      <c r="J6460">
        <v>68.459999999999994</v>
      </c>
      <c r="K6460">
        <v>7</v>
      </c>
      <c r="L6460">
        <v>0</v>
      </c>
      <c r="M6460">
        <v>25.330200000000001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26</v>
      </c>
      <c r="I6461" t="s">
        <v>32</v>
      </c>
      <c r="J6461">
        <v>2079.4</v>
      </c>
      <c r="K6461">
        <v>5</v>
      </c>
      <c r="L6461">
        <v>0</v>
      </c>
      <c r="M6461">
        <v>582.23199999999997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35</v>
      </c>
      <c r="I6462" t="s">
        <v>36</v>
      </c>
      <c r="J6462">
        <v>629.95000000000005</v>
      </c>
      <c r="K6462">
        <v>5</v>
      </c>
      <c r="L6462">
        <v>0</v>
      </c>
      <c r="M6462">
        <v>176.386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290</v>
      </c>
      <c r="E6463" t="s">
        <v>179</v>
      </c>
      <c r="F6463">
        <v>2908</v>
      </c>
      <c r="G6463" t="s">
        <v>57</v>
      </c>
      <c r="H6463" t="s">
        <v>19</v>
      </c>
      <c r="I6463" t="s">
        <v>33</v>
      </c>
      <c r="J6463">
        <v>72.42</v>
      </c>
      <c r="K6463">
        <v>6</v>
      </c>
      <c r="L6463">
        <v>0</v>
      </c>
      <c r="M6463">
        <v>23.898599999999998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36</v>
      </c>
      <c r="J6464">
        <v>131.97999999999999</v>
      </c>
      <c r="K6464">
        <v>2</v>
      </c>
      <c r="L6464">
        <v>0</v>
      </c>
      <c r="M6464">
        <v>35.634599999999999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140</v>
      </c>
      <c r="E6465" t="s">
        <v>70</v>
      </c>
      <c r="F6465">
        <v>48234</v>
      </c>
      <c r="G6465" t="s">
        <v>47</v>
      </c>
      <c r="H6465" t="s">
        <v>35</v>
      </c>
      <c r="I6465" t="s">
        <v>59</v>
      </c>
      <c r="J6465">
        <v>114.52</v>
      </c>
      <c r="K6465">
        <v>7</v>
      </c>
      <c r="L6465">
        <v>0</v>
      </c>
      <c r="M6465">
        <v>11.452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61</v>
      </c>
      <c r="E6466" t="s">
        <v>46</v>
      </c>
      <c r="F6466">
        <v>77070</v>
      </c>
      <c r="G6466" t="s">
        <v>47</v>
      </c>
      <c r="H6466" t="s">
        <v>26</v>
      </c>
      <c r="I6466" t="s">
        <v>27</v>
      </c>
      <c r="J6466">
        <v>100.24</v>
      </c>
      <c r="K6466">
        <v>10</v>
      </c>
      <c r="L6466">
        <v>0.2</v>
      </c>
      <c r="M6466">
        <v>33.831000000000003</v>
      </c>
    </row>
    <row r="6467" spans="1:13" x14ac:dyDescent="0.3">
      <c r="A6467" t="s">
        <v>13</v>
      </c>
      <c r="B6467" t="s">
        <v>14</v>
      </c>
      <c r="C6467" t="s">
        <v>15</v>
      </c>
      <c r="D6467" t="s">
        <v>90</v>
      </c>
      <c r="E6467" t="s">
        <v>86</v>
      </c>
      <c r="F6467">
        <v>38401</v>
      </c>
      <c r="G6467" t="s">
        <v>18</v>
      </c>
      <c r="H6467" t="s">
        <v>26</v>
      </c>
      <c r="I6467" t="s">
        <v>38</v>
      </c>
      <c r="J6467">
        <v>871.8</v>
      </c>
      <c r="K6467">
        <v>3</v>
      </c>
      <c r="L6467">
        <v>0.2</v>
      </c>
      <c r="M6467">
        <v>87.18</v>
      </c>
    </row>
    <row r="6468" spans="1:13" x14ac:dyDescent="0.3">
      <c r="A6468" t="s">
        <v>62</v>
      </c>
      <c r="B6468" t="s">
        <v>22</v>
      </c>
      <c r="C6468" t="s">
        <v>15</v>
      </c>
      <c r="D6468" t="s">
        <v>55</v>
      </c>
      <c r="E6468" t="s">
        <v>56</v>
      </c>
      <c r="F6468">
        <v>19140</v>
      </c>
      <c r="G6468" t="s">
        <v>57</v>
      </c>
      <c r="H6468" t="s">
        <v>19</v>
      </c>
      <c r="I6468" t="s">
        <v>20</v>
      </c>
      <c r="J6468">
        <v>61.96</v>
      </c>
      <c r="K6468">
        <v>4</v>
      </c>
      <c r="L6468">
        <v>0.5</v>
      </c>
      <c r="M6468">
        <v>-53.285600000000002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37</v>
      </c>
      <c r="J6469">
        <v>4.5540000000000003</v>
      </c>
      <c r="K6469">
        <v>3</v>
      </c>
      <c r="L6469">
        <v>0.7</v>
      </c>
      <c r="M6469">
        <v>-3.4914000000000001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26</v>
      </c>
      <c r="I6470" t="s">
        <v>38</v>
      </c>
      <c r="J6470">
        <v>5.2</v>
      </c>
      <c r="K6470">
        <v>2</v>
      </c>
      <c r="L6470">
        <v>0.2</v>
      </c>
      <c r="M6470">
        <v>0.58499999999999996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35</v>
      </c>
      <c r="I6471" t="s">
        <v>59</v>
      </c>
      <c r="J6471">
        <v>205.99199999999999</v>
      </c>
      <c r="K6471">
        <v>1</v>
      </c>
      <c r="L6471">
        <v>0.2</v>
      </c>
      <c r="M6471">
        <v>-2.5749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26</v>
      </c>
      <c r="I6472" t="s">
        <v>41</v>
      </c>
      <c r="J6472">
        <v>15.552</v>
      </c>
      <c r="K6472">
        <v>3</v>
      </c>
      <c r="L6472">
        <v>0.2</v>
      </c>
      <c r="M6472">
        <v>5.4432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35</v>
      </c>
      <c r="I6473" t="s">
        <v>36</v>
      </c>
      <c r="J6473">
        <v>503.96</v>
      </c>
      <c r="K6473">
        <v>5</v>
      </c>
      <c r="L6473">
        <v>0.2</v>
      </c>
      <c r="M6473">
        <v>50.396000000000001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26</v>
      </c>
      <c r="I6474" t="s">
        <v>38</v>
      </c>
      <c r="J6474">
        <v>24.472000000000001</v>
      </c>
      <c r="K6474">
        <v>7</v>
      </c>
      <c r="L6474">
        <v>0.2</v>
      </c>
      <c r="M6474">
        <v>1.8353999999999999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19</v>
      </c>
      <c r="I6475" t="s">
        <v>20</v>
      </c>
      <c r="J6475">
        <v>241.56800000000001</v>
      </c>
      <c r="K6475">
        <v>2</v>
      </c>
      <c r="L6475">
        <v>0.2</v>
      </c>
      <c r="M6475">
        <v>0</v>
      </c>
    </row>
    <row r="6476" spans="1:13" x14ac:dyDescent="0.3">
      <c r="A6476" t="s">
        <v>28</v>
      </c>
      <c r="B6476" t="s">
        <v>14</v>
      </c>
      <c r="C6476" t="s">
        <v>15</v>
      </c>
      <c r="D6476" t="s">
        <v>173</v>
      </c>
      <c r="E6476" t="s">
        <v>30</v>
      </c>
      <c r="F6476">
        <v>33024</v>
      </c>
      <c r="G6476" t="s">
        <v>18</v>
      </c>
      <c r="H6476" t="s">
        <v>35</v>
      </c>
      <c r="I6476" t="s">
        <v>59</v>
      </c>
      <c r="J6476">
        <v>110.4</v>
      </c>
      <c r="K6476">
        <v>2</v>
      </c>
      <c r="L6476">
        <v>0.2</v>
      </c>
      <c r="M6476">
        <v>-4.1399999999999997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19</v>
      </c>
      <c r="I6477" t="s">
        <v>31</v>
      </c>
      <c r="J6477">
        <v>384.76799999999997</v>
      </c>
      <c r="K6477">
        <v>2</v>
      </c>
      <c r="L6477">
        <v>0.4</v>
      </c>
      <c r="M6477">
        <v>-115.43040000000001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35</v>
      </c>
      <c r="I6478" t="s">
        <v>123</v>
      </c>
      <c r="J6478">
        <v>78.66</v>
      </c>
      <c r="K6478">
        <v>6</v>
      </c>
      <c r="L6478">
        <v>0</v>
      </c>
      <c r="M6478">
        <v>36.183599999999998</v>
      </c>
    </row>
    <row r="6479" spans="1:13" x14ac:dyDescent="0.3">
      <c r="A6479" t="s">
        <v>28</v>
      </c>
      <c r="B6479" t="s">
        <v>22</v>
      </c>
      <c r="C6479" t="s">
        <v>15</v>
      </c>
      <c r="D6479" t="s">
        <v>75</v>
      </c>
      <c r="E6479" t="s">
        <v>76</v>
      </c>
      <c r="F6479">
        <v>10011</v>
      </c>
      <c r="G6479" t="s">
        <v>57</v>
      </c>
      <c r="H6479" t="s">
        <v>26</v>
      </c>
      <c r="I6479" t="s">
        <v>41</v>
      </c>
      <c r="J6479">
        <v>45.36</v>
      </c>
      <c r="K6479">
        <v>4</v>
      </c>
      <c r="L6479">
        <v>0</v>
      </c>
      <c r="M6479">
        <v>22.226400000000002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38</v>
      </c>
      <c r="J6480">
        <v>962.08</v>
      </c>
      <c r="K6480">
        <v>4</v>
      </c>
      <c r="L6480">
        <v>0.2</v>
      </c>
      <c r="M6480">
        <v>156.33799999999999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37</v>
      </c>
      <c r="J6481">
        <v>12.843</v>
      </c>
      <c r="K6481">
        <v>3</v>
      </c>
      <c r="L6481">
        <v>0.7</v>
      </c>
      <c r="M6481">
        <v>-9.8462999999999994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189</v>
      </c>
      <c r="E6482" t="s">
        <v>40</v>
      </c>
      <c r="F6482">
        <v>28540</v>
      </c>
      <c r="G6482" t="s">
        <v>18</v>
      </c>
      <c r="H6482" t="s">
        <v>26</v>
      </c>
      <c r="I6482" t="s">
        <v>41</v>
      </c>
      <c r="J6482">
        <v>295.45600000000002</v>
      </c>
      <c r="K6482">
        <v>14</v>
      </c>
      <c r="L6482">
        <v>0.2</v>
      </c>
      <c r="M6482">
        <v>96.023200000000003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75</v>
      </c>
      <c r="E6483" t="s">
        <v>76</v>
      </c>
      <c r="F6483">
        <v>10011</v>
      </c>
      <c r="G6483" t="s">
        <v>57</v>
      </c>
      <c r="H6483" t="s">
        <v>26</v>
      </c>
      <c r="I6483" t="s">
        <v>41</v>
      </c>
      <c r="J6483">
        <v>32.4</v>
      </c>
      <c r="K6483">
        <v>5</v>
      </c>
      <c r="L6483">
        <v>0</v>
      </c>
      <c r="M6483">
        <v>15.552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55</v>
      </c>
      <c r="E6484" t="s">
        <v>56</v>
      </c>
      <c r="F6484">
        <v>19120</v>
      </c>
      <c r="G6484" t="s">
        <v>57</v>
      </c>
      <c r="H6484" t="s">
        <v>19</v>
      </c>
      <c r="I6484" t="s">
        <v>33</v>
      </c>
      <c r="J6484">
        <v>103.93600000000001</v>
      </c>
      <c r="K6484">
        <v>4</v>
      </c>
      <c r="L6484">
        <v>0.2</v>
      </c>
      <c r="M6484">
        <v>16.889600000000002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19</v>
      </c>
      <c r="I6485" t="s">
        <v>20</v>
      </c>
      <c r="J6485">
        <v>289.56799999999998</v>
      </c>
      <c r="K6485">
        <v>2</v>
      </c>
      <c r="L6485">
        <v>0.2</v>
      </c>
      <c r="M6485">
        <v>10.8588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26</v>
      </c>
      <c r="I6486" t="s">
        <v>32</v>
      </c>
      <c r="J6486">
        <v>39.72</v>
      </c>
      <c r="K6486">
        <v>5</v>
      </c>
      <c r="L6486">
        <v>0.2</v>
      </c>
      <c r="M6486">
        <v>4.4684999999999997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422</v>
      </c>
      <c r="E6487" t="s">
        <v>30</v>
      </c>
      <c r="F6487">
        <v>32839</v>
      </c>
      <c r="G6487" t="s">
        <v>18</v>
      </c>
      <c r="H6487" t="s">
        <v>35</v>
      </c>
      <c r="I6487" t="s">
        <v>36</v>
      </c>
      <c r="J6487">
        <v>244.768</v>
      </c>
      <c r="K6487">
        <v>4</v>
      </c>
      <c r="L6487">
        <v>0.2</v>
      </c>
      <c r="M6487">
        <v>24.476800000000001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35</v>
      </c>
      <c r="I6488" t="s">
        <v>59</v>
      </c>
      <c r="J6488">
        <v>24</v>
      </c>
      <c r="K6488">
        <v>2</v>
      </c>
      <c r="L6488">
        <v>0.2</v>
      </c>
      <c r="M6488">
        <v>-2.7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26</v>
      </c>
      <c r="I6489" t="s">
        <v>41</v>
      </c>
      <c r="J6489">
        <v>15.552</v>
      </c>
      <c r="K6489">
        <v>3</v>
      </c>
      <c r="L6489">
        <v>0.2</v>
      </c>
      <c r="M6489">
        <v>5.4432</v>
      </c>
    </row>
    <row r="6490" spans="1:13" x14ac:dyDescent="0.3">
      <c r="A6490" t="s">
        <v>13</v>
      </c>
      <c r="B6490" t="s">
        <v>14</v>
      </c>
      <c r="C6490" t="s">
        <v>15</v>
      </c>
      <c r="D6490" t="s">
        <v>61</v>
      </c>
      <c r="E6490" t="s">
        <v>46</v>
      </c>
      <c r="F6490">
        <v>77095</v>
      </c>
      <c r="G6490" t="s">
        <v>47</v>
      </c>
      <c r="H6490" t="s">
        <v>35</v>
      </c>
      <c r="I6490" t="s">
        <v>59</v>
      </c>
      <c r="J6490">
        <v>26.175999999999998</v>
      </c>
      <c r="K6490">
        <v>2</v>
      </c>
      <c r="L6490">
        <v>0.2</v>
      </c>
      <c r="M6490">
        <v>-3.2719999999999998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19</v>
      </c>
      <c r="I6491" t="s">
        <v>33</v>
      </c>
      <c r="J6491">
        <v>20.94</v>
      </c>
      <c r="K6491">
        <v>3</v>
      </c>
      <c r="L6491">
        <v>0</v>
      </c>
      <c r="M6491">
        <v>6.0726000000000004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26</v>
      </c>
      <c r="I6492" t="s">
        <v>37</v>
      </c>
      <c r="J6492">
        <v>135.09</v>
      </c>
      <c r="K6492">
        <v>9</v>
      </c>
      <c r="L6492">
        <v>0</v>
      </c>
      <c r="M6492">
        <v>62.141399999999997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35</v>
      </c>
      <c r="I6493" t="s">
        <v>59</v>
      </c>
      <c r="J6493">
        <v>279.86</v>
      </c>
      <c r="K6493">
        <v>14</v>
      </c>
      <c r="L6493">
        <v>0</v>
      </c>
      <c r="M6493">
        <v>64.367800000000003</v>
      </c>
    </row>
    <row r="6494" spans="1:13" x14ac:dyDescent="0.3">
      <c r="A6494" t="s">
        <v>28</v>
      </c>
      <c r="B6494" t="s">
        <v>44</v>
      </c>
      <c r="C6494" t="s">
        <v>15</v>
      </c>
      <c r="D6494" t="s">
        <v>183</v>
      </c>
      <c r="E6494" t="s">
        <v>17</v>
      </c>
      <c r="F6494">
        <v>40214</v>
      </c>
      <c r="G6494" t="s">
        <v>18</v>
      </c>
      <c r="H6494" t="s">
        <v>26</v>
      </c>
      <c r="I6494" t="s">
        <v>37</v>
      </c>
      <c r="J6494">
        <v>90.06</v>
      </c>
      <c r="K6494">
        <v>6</v>
      </c>
      <c r="L6494">
        <v>0</v>
      </c>
      <c r="M6494">
        <v>41.427599999999998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539.96400000000006</v>
      </c>
      <c r="K6495">
        <v>6</v>
      </c>
      <c r="L6495">
        <v>0.4</v>
      </c>
      <c r="M6495">
        <v>-107.9928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35</v>
      </c>
      <c r="I6496" t="s">
        <v>36</v>
      </c>
      <c r="J6496">
        <v>50.231999999999999</v>
      </c>
      <c r="K6496">
        <v>7</v>
      </c>
      <c r="L6496">
        <v>0.4</v>
      </c>
      <c r="M6496">
        <v>-10.0464</v>
      </c>
    </row>
    <row r="6497" spans="1:13" x14ac:dyDescent="0.3">
      <c r="A6497" t="s">
        <v>28</v>
      </c>
      <c r="B6497" t="s">
        <v>14</v>
      </c>
      <c r="C6497" t="s">
        <v>15</v>
      </c>
      <c r="D6497" t="s">
        <v>138</v>
      </c>
      <c r="E6497" t="s">
        <v>104</v>
      </c>
      <c r="F6497">
        <v>44256</v>
      </c>
      <c r="G6497" t="s">
        <v>57</v>
      </c>
      <c r="H6497" t="s">
        <v>26</v>
      </c>
      <c r="I6497" t="s">
        <v>37</v>
      </c>
      <c r="J6497">
        <v>19.242000000000001</v>
      </c>
      <c r="K6497">
        <v>3</v>
      </c>
      <c r="L6497">
        <v>0.7</v>
      </c>
      <c r="M6497">
        <v>-13.4694</v>
      </c>
    </row>
    <row r="6498" spans="1:13" x14ac:dyDescent="0.3">
      <c r="A6498" t="s">
        <v>13</v>
      </c>
      <c r="B6498" t="s">
        <v>22</v>
      </c>
      <c r="C6498" t="s">
        <v>15</v>
      </c>
      <c r="D6498" t="s">
        <v>75</v>
      </c>
      <c r="E6498" t="s">
        <v>76</v>
      </c>
      <c r="F6498">
        <v>10011</v>
      </c>
      <c r="G6498" t="s">
        <v>57</v>
      </c>
      <c r="H6498" t="s">
        <v>26</v>
      </c>
      <c r="I6498" t="s">
        <v>32</v>
      </c>
      <c r="J6498">
        <v>1247.6400000000001</v>
      </c>
      <c r="K6498">
        <v>3</v>
      </c>
      <c r="L6498">
        <v>0</v>
      </c>
      <c r="M6498">
        <v>349.33920000000001</v>
      </c>
    </row>
    <row r="6499" spans="1:13" x14ac:dyDescent="0.3">
      <c r="A6499" t="s">
        <v>28</v>
      </c>
      <c r="B6499" t="s">
        <v>22</v>
      </c>
      <c r="C6499" t="s">
        <v>15</v>
      </c>
      <c r="D6499" t="s">
        <v>79</v>
      </c>
      <c r="E6499" t="s">
        <v>65</v>
      </c>
      <c r="F6499">
        <v>60653</v>
      </c>
      <c r="G6499" t="s">
        <v>47</v>
      </c>
      <c r="H6499" t="s">
        <v>26</v>
      </c>
      <c r="I6499" t="s">
        <v>34</v>
      </c>
      <c r="J6499">
        <v>5.3040000000000003</v>
      </c>
      <c r="K6499">
        <v>3</v>
      </c>
      <c r="L6499">
        <v>0.2</v>
      </c>
      <c r="M6499">
        <v>0.46410000000000001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26</v>
      </c>
      <c r="I6500" t="s">
        <v>41</v>
      </c>
      <c r="J6500">
        <v>19.135999999999999</v>
      </c>
      <c r="K6500">
        <v>4</v>
      </c>
      <c r="L6500">
        <v>0.2</v>
      </c>
      <c r="M6500">
        <v>5.98</v>
      </c>
    </row>
    <row r="6501" spans="1:13" x14ac:dyDescent="0.3">
      <c r="A6501" t="s">
        <v>13</v>
      </c>
      <c r="B6501" t="s">
        <v>22</v>
      </c>
      <c r="C6501" t="s">
        <v>15</v>
      </c>
      <c r="D6501" t="s">
        <v>55</v>
      </c>
      <c r="E6501" t="s">
        <v>56</v>
      </c>
      <c r="F6501">
        <v>19143</v>
      </c>
      <c r="G6501" t="s">
        <v>57</v>
      </c>
      <c r="H6501" t="s">
        <v>19</v>
      </c>
      <c r="I6501" t="s">
        <v>33</v>
      </c>
      <c r="J6501">
        <v>332.83199999999999</v>
      </c>
      <c r="K6501">
        <v>4</v>
      </c>
      <c r="L6501">
        <v>0.2</v>
      </c>
      <c r="M6501">
        <v>-24.962399999999999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41</v>
      </c>
      <c r="J6502">
        <v>279.89999999999998</v>
      </c>
      <c r="K6502">
        <v>5</v>
      </c>
      <c r="L6502">
        <v>0</v>
      </c>
      <c r="M6502">
        <v>137.15100000000001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37</v>
      </c>
      <c r="J6503">
        <v>50.351999999999997</v>
      </c>
      <c r="K6503">
        <v>3</v>
      </c>
      <c r="L6503">
        <v>0.2</v>
      </c>
      <c r="M6503">
        <v>17.623200000000001</v>
      </c>
    </row>
    <row r="6504" spans="1:13" x14ac:dyDescent="0.3">
      <c r="A6504" t="s">
        <v>28</v>
      </c>
      <c r="B6504" t="s">
        <v>22</v>
      </c>
      <c r="C6504" t="s">
        <v>15</v>
      </c>
      <c r="D6504" t="s">
        <v>75</v>
      </c>
      <c r="E6504" t="s">
        <v>76</v>
      </c>
      <c r="F6504">
        <v>10009</v>
      </c>
      <c r="G6504" t="s">
        <v>57</v>
      </c>
      <c r="H6504" t="s">
        <v>26</v>
      </c>
      <c r="I6504" t="s">
        <v>41</v>
      </c>
      <c r="J6504">
        <v>34.020000000000003</v>
      </c>
      <c r="K6504">
        <v>3</v>
      </c>
      <c r="L6504">
        <v>0</v>
      </c>
      <c r="M6504">
        <v>16.669799999999999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34</v>
      </c>
      <c r="J6505">
        <v>23.88</v>
      </c>
      <c r="K6505">
        <v>6</v>
      </c>
      <c r="L6505">
        <v>0</v>
      </c>
      <c r="M6505">
        <v>8.1191999999999993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27</v>
      </c>
      <c r="J6506">
        <v>11.52</v>
      </c>
      <c r="K6506">
        <v>4</v>
      </c>
      <c r="L6506">
        <v>0</v>
      </c>
      <c r="M6506">
        <v>5.6448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26</v>
      </c>
      <c r="I6507" t="s">
        <v>41</v>
      </c>
      <c r="J6507">
        <v>286.93</v>
      </c>
      <c r="K6507">
        <v>7</v>
      </c>
      <c r="L6507">
        <v>0</v>
      </c>
      <c r="M6507">
        <v>140.59569999999999</v>
      </c>
    </row>
    <row r="6508" spans="1:13" x14ac:dyDescent="0.3">
      <c r="A6508" t="s">
        <v>28</v>
      </c>
      <c r="B6508" t="s">
        <v>44</v>
      </c>
      <c r="C6508" t="s">
        <v>15</v>
      </c>
      <c r="D6508" t="s">
        <v>52</v>
      </c>
      <c r="E6508" t="s">
        <v>24</v>
      </c>
      <c r="F6508">
        <v>94109</v>
      </c>
      <c r="G6508" t="s">
        <v>25</v>
      </c>
      <c r="H6508" t="s">
        <v>35</v>
      </c>
      <c r="I6508" t="s">
        <v>36</v>
      </c>
      <c r="J6508">
        <v>206.38399999999999</v>
      </c>
      <c r="K6508">
        <v>2</v>
      </c>
      <c r="L6508">
        <v>0.2</v>
      </c>
      <c r="M6508">
        <v>23.2182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21</v>
      </c>
      <c r="J6509">
        <v>218.352</v>
      </c>
      <c r="K6509">
        <v>3</v>
      </c>
      <c r="L6509">
        <v>0.2</v>
      </c>
      <c r="M6509">
        <v>0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19</v>
      </c>
      <c r="I6510" t="s">
        <v>33</v>
      </c>
      <c r="J6510">
        <v>529.9</v>
      </c>
      <c r="K6510">
        <v>5</v>
      </c>
      <c r="L6510">
        <v>0</v>
      </c>
      <c r="M6510">
        <v>105.98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34</v>
      </c>
      <c r="J6511">
        <v>99.3</v>
      </c>
      <c r="K6511">
        <v>10</v>
      </c>
      <c r="L6511">
        <v>0</v>
      </c>
      <c r="M6511">
        <v>41.706000000000003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38</v>
      </c>
      <c r="J6512">
        <v>108.96</v>
      </c>
      <c r="K6512">
        <v>2</v>
      </c>
      <c r="L6512">
        <v>0</v>
      </c>
      <c r="M6512">
        <v>30.508800000000001</v>
      </c>
    </row>
    <row r="6513" spans="1:13" x14ac:dyDescent="0.3">
      <c r="A6513" t="s">
        <v>28</v>
      </c>
      <c r="B6513" t="s">
        <v>14</v>
      </c>
      <c r="C6513" t="s">
        <v>15</v>
      </c>
      <c r="D6513" t="s">
        <v>52</v>
      </c>
      <c r="E6513" t="s">
        <v>24</v>
      </c>
      <c r="F6513">
        <v>94122</v>
      </c>
      <c r="G6513" t="s">
        <v>25</v>
      </c>
      <c r="H6513" t="s">
        <v>26</v>
      </c>
      <c r="I6513" t="s">
        <v>37</v>
      </c>
      <c r="J6513">
        <v>2.6880000000000002</v>
      </c>
      <c r="K6513">
        <v>1</v>
      </c>
      <c r="L6513">
        <v>0.2</v>
      </c>
      <c r="M6513">
        <v>0.84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26</v>
      </c>
      <c r="I6514" t="s">
        <v>37</v>
      </c>
      <c r="J6514">
        <v>5443.96</v>
      </c>
      <c r="K6514">
        <v>4</v>
      </c>
      <c r="L6514">
        <v>0</v>
      </c>
      <c r="M6514">
        <v>2504.2215999999999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19</v>
      </c>
      <c r="I6515" t="s">
        <v>21</v>
      </c>
      <c r="J6515">
        <v>302.67</v>
      </c>
      <c r="K6515">
        <v>3</v>
      </c>
      <c r="L6515">
        <v>0</v>
      </c>
      <c r="M6515">
        <v>72.640799999999999</v>
      </c>
    </row>
    <row r="6516" spans="1:13" x14ac:dyDescent="0.3">
      <c r="A6516" t="s">
        <v>13</v>
      </c>
      <c r="B6516" t="s">
        <v>14</v>
      </c>
      <c r="C6516" t="s">
        <v>15</v>
      </c>
      <c r="D6516" t="s">
        <v>84</v>
      </c>
      <c r="E6516" t="s">
        <v>70</v>
      </c>
      <c r="F6516">
        <v>49201</v>
      </c>
      <c r="G6516" t="s">
        <v>47</v>
      </c>
      <c r="H6516" t="s">
        <v>26</v>
      </c>
      <c r="I6516" t="s">
        <v>41</v>
      </c>
      <c r="J6516">
        <v>56.07</v>
      </c>
      <c r="K6516">
        <v>7</v>
      </c>
      <c r="L6516">
        <v>0</v>
      </c>
      <c r="M6516">
        <v>25.2315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26</v>
      </c>
      <c r="I6517" t="s">
        <v>27</v>
      </c>
      <c r="J6517">
        <v>10.08</v>
      </c>
      <c r="K6517">
        <v>2</v>
      </c>
      <c r="L6517">
        <v>0.2</v>
      </c>
      <c r="M6517">
        <v>3.2759999999999998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35</v>
      </c>
      <c r="I6518" t="s">
        <v>36</v>
      </c>
      <c r="J6518">
        <v>59.994</v>
      </c>
      <c r="K6518">
        <v>1</v>
      </c>
      <c r="L6518">
        <v>0.4</v>
      </c>
      <c r="M6518">
        <v>-12.998699999999999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5.7149999999999999</v>
      </c>
      <c r="K6519">
        <v>5</v>
      </c>
      <c r="L6519">
        <v>0.7</v>
      </c>
      <c r="M6519">
        <v>-4.7625000000000002</v>
      </c>
    </row>
    <row r="6520" spans="1:13" x14ac:dyDescent="0.3">
      <c r="A6520" t="s">
        <v>28</v>
      </c>
      <c r="B6520" t="s">
        <v>44</v>
      </c>
      <c r="C6520" t="s">
        <v>15</v>
      </c>
      <c r="D6520" t="s">
        <v>55</v>
      </c>
      <c r="E6520" t="s">
        <v>56</v>
      </c>
      <c r="F6520">
        <v>19120</v>
      </c>
      <c r="G6520" t="s">
        <v>57</v>
      </c>
      <c r="H6520" t="s">
        <v>26</v>
      </c>
      <c r="I6520" t="s">
        <v>37</v>
      </c>
      <c r="J6520">
        <v>9.42</v>
      </c>
      <c r="K6520">
        <v>5</v>
      </c>
      <c r="L6520">
        <v>0.7</v>
      </c>
      <c r="M6520">
        <v>-7.85</v>
      </c>
    </row>
    <row r="6521" spans="1:13" x14ac:dyDescent="0.3">
      <c r="A6521" t="s">
        <v>13</v>
      </c>
      <c r="B6521" t="s">
        <v>22</v>
      </c>
      <c r="C6521" t="s">
        <v>15</v>
      </c>
      <c r="D6521" t="s">
        <v>178</v>
      </c>
      <c r="E6521" t="s">
        <v>179</v>
      </c>
      <c r="F6521">
        <v>2886</v>
      </c>
      <c r="G6521" t="s">
        <v>57</v>
      </c>
      <c r="H6521" t="s">
        <v>35</v>
      </c>
      <c r="I6521" t="s">
        <v>162</v>
      </c>
      <c r="J6521">
        <v>1999.96</v>
      </c>
      <c r="K6521">
        <v>4</v>
      </c>
      <c r="L6521">
        <v>0</v>
      </c>
      <c r="M6521">
        <v>899.98199999999997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75</v>
      </c>
      <c r="E6522" t="s">
        <v>76</v>
      </c>
      <c r="F6522">
        <v>10024</v>
      </c>
      <c r="G6522" t="s">
        <v>57</v>
      </c>
      <c r="H6522" t="s">
        <v>26</v>
      </c>
      <c r="I6522" t="s">
        <v>32</v>
      </c>
      <c r="J6522">
        <v>216.4</v>
      </c>
      <c r="K6522">
        <v>4</v>
      </c>
      <c r="L6522">
        <v>0</v>
      </c>
      <c r="M6522">
        <v>56.264000000000003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27</v>
      </c>
      <c r="J6523">
        <v>6.9359999999999999</v>
      </c>
      <c r="K6523">
        <v>3</v>
      </c>
      <c r="L6523">
        <v>0.2</v>
      </c>
      <c r="M6523">
        <v>2.3409</v>
      </c>
    </row>
    <row r="6524" spans="1:13" x14ac:dyDescent="0.3">
      <c r="A6524" t="s">
        <v>28</v>
      </c>
      <c r="B6524" t="s">
        <v>44</v>
      </c>
      <c r="C6524" t="s">
        <v>15</v>
      </c>
      <c r="D6524" t="s">
        <v>321</v>
      </c>
      <c r="E6524" t="s">
        <v>46</v>
      </c>
      <c r="F6524">
        <v>79907</v>
      </c>
      <c r="G6524" t="s">
        <v>47</v>
      </c>
      <c r="H6524" t="s">
        <v>26</v>
      </c>
      <c r="I6524" t="s">
        <v>37</v>
      </c>
      <c r="J6524">
        <v>4.4279999999999999</v>
      </c>
      <c r="K6524">
        <v>3</v>
      </c>
      <c r="L6524">
        <v>0.8</v>
      </c>
      <c r="M6524">
        <v>-6.8634000000000004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26</v>
      </c>
      <c r="I6525" t="s">
        <v>34</v>
      </c>
      <c r="J6525">
        <v>8.8000000000000007</v>
      </c>
      <c r="K6525">
        <v>5</v>
      </c>
      <c r="L6525">
        <v>0</v>
      </c>
      <c r="M6525">
        <v>2.552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142.80000000000001</v>
      </c>
      <c r="K6526">
        <v>1</v>
      </c>
      <c r="L6526">
        <v>0</v>
      </c>
      <c r="M6526">
        <v>29.988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92</v>
      </c>
      <c r="E6527" t="s">
        <v>68</v>
      </c>
      <c r="F6527">
        <v>55901</v>
      </c>
      <c r="G6527" t="s">
        <v>47</v>
      </c>
      <c r="H6527" t="s">
        <v>35</v>
      </c>
      <c r="I6527" t="s">
        <v>59</v>
      </c>
      <c r="J6527">
        <v>399.95</v>
      </c>
      <c r="K6527">
        <v>5</v>
      </c>
      <c r="L6527">
        <v>0</v>
      </c>
      <c r="M6527">
        <v>143.982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26</v>
      </c>
      <c r="I6528" t="s">
        <v>37</v>
      </c>
      <c r="J6528">
        <v>2152.7759999999998</v>
      </c>
      <c r="K6528">
        <v>3</v>
      </c>
      <c r="L6528">
        <v>0.2</v>
      </c>
      <c r="M6528">
        <v>726.56190000000004</v>
      </c>
    </row>
    <row r="6529" spans="1:13" x14ac:dyDescent="0.3">
      <c r="A6529" t="s">
        <v>28</v>
      </c>
      <c r="B6529" t="s">
        <v>14</v>
      </c>
      <c r="C6529" t="s">
        <v>15</v>
      </c>
      <c r="D6529" t="s">
        <v>283</v>
      </c>
      <c r="E6529" t="s">
        <v>76</v>
      </c>
      <c r="F6529">
        <v>14215</v>
      </c>
      <c r="G6529" t="s">
        <v>57</v>
      </c>
      <c r="H6529" t="s">
        <v>19</v>
      </c>
      <c r="I6529" t="s">
        <v>20</v>
      </c>
      <c r="J6529">
        <v>4007.84</v>
      </c>
      <c r="K6529">
        <v>10</v>
      </c>
      <c r="L6529">
        <v>0.2</v>
      </c>
      <c r="M6529">
        <v>-50.097999999999999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19</v>
      </c>
      <c r="I6530" t="s">
        <v>31</v>
      </c>
      <c r="J6530">
        <v>328.59</v>
      </c>
      <c r="K6530">
        <v>3</v>
      </c>
      <c r="L6530">
        <v>0.4</v>
      </c>
      <c r="M6530">
        <v>-147.8655</v>
      </c>
    </row>
    <row r="6531" spans="1:13" x14ac:dyDescent="0.3">
      <c r="A6531" t="s">
        <v>62</v>
      </c>
      <c r="B6531" t="s">
        <v>22</v>
      </c>
      <c r="C6531" t="s">
        <v>15</v>
      </c>
      <c r="D6531" t="s">
        <v>375</v>
      </c>
      <c r="E6531" t="s">
        <v>86</v>
      </c>
      <c r="F6531">
        <v>37918</v>
      </c>
      <c r="G6531" t="s">
        <v>18</v>
      </c>
      <c r="H6531" t="s">
        <v>26</v>
      </c>
      <c r="I6531" t="s">
        <v>32</v>
      </c>
      <c r="J6531">
        <v>98.352000000000004</v>
      </c>
      <c r="K6531">
        <v>3</v>
      </c>
      <c r="L6531">
        <v>0.2</v>
      </c>
      <c r="M6531">
        <v>-24.588000000000001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35</v>
      </c>
      <c r="I6532" t="s">
        <v>36</v>
      </c>
      <c r="J6532">
        <v>158.99</v>
      </c>
      <c r="K6532">
        <v>1</v>
      </c>
      <c r="L6532">
        <v>0</v>
      </c>
      <c r="M6532">
        <v>41.337400000000002</v>
      </c>
    </row>
    <row r="6533" spans="1:13" x14ac:dyDescent="0.3">
      <c r="A6533" t="s">
        <v>28</v>
      </c>
      <c r="B6533" t="s">
        <v>22</v>
      </c>
      <c r="C6533" t="s">
        <v>15</v>
      </c>
      <c r="D6533" t="s">
        <v>114</v>
      </c>
      <c r="E6533" t="s">
        <v>72</v>
      </c>
      <c r="F6533">
        <v>19711</v>
      </c>
      <c r="G6533" t="s">
        <v>57</v>
      </c>
      <c r="H6533" t="s">
        <v>19</v>
      </c>
      <c r="I6533" t="s">
        <v>21</v>
      </c>
      <c r="J6533">
        <v>291.10000000000002</v>
      </c>
      <c r="K6533">
        <v>5</v>
      </c>
      <c r="L6533">
        <v>0</v>
      </c>
      <c r="M6533">
        <v>75.686000000000007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26</v>
      </c>
      <c r="I6534" t="s">
        <v>41</v>
      </c>
      <c r="J6534">
        <v>73.680000000000007</v>
      </c>
      <c r="K6534">
        <v>6</v>
      </c>
      <c r="L6534">
        <v>0</v>
      </c>
      <c r="M6534">
        <v>34.629600000000003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19</v>
      </c>
      <c r="I6535" t="s">
        <v>33</v>
      </c>
      <c r="J6535">
        <v>139.91999999999999</v>
      </c>
      <c r="K6535">
        <v>2</v>
      </c>
      <c r="L6535">
        <v>0</v>
      </c>
      <c r="M6535">
        <v>23.7864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35</v>
      </c>
      <c r="I6536" t="s">
        <v>36</v>
      </c>
      <c r="J6536">
        <v>107.88</v>
      </c>
      <c r="K6536">
        <v>3</v>
      </c>
      <c r="L6536">
        <v>0.2</v>
      </c>
      <c r="M6536">
        <v>10.788</v>
      </c>
    </row>
    <row r="6537" spans="1:13" x14ac:dyDescent="0.3">
      <c r="A6537" t="s">
        <v>62</v>
      </c>
      <c r="B6537" t="s">
        <v>14</v>
      </c>
      <c r="C6537" t="s">
        <v>15</v>
      </c>
      <c r="D6537" t="s">
        <v>42</v>
      </c>
      <c r="E6537" t="s">
        <v>43</v>
      </c>
      <c r="F6537">
        <v>98103</v>
      </c>
      <c r="G6537" t="s">
        <v>25</v>
      </c>
      <c r="H6537" t="s">
        <v>26</v>
      </c>
      <c r="I6537" t="s">
        <v>32</v>
      </c>
      <c r="J6537">
        <v>33.29</v>
      </c>
      <c r="K6537">
        <v>1</v>
      </c>
      <c r="L6537">
        <v>0</v>
      </c>
      <c r="M6537">
        <v>7.9896000000000003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37</v>
      </c>
      <c r="J6538">
        <v>58.17</v>
      </c>
      <c r="K6538">
        <v>5</v>
      </c>
      <c r="L6538">
        <v>0.7</v>
      </c>
      <c r="M6538">
        <v>-46.536000000000001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27</v>
      </c>
      <c r="J6539">
        <v>5.04</v>
      </c>
      <c r="K6539">
        <v>2</v>
      </c>
      <c r="L6539">
        <v>0.2</v>
      </c>
      <c r="M6539">
        <v>1.764</v>
      </c>
    </row>
    <row r="6540" spans="1:13" x14ac:dyDescent="0.3">
      <c r="A6540" t="s">
        <v>28</v>
      </c>
      <c r="B6540" t="s">
        <v>14</v>
      </c>
      <c r="C6540" t="s">
        <v>15</v>
      </c>
      <c r="D6540" t="s">
        <v>221</v>
      </c>
      <c r="E6540" t="s">
        <v>104</v>
      </c>
      <c r="F6540">
        <v>44105</v>
      </c>
      <c r="G6540" t="s">
        <v>57</v>
      </c>
      <c r="H6540" t="s">
        <v>26</v>
      </c>
      <c r="I6540" t="s">
        <v>41</v>
      </c>
      <c r="J6540">
        <v>24.783999999999999</v>
      </c>
      <c r="K6540">
        <v>1</v>
      </c>
      <c r="L6540">
        <v>0.2</v>
      </c>
      <c r="M6540">
        <v>7.7450000000000001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19</v>
      </c>
      <c r="I6541" t="s">
        <v>21</v>
      </c>
      <c r="J6541">
        <v>634.11599999999999</v>
      </c>
      <c r="K6541">
        <v>6</v>
      </c>
      <c r="L6541">
        <v>0.3</v>
      </c>
      <c r="M6541">
        <v>-172.1172</v>
      </c>
    </row>
    <row r="6542" spans="1:13" x14ac:dyDescent="0.3">
      <c r="A6542" t="s">
        <v>28</v>
      </c>
      <c r="B6542" t="s">
        <v>44</v>
      </c>
      <c r="C6542" t="s">
        <v>15</v>
      </c>
      <c r="D6542" t="s">
        <v>397</v>
      </c>
      <c r="E6542" t="s">
        <v>65</v>
      </c>
      <c r="F6542">
        <v>60126</v>
      </c>
      <c r="G6542" t="s">
        <v>47</v>
      </c>
      <c r="H6542" t="s">
        <v>26</v>
      </c>
      <c r="I6542" t="s">
        <v>41</v>
      </c>
      <c r="J6542">
        <v>17.472000000000001</v>
      </c>
      <c r="K6542">
        <v>3</v>
      </c>
      <c r="L6542">
        <v>0.2</v>
      </c>
      <c r="M6542">
        <v>5.6783999999999999</v>
      </c>
    </row>
    <row r="6543" spans="1:13" x14ac:dyDescent="0.3">
      <c r="A6543" t="s">
        <v>62</v>
      </c>
      <c r="B6543" t="s">
        <v>44</v>
      </c>
      <c r="C6543" t="s">
        <v>15</v>
      </c>
      <c r="D6543" t="s">
        <v>143</v>
      </c>
      <c r="E6543" t="s">
        <v>68</v>
      </c>
      <c r="F6543">
        <v>55044</v>
      </c>
      <c r="G6543" t="s">
        <v>47</v>
      </c>
      <c r="H6543" t="s">
        <v>19</v>
      </c>
      <c r="I6543" t="s">
        <v>21</v>
      </c>
      <c r="J6543">
        <v>155.88</v>
      </c>
      <c r="K6543">
        <v>6</v>
      </c>
      <c r="L6543">
        <v>0</v>
      </c>
      <c r="M6543">
        <v>38.97</v>
      </c>
    </row>
    <row r="6544" spans="1:13" x14ac:dyDescent="0.3">
      <c r="A6544" t="s">
        <v>13</v>
      </c>
      <c r="B6544" t="s">
        <v>14</v>
      </c>
      <c r="C6544" t="s">
        <v>15</v>
      </c>
      <c r="D6544" t="s">
        <v>75</v>
      </c>
      <c r="E6544" t="s">
        <v>76</v>
      </c>
      <c r="F6544">
        <v>10035</v>
      </c>
      <c r="G6544" t="s">
        <v>57</v>
      </c>
      <c r="H6544" t="s">
        <v>19</v>
      </c>
      <c r="I6544" t="s">
        <v>21</v>
      </c>
      <c r="J6544">
        <v>327.56400000000002</v>
      </c>
      <c r="K6544">
        <v>4</v>
      </c>
      <c r="L6544">
        <v>0.1</v>
      </c>
      <c r="M6544">
        <v>21.837599999999998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41</v>
      </c>
      <c r="J6545">
        <v>13.36</v>
      </c>
      <c r="K6545">
        <v>2</v>
      </c>
      <c r="L6545">
        <v>0</v>
      </c>
      <c r="M6545">
        <v>6.4127999999999998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23</v>
      </c>
      <c r="E6546" t="s">
        <v>24</v>
      </c>
      <c r="F6546">
        <v>90036</v>
      </c>
      <c r="G6546" t="s">
        <v>25</v>
      </c>
      <c r="H6546" t="s">
        <v>26</v>
      </c>
      <c r="I6546" t="s">
        <v>32</v>
      </c>
      <c r="J6546">
        <v>158.9</v>
      </c>
      <c r="K6546">
        <v>5</v>
      </c>
      <c r="L6546">
        <v>0</v>
      </c>
      <c r="M6546">
        <v>7.9450000000000003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35</v>
      </c>
      <c r="I6547" t="s">
        <v>59</v>
      </c>
      <c r="J6547">
        <v>319.96800000000002</v>
      </c>
      <c r="K6547">
        <v>4</v>
      </c>
      <c r="L6547">
        <v>0.2</v>
      </c>
      <c r="M6547">
        <v>71.992800000000003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32</v>
      </c>
      <c r="J6548">
        <v>505.32</v>
      </c>
      <c r="K6548">
        <v>3</v>
      </c>
      <c r="L6548">
        <v>0.2</v>
      </c>
      <c r="M6548">
        <v>31.5825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41</v>
      </c>
      <c r="J6549">
        <v>3.8079999999999998</v>
      </c>
      <c r="K6549">
        <v>1</v>
      </c>
      <c r="L6549">
        <v>0.2</v>
      </c>
      <c r="M6549">
        <v>1.2376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37</v>
      </c>
      <c r="J6550">
        <v>8.6820000000000004</v>
      </c>
      <c r="K6550">
        <v>1</v>
      </c>
      <c r="L6550">
        <v>0.8</v>
      </c>
      <c r="M6550">
        <v>-14.759399999999999</v>
      </c>
    </row>
    <row r="6551" spans="1:13" x14ac:dyDescent="0.3">
      <c r="A6551" t="s">
        <v>13</v>
      </c>
      <c r="B6551" t="s">
        <v>44</v>
      </c>
      <c r="C6551" t="s">
        <v>15</v>
      </c>
      <c r="D6551" t="s">
        <v>79</v>
      </c>
      <c r="E6551" t="s">
        <v>65</v>
      </c>
      <c r="F6551">
        <v>60653</v>
      </c>
      <c r="G6551" t="s">
        <v>47</v>
      </c>
      <c r="H6551" t="s">
        <v>26</v>
      </c>
      <c r="I6551" t="s">
        <v>27</v>
      </c>
      <c r="J6551">
        <v>24.423999999999999</v>
      </c>
      <c r="K6551">
        <v>1</v>
      </c>
      <c r="L6551">
        <v>0.2</v>
      </c>
      <c r="M6551">
        <v>7.9378000000000002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283</v>
      </c>
      <c r="E6552" t="s">
        <v>76</v>
      </c>
      <c r="F6552">
        <v>14215</v>
      </c>
      <c r="G6552" t="s">
        <v>57</v>
      </c>
      <c r="H6552" t="s">
        <v>19</v>
      </c>
      <c r="I6552" t="s">
        <v>21</v>
      </c>
      <c r="J6552">
        <v>1522.6379999999999</v>
      </c>
      <c r="K6552">
        <v>9</v>
      </c>
      <c r="L6552">
        <v>0.1</v>
      </c>
      <c r="M6552">
        <v>169.18199999999999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60</v>
      </c>
      <c r="J6553">
        <v>419.9</v>
      </c>
      <c r="K6553">
        <v>5</v>
      </c>
      <c r="L6553">
        <v>0</v>
      </c>
      <c r="M6553">
        <v>197.35300000000001</v>
      </c>
    </row>
    <row r="6554" spans="1:13" x14ac:dyDescent="0.3">
      <c r="A6554" t="s">
        <v>28</v>
      </c>
      <c r="B6554" t="s">
        <v>22</v>
      </c>
      <c r="C6554" t="s">
        <v>15</v>
      </c>
      <c r="D6554" t="s">
        <v>109</v>
      </c>
      <c r="E6554" t="s">
        <v>24</v>
      </c>
      <c r="F6554">
        <v>95661</v>
      </c>
      <c r="G6554" t="s">
        <v>25</v>
      </c>
      <c r="H6554" t="s">
        <v>26</v>
      </c>
      <c r="I6554" t="s">
        <v>27</v>
      </c>
      <c r="J6554">
        <v>3.15</v>
      </c>
      <c r="K6554">
        <v>1</v>
      </c>
      <c r="L6554">
        <v>0</v>
      </c>
      <c r="M6554">
        <v>1.512</v>
      </c>
    </row>
    <row r="6555" spans="1:13" x14ac:dyDescent="0.3">
      <c r="A6555" t="s">
        <v>62</v>
      </c>
      <c r="B6555" t="s">
        <v>22</v>
      </c>
      <c r="C6555" t="s">
        <v>15</v>
      </c>
      <c r="D6555" t="s">
        <v>155</v>
      </c>
      <c r="E6555" t="s">
        <v>46</v>
      </c>
      <c r="F6555">
        <v>76017</v>
      </c>
      <c r="G6555" t="s">
        <v>47</v>
      </c>
      <c r="H6555" t="s">
        <v>26</v>
      </c>
      <c r="I6555" t="s">
        <v>38</v>
      </c>
      <c r="J6555">
        <v>33.619999999999997</v>
      </c>
      <c r="K6555">
        <v>5</v>
      </c>
      <c r="L6555">
        <v>0.8</v>
      </c>
      <c r="M6555">
        <v>-90.774000000000001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26</v>
      </c>
      <c r="I6556" t="s">
        <v>37</v>
      </c>
      <c r="J6556">
        <v>16.14</v>
      </c>
      <c r="K6556">
        <v>3</v>
      </c>
      <c r="L6556">
        <v>0</v>
      </c>
      <c r="M6556">
        <v>7.9085999999999999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19</v>
      </c>
      <c r="I6557" t="s">
        <v>31</v>
      </c>
      <c r="J6557">
        <v>194.25</v>
      </c>
      <c r="K6557">
        <v>2</v>
      </c>
      <c r="L6557">
        <v>0.3</v>
      </c>
      <c r="M6557">
        <v>-38.85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26</v>
      </c>
      <c r="I6558" t="s">
        <v>34</v>
      </c>
      <c r="J6558">
        <v>8.64</v>
      </c>
      <c r="K6558">
        <v>3</v>
      </c>
      <c r="L6558">
        <v>0</v>
      </c>
      <c r="M6558">
        <v>2.5055999999999998</v>
      </c>
    </row>
    <row r="6559" spans="1:13" x14ac:dyDescent="0.3">
      <c r="A6559" t="s">
        <v>28</v>
      </c>
      <c r="B6559" t="s">
        <v>14</v>
      </c>
      <c r="C6559" t="s">
        <v>15</v>
      </c>
      <c r="D6559" t="s">
        <v>184</v>
      </c>
      <c r="E6559" t="s">
        <v>166</v>
      </c>
      <c r="F6559">
        <v>1841</v>
      </c>
      <c r="G6559" t="s">
        <v>57</v>
      </c>
      <c r="H6559" t="s">
        <v>19</v>
      </c>
      <c r="I6559" t="s">
        <v>21</v>
      </c>
      <c r="J6559">
        <v>872.32</v>
      </c>
      <c r="K6559">
        <v>4</v>
      </c>
      <c r="L6559">
        <v>0</v>
      </c>
      <c r="M6559">
        <v>244.24959999999999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37</v>
      </c>
      <c r="J6560">
        <v>243.99199999999999</v>
      </c>
      <c r="K6560">
        <v>4</v>
      </c>
      <c r="L6560">
        <v>0.8</v>
      </c>
      <c r="M6560">
        <v>-426.98599999999999</v>
      </c>
    </row>
    <row r="6561" spans="1:13" x14ac:dyDescent="0.3">
      <c r="A6561" t="s">
        <v>13</v>
      </c>
      <c r="B6561" t="s">
        <v>14</v>
      </c>
      <c r="C6561" t="s">
        <v>15</v>
      </c>
      <c r="D6561" t="s">
        <v>526</v>
      </c>
      <c r="E6561" t="s">
        <v>46</v>
      </c>
      <c r="F6561">
        <v>76706</v>
      </c>
      <c r="G6561" t="s">
        <v>47</v>
      </c>
      <c r="H6561" t="s">
        <v>26</v>
      </c>
      <c r="I6561" t="s">
        <v>34</v>
      </c>
      <c r="J6561">
        <v>7.12</v>
      </c>
      <c r="K6561">
        <v>5</v>
      </c>
      <c r="L6561">
        <v>0.2</v>
      </c>
      <c r="M6561">
        <v>0.71199999999999997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26</v>
      </c>
      <c r="I6562" t="s">
        <v>34</v>
      </c>
      <c r="J6562">
        <v>2.6880000000000002</v>
      </c>
      <c r="K6562">
        <v>2</v>
      </c>
      <c r="L6562">
        <v>0.2</v>
      </c>
      <c r="M6562">
        <v>1.008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19</v>
      </c>
      <c r="I6563" t="s">
        <v>21</v>
      </c>
      <c r="J6563">
        <v>317.05799999999999</v>
      </c>
      <c r="K6563">
        <v>3</v>
      </c>
      <c r="L6563">
        <v>0.3</v>
      </c>
      <c r="M6563">
        <v>-18.117599999999999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26</v>
      </c>
      <c r="I6564" t="s">
        <v>60</v>
      </c>
      <c r="J6564">
        <v>149.352</v>
      </c>
      <c r="K6564">
        <v>3</v>
      </c>
      <c r="L6564">
        <v>0.2</v>
      </c>
      <c r="M6564">
        <v>50.406300000000002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61</v>
      </c>
      <c r="E6565" t="s">
        <v>46</v>
      </c>
      <c r="F6565">
        <v>77095</v>
      </c>
      <c r="G6565" t="s">
        <v>47</v>
      </c>
      <c r="H6565" t="s">
        <v>35</v>
      </c>
      <c r="I6565" t="s">
        <v>59</v>
      </c>
      <c r="J6565">
        <v>227.976</v>
      </c>
      <c r="K6565">
        <v>3</v>
      </c>
      <c r="L6565">
        <v>0.2</v>
      </c>
      <c r="M6565">
        <v>28.497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42</v>
      </c>
      <c r="E6566" t="s">
        <v>43</v>
      </c>
      <c r="F6566">
        <v>98105</v>
      </c>
      <c r="G6566" t="s">
        <v>25</v>
      </c>
      <c r="H6566" t="s">
        <v>26</v>
      </c>
      <c r="I6566" t="s">
        <v>41</v>
      </c>
      <c r="J6566">
        <v>11.96</v>
      </c>
      <c r="K6566">
        <v>2</v>
      </c>
      <c r="L6566">
        <v>0</v>
      </c>
      <c r="M6566">
        <v>5.8604000000000003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26</v>
      </c>
      <c r="I6567" t="s">
        <v>32</v>
      </c>
      <c r="J6567">
        <v>563.4</v>
      </c>
      <c r="K6567">
        <v>4</v>
      </c>
      <c r="L6567">
        <v>0</v>
      </c>
      <c r="M6567">
        <v>67.608000000000004</v>
      </c>
    </row>
    <row r="6568" spans="1:13" x14ac:dyDescent="0.3">
      <c r="A6568" t="s">
        <v>28</v>
      </c>
      <c r="B6568" t="s">
        <v>22</v>
      </c>
      <c r="C6568" t="s">
        <v>15</v>
      </c>
      <c r="D6568" t="s">
        <v>218</v>
      </c>
      <c r="E6568" t="s">
        <v>132</v>
      </c>
      <c r="F6568">
        <v>7060</v>
      </c>
      <c r="G6568" t="s">
        <v>57</v>
      </c>
      <c r="H6568" t="s">
        <v>35</v>
      </c>
      <c r="I6568" t="s">
        <v>123</v>
      </c>
      <c r="J6568">
        <v>319.92</v>
      </c>
      <c r="K6568">
        <v>8</v>
      </c>
      <c r="L6568">
        <v>0</v>
      </c>
      <c r="M6568">
        <v>118.3704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35</v>
      </c>
      <c r="I6569" t="s">
        <v>59</v>
      </c>
      <c r="J6569">
        <v>1049.44</v>
      </c>
      <c r="K6569">
        <v>8</v>
      </c>
      <c r="L6569">
        <v>0</v>
      </c>
      <c r="M6569">
        <v>440.76479999999998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23</v>
      </c>
      <c r="E6570" t="s">
        <v>24</v>
      </c>
      <c r="F6570">
        <v>90008</v>
      </c>
      <c r="G6570" t="s">
        <v>25</v>
      </c>
      <c r="H6570" t="s">
        <v>19</v>
      </c>
      <c r="I6570" t="s">
        <v>21</v>
      </c>
      <c r="J6570">
        <v>170.352</v>
      </c>
      <c r="K6570">
        <v>3</v>
      </c>
      <c r="L6570">
        <v>0.2</v>
      </c>
      <c r="M6570">
        <v>-17.0352</v>
      </c>
    </row>
    <row r="6571" spans="1:13" x14ac:dyDescent="0.3">
      <c r="A6571" t="s">
        <v>13</v>
      </c>
      <c r="B6571" t="s">
        <v>14</v>
      </c>
      <c r="C6571" t="s">
        <v>15</v>
      </c>
      <c r="D6571" t="s">
        <v>155</v>
      </c>
      <c r="E6571" t="s">
        <v>83</v>
      </c>
      <c r="F6571">
        <v>22204</v>
      </c>
      <c r="G6571" t="s">
        <v>18</v>
      </c>
      <c r="H6571" t="s">
        <v>35</v>
      </c>
      <c r="I6571" t="s">
        <v>36</v>
      </c>
      <c r="J6571">
        <v>173.94</v>
      </c>
      <c r="K6571">
        <v>6</v>
      </c>
      <c r="L6571">
        <v>0</v>
      </c>
      <c r="M6571">
        <v>50.442599999999999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42</v>
      </c>
      <c r="E6572" t="s">
        <v>43</v>
      </c>
      <c r="F6572">
        <v>98103</v>
      </c>
      <c r="G6572" t="s">
        <v>25</v>
      </c>
      <c r="H6572" t="s">
        <v>35</v>
      </c>
      <c r="I6572" t="s">
        <v>36</v>
      </c>
      <c r="J6572">
        <v>1007.944</v>
      </c>
      <c r="K6572">
        <v>7</v>
      </c>
      <c r="L6572">
        <v>0.2</v>
      </c>
      <c r="M6572">
        <v>75.595799999999997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41</v>
      </c>
      <c r="J6573">
        <v>6.68</v>
      </c>
      <c r="K6573">
        <v>1</v>
      </c>
      <c r="L6573">
        <v>0</v>
      </c>
      <c r="M6573">
        <v>3.2063999999999999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34</v>
      </c>
      <c r="J6574">
        <v>8.34</v>
      </c>
      <c r="K6574">
        <v>3</v>
      </c>
      <c r="L6574">
        <v>0</v>
      </c>
      <c r="M6574">
        <v>2.2517999999999998</v>
      </c>
    </row>
    <row r="6575" spans="1:13" x14ac:dyDescent="0.3">
      <c r="A6575" t="s">
        <v>168</v>
      </c>
      <c r="B6575" t="s">
        <v>14</v>
      </c>
      <c r="C6575" t="s">
        <v>15</v>
      </c>
      <c r="D6575" t="s">
        <v>42</v>
      </c>
      <c r="E6575" t="s">
        <v>43</v>
      </c>
      <c r="F6575">
        <v>98105</v>
      </c>
      <c r="G6575" t="s">
        <v>25</v>
      </c>
      <c r="H6575" t="s">
        <v>19</v>
      </c>
      <c r="I6575" t="s">
        <v>33</v>
      </c>
      <c r="J6575">
        <v>101.94</v>
      </c>
      <c r="K6575">
        <v>3</v>
      </c>
      <c r="L6575">
        <v>0</v>
      </c>
      <c r="M6575">
        <v>30.582000000000001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239</v>
      </c>
      <c r="E6576" t="s">
        <v>43</v>
      </c>
      <c r="F6576">
        <v>98026</v>
      </c>
      <c r="G6576" t="s">
        <v>25</v>
      </c>
      <c r="H6576" t="s">
        <v>35</v>
      </c>
      <c r="I6576" t="s">
        <v>59</v>
      </c>
      <c r="J6576">
        <v>179.97</v>
      </c>
      <c r="K6576">
        <v>3</v>
      </c>
      <c r="L6576">
        <v>0</v>
      </c>
      <c r="M6576">
        <v>86.385599999999997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26</v>
      </c>
      <c r="I6577" t="s">
        <v>34</v>
      </c>
      <c r="J6577">
        <v>101.94</v>
      </c>
      <c r="K6577">
        <v>6</v>
      </c>
      <c r="L6577">
        <v>0</v>
      </c>
      <c r="M6577">
        <v>29.5626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35</v>
      </c>
      <c r="I6578" t="s">
        <v>36</v>
      </c>
      <c r="J6578">
        <v>271.95999999999998</v>
      </c>
      <c r="K6578">
        <v>4</v>
      </c>
      <c r="L6578">
        <v>0</v>
      </c>
      <c r="M6578">
        <v>67.989999999999995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19</v>
      </c>
      <c r="I6579" t="s">
        <v>33</v>
      </c>
      <c r="J6579">
        <v>8.8000000000000007</v>
      </c>
      <c r="K6579">
        <v>5</v>
      </c>
      <c r="L6579">
        <v>0</v>
      </c>
      <c r="M6579">
        <v>3.8719999999999999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26</v>
      </c>
      <c r="I6580" t="s">
        <v>34</v>
      </c>
      <c r="J6580">
        <v>19.68</v>
      </c>
      <c r="K6580">
        <v>6</v>
      </c>
      <c r="L6580">
        <v>0</v>
      </c>
      <c r="M6580">
        <v>5.7072000000000003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19</v>
      </c>
      <c r="I6581" t="s">
        <v>20</v>
      </c>
      <c r="J6581">
        <v>302.94</v>
      </c>
      <c r="K6581">
        <v>3</v>
      </c>
      <c r="L6581">
        <v>0</v>
      </c>
      <c r="M6581">
        <v>69.676199999999994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37</v>
      </c>
      <c r="J6582">
        <v>14.94</v>
      </c>
      <c r="K6582">
        <v>3</v>
      </c>
      <c r="L6582">
        <v>0</v>
      </c>
      <c r="M6582">
        <v>7.1711999999999998</v>
      </c>
    </row>
    <row r="6583" spans="1:13" x14ac:dyDescent="0.3">
      <c r="A6583" t="s">
        <v>28</v>
      </c>
      <c r="B6583" t="s">
        <v>14</v>
      </c>
      <c r="C6583" t="s">
        <v>15</v>
      </c>
      <c r="D6583" t="s">
        <v>210</v>
      </c>
      <c r="E6583" t="s">
        <v>83</v>
      </c>
      <c r="F6583">
        <v>24153</v>
      </c>
      <c r="G6583" t="s">
        <v>18</v>
      </c>
      <c r="H6583" t="s">
        <v>26</v>
      </c>
      <c r="I6583" t="s">
        <v>110</v>
      </c>
      <c r="J6583">
        <v>231.72</v>
      </c>
      <c r="K6583">
        <v>2</v>
      </c>
      <c r="L6583">
        <v>0</v>
      </c>
      <c r="M6583">
        <v>11.586</v>
      </c>
    </row>
    <row r="6584" spans="1:13" x14ac:dyDescent="0.3">
      <c r="A6584" t="s">
        <v>62</v>
      </c>
      <c r="B6584" t="s">
        <v>14</v>
      </c>
      <c r="C6584" t="s">
        <v>15</v>
      </c>
      <c r="D6584" t="s">
        <v>570</v>
      </c>
      <c r="E6584" t="s">
        <v>30</v>
      </c>
      <c r="F6584">
        <v>33445</v>
      </c>
      <c r="G6584" t="s">
        <v>18</v>
      </c>
      <c r="H6584" t="s">
        <v>26</v>
      </c>
      <c r="I6584" t="s">
        <v>27</v>
      </c>
      <c r="J6584">
        <v>9.9120000000000008</v>
      </c>
      <c r="K6584">
        <v>3</v>
      </c>
      <c r="L6584">
        <v>0.2</v>
      </c>
      <c r="M6584">
        <v>3.2214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26</v>
      </c>
      <c r="I6585" t="s">
        <v>34</v>
      </c>
      <c r="J6585">
        <v>34.65</v>
      </c>
      <c r="K6585">
        <v>3</v>
      </c>
      <c r="L6585">
        <v>0</v>
      </c>
      <c r="M6585">
        <v>9.702</v>
      </c>
    </row>
    <row r="6586" spans="1:13" x14ac:dyDescent="0.3">
      <c r="A6586" t="s">
        <v>28</v>
      </c>
      <c r="B6586" t="s">
        <v>22</v>
      </c>
      <c r="C6586" t="s">
        <v>15</v>
      </c>
      <c r="D6586" t="s">
        <v>52</v>
      </c>
      <c r="E6586" t="s">
        <v>24</v>
      </c>
      <c r="F6586">
        <v>94110</v>
      </c>
      <c r="G6586" t="s">
        <v>25</v>
      </c>
      <c r="H6586" t="s">
        <v>35</v>
      </c>
      <c r="I6586" t="s">
        <v>36</v>
      </c>
      <c r="J6586">
        <v>19.8</v>
      </c>
      <c r="K6586">
        <v>5</v>
      </c>
      <c r="L6586">
        <v>0.2</v>
      </c>
      <c r="M6586">
        <v>1.7324999999999999</v>
      </c>
    </row>
    <row r="6587" spans="1:13" x14ac:dyDescent="0.3">
      <c r="A6587" t="s">
        <v>13</v>
      </c>
      <c r="B6587" t="s">
        <v>14</v>
      </c>
      <c r="C6587" t="s">
        <v>15</v>
      </c>
      <c r="D6587" t="s">
        <v>75</v>
      </c>
      <c r="E6587" t="s">
        <v>76</v>
      </c>
      <c r="F6587">
        <v>10024</v>
      </c>
      <c r="G6587" t="s">
        <v>57</v>
      </c>
      <c r="H6587" t="s">
        <v>26</v>
      </c>
      <c r="I6587" t="s">
        <v>37</v>
      </c>
      <c r="J6587">
        <v>33.567999999999998</v>
      </c>
      <c r="K6587">
        <v>2</v>
      </c>
      <c r="L6587">
        <v>0.2</v>
      </c>
      <c r="M6587">
        <v>11.748799999999999</v>
      </c>
    </row>
    <row r="6588" spans="1:13" x14ac:dyDescent="0.3">
      <c r="A6588" t="s">
        <v>28</v>
      </c>
      <c r="B6588" t="s">
        <v>22</v>
      </c>
      <c r="C6588" t="s">
        <v>15</v>
      </c>
      <c r="D6588" t="s">
        <v>330</v>
      </c>
      <c r="E6588" t="s">
        <v>74</v>
      </c>
      <c r="F6588">
        <v>46203</v>
      </c>
      <c r="G6588" t="s">
        <v>47</v>
      </c>
      <c r="H6588" t="s">
        <v>26</v>
      </c>
      <c r="I6588" t="s">
        <v>34</v>
      </c>
      <c r="J6588">
        <v>125.93</v>
      </c>
      <c r="K6588">
        <v>7</v>
      </c>
      <c r="L6588">
        <v>0</v>
      </c>
      <c r="M6588">
        <v>35.260399999999997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37</v>
      </c>
      <c r="J6589">
        <v>11.76</v>
      </c>
      <c r="K6589">
        <v>5</v>
      </c>
      <c r="L6589">
        <v>0.7</v>
      </c>
      <c r="M6589">
        <v>-7.84</v>
      </c>
    </row>
    <row r="6590" spans="1:13" x14ac:dyDescent="0.3">
      <c r="A6590" t="s">
        <v>62</v>
      </c>
      <c r="B6590" t="s">
        <v>22</v>
      </c>
      <c r="C6590" t="s">
        <v>15</v>
      </c>
      <c r="D6590" t="s">
        <v>103</v>
      </c>
      <c r="E6590" t="s">
        <v>104</v>
      </c>
      <c r="F6590">
        <v>43229</v>
      </c>
      <c r="G6590" t="s">
        <v>57</v>
      </c>
      <c r="H6590" t="s">
        <v>26</v>
      </c>
      <c r="I6590" t="s">
        <v>41</v>
      </c>
      <c r="J6590">
        <v>5.3440000000000003</v>
      </c>
      <c r="K6590">
        <v>1</v>
      </c>
      <c r="L6590">
        <v>0.2</v>
      </c>
      <c r="M6590">
        <v>1.8704000000000001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37</v>
      </c>
      <c r="J6591">
        <v>1.365</v>
      </c>
      <c r="K6591">
        <v>1</v>
      </c>
      <c r="L6591">
        <v>0.7</v>
      </c>
      <c r="M6591">
        <v>-0.91</v>
      </c>
    </row>
    <row r="6592" spans="1:13" x14ac:dyDescent="0.3">
      <c r="A6592" t="s">
        <v>28</v>
      </c>
      <c r="B6592" t="s">
        <v>14</v>
      </c>
      <c r="C6592" t="s">
        <v>15</v>
      </c>
      <c r="D6592" t="s">
        <v>189</v>
      </c>
      <c r="E6592" t="s">
        <v>30</v>
      </c>
      <c r="F6592">
        <v>32216</v>
      </c>
      <c r="G6592" t="s">
        <v>18</v>
      </c>
      <c r="H6592" t="s">
        <v>26</v>
      </c>
      <c r="I6592" t="s">
        <v>41</v>
      </c>
      <c r="J6592">
        <v>62.015999999999998</v>
      </c>
      <c r="K6592">
        <v>2</v>
      </c>
      <c r="L6592">
        <v>0.2</v>
      </c>
      <c r="M6592">
        <v>22.480799999999999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19</v>
      </c>
      <c r="I6593" t="s">
        <v>33</v>
      </c>
      <c r="J6593">
        <v>60.72</v>
      </c>
      <c r="K6593">
        <v>3</v>
      </c>
      <c r="L6593">
        <v>0</v>
      </c>
      <c r="M6593">
        <v>23.680800000000001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26</v>
      </c>
      <c r="I6594" t="s">
        <v>41</v>
      </c>
      <c r="J6594">
        <v>146.82</v>
      </c>
      <c r="K6594">
        <v>3</v>
      </c>
      <c r="L6594">
        <v>0</v>
      </c>
      <c r="M6594">
        <v>73.41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19</v>
      </c>
      <c r="I6595" t="s">
        <v>21</v>
      </c>
      <c r="J6595">
        <v>239.84</v>
      </c>
      <c r="K6595">
        <v>8</v>
      </c>
      <c r="L6595">
        <v>0</v>
      </c>
      <c r="M6595">
        <v>64.756799999999998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268</v>
      </c>
      <c r="E6596" t="s">
        <v>248</v>
      </c>
      <c r="F6596">
        <v>20735</v>
      </c>
      <c r="G6596" t="s">
        <v>57</v>
      </c>
      <c r="H6596" t="s">
        <v>26</v>
      </c>
      <c r="I6596" t="s">
        <v>27</v>
      </c>
      <c r="J6596">
        <v>15.66</v>
      </c>
      <c r="K6596">
        <v>6</v>
      </c>
      <c r="L6596">
        <v>0</v>
      </c>
      <c r="M6596">
        <v>7.2035999999999998</v>
      </c>
    </row>
    <row r="6597" spans="1:13" x14ac:dyDescent="0.3">
      <c r="A6597" t="s">
        <v>62</v>
      </c>
      <c r="B6597" t="s">
        <v>14</v>
      </c>
      <c r="C6597" t="s">
        <v>15</v>
      </c>
      <c r="D6597" t="s">
        <v>571</v>
      </c>
      <c r="E6597" t="s">
        <v>98</v>
      </c>
      <c r="F6597">
        <v>80022</v>
      </c>
      <c r="G6597" t="s">
        <v>25</v>
      </c>
      <c r="H6597" t="s">
        <v>26</v>
      </c>
      <c r="I6597" t="s">
        <v>32</v>
      </c>
      <c r="J6597">
        <v>146.352</v>
      </c>
      <c r="K6597">
        <v>3</v>
      </c>
      <c r="L6597">
        <v>0.2</v>
      </c>
      <c r="M6597">
        <v>-32.929200000000002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77</v>
      </c>
      <c r="J6598">
        <v>5.94</v>
      </c>
      <c r="K6598">
        <v>3</v>
      </c>
      <c r="L6598">
        <v>0</v>
      </c>
      <c r="M6598">
        <v>0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26</v>
      </c>
      <c r="I6599" t="s">
        <v>41</v>
      </c>
      <c r="J6599">
        <v>45.36</v>
      </c>
      <c r="K6599">
        <v>7</v>
      </c>
      <c r="L6599">
        <v>0</v>
      </c>
      <c r="M6599">
        <v>21.7728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35</v>
      </c>
      <c r="I6600" t="s">
        <v>36</v>
      </c>
      <c r="J6600">
        <v>211.16800000000001</v>
      </c>
      <c r="K6600">
        <v>4</v>
      </c>
      <c r="L6600">
        <v>0.2</v>
      </c>
      <c r="M6600">
        <v>23.756399999999999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19</v>
      </c>
      <c r="I6601" t="s">
        <v>21</v>
      </c>
      <c r="J6601">
        <v>484.70400000000001</v>
      </c>
      <c r="K6601">
        <v>6</v>
      </c>
      <c r="L6601">
        <v>0.2</v>
      </c>
      <c r="M6601">
        <v>-84.8232</v>
      </c>
    </row>
    <row r="6602" spans="1:13" x14ac:dyDescent="0.3">
      <c r="A6602" t="s">
        <v>28</v>
      </c>
      <c r="B6602" t="s">
        <v>14</v>
      </c>
      <c r="C6602" t="s">
        <v>15</v>
      </c>
      <c r="D6602" t="s">
        <v>240</v>
      </c>
      <c r="E6602" t="s">
        <v>24</v>
      </c>
      <c r="F6602">
        <v>92704</v>
      </c>
      <c r="G6602" t="s">
        <v>25</v>
      </c>
      <c r="H6602" t="s">
        <v>35</v>
      </c>
      <c r="I6602" t="s">
        <v>123</v>
      </c>
      <c r="J6602">
        <v>371.976</v>
      </c>
      <c r="K6602">
        <v>3</v>
      </c>
      <c r="L6602">
        <v>0.2</v>
      </c>
      <c r="M6602">
        <v>116.24250000000001</v>
      </c>
    </row>
    <row r="6603" spans="1:13" x14ac:dyDescent="0.3">
      <c r="A6603" t="s">
        <v>168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26</v>
      </c>
      <c r="I6603" t="s">
        <v>32</v>
      </c>
      <c r="J6603">
        <v>89.82</v>
      </c>
      <c r="K6603">
        <v>6</v>
      </c>
      <c r="L6603">
        <v>0</v>
      </c>
      <c r="M6603">
        <v>25.1496</v>
      </c>
    </row>
    <row r="6604" spans="1:13" x14ac:dyDescent="0.3">
      <c r="A6604" t="s">
        <v>62</v>
      </c>
      <c r="B6604" t="s">
        <v>22</v>
      </c>
      <c r="C6604" t="s">
        <v>15</v>
      </c>
      <c r="D6604" t="s">
        <v>23</v>
      </c>
      <c r="E6604" t="s">
        <v>24</v>
      </c>
      <c r="F6604">
        <v>90049</v>
      </c>
      <c r="G6604" t="s">
        <v>25</v>
      </c>
      <c r="H6604" t="s">
        <v>26</v>
      </c>
      <c r="I6604" t="s">
        <v>37</v>
      </c>
      <c r="J6604">
        <v>19.295999999999999</v>
      </c>
      <c r="K6604">
        <v>3</v>
      </c>
      <c r="L6604">
        <v>0.2</v>
      </c>
      <c r="M6604">
        <v>6.03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19</v>
      </c>
      <c r="I6605" t="s">
        <v>21</v>
      </c>
      <c r="J6605">
        <v>191.96</v>
      </c>
      <c r="K6605">
        <v>2</v>
      </c>
      <c r="L6605">
        <v>0</v>
      </c>
      <c r="M6605">
        <v>51.8292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26</v>
      </c>
      <c r="I6606" t="s">
        <v>37</v>
      </c>
      <c r="J6606">
        <v>21.3</v>
      </c>
      <c r="K6606">
        <v>3</v>
      </c>
      <c r="L6606">
        <v>0</v>
      </c>
      <c r="M6606">
        <v>9.798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35</v>
      </c>
      <c r="I6607" t="s">
        <v>36</v>
      </c>
      <c r="J6607">
        <v>469.95</v>
      </c>
      <c r="K6607">
        <v>5</v>
      </c>
      <c r="L6607">
        <v>0</v>
      </c>
      <c r="M6607">
        <v>131.58600000000001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183</v>
      </c>
      <c r="E6608" t="s">
        <v>17</v>
      </c>
      <c r="F6608">
        <v>40214</v>
      </c>
      <c r="G6608" t="s">
        <v>18</v>
      </c>
      <c r="H6608" t="s">
        <v>19</v>
      </c>
      <c r="I6608" t="s">
        <v>33</v>
      </c>
      <c r="J6608">
        <v>209.88</v>
      </c>
      <c r="K6608">
        <v>3</v>
      </c>
      <c r="L6608">
        <v>0</v>
      </c>
      <c r="M6608">
        <v>35.679600000000001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19</v>
      </c>
      <c r="I6609" t="s">
        <v>20</v>
      </c>
      <c r="J6609">
        <v>239.666</v>
      </c>
      <c r="K6609">
        <v>2</v>
      </c>
      <c r="L6609">
        <v>0.15</v>
      </c>
      <c r="M6609">
        <v>14.098000000000001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27</v>
      </c>
      <c r="J6610">
        <v>22.5</v>
      </c>
      <c r="K6610">
        <v>6</v>
      </c>
      <c r="L6610">
        <v>0</v>
      </c>
      <c r="M6610">
        <v>10.8</v>
      </c>
    </row>
    <row r="6611" spans="1:13" x14ac:dyDescent="0.3">
      <c r="A6611" t="s">
        <v>62</v>
      </c>
      <c r="B6611" t="s">
        <v>14</v>
      </c>
      <c r="C6611" t="s">
        <v>15</v>
      </c>
      <c r="D6611" t="s">
        <v>23</v>
      </c>
      <c r="E6611" t="s">
        <v>24</v>
      </c>
      <c r="F6611">
        <v>90045</v>
      </c>
      <c r="G6611" t="s">
        <v>25</v>
      </c>
      <c r="H6611" t="s">
        <v>26</v>
      </c>
      <c r="I6611" t="s">
        <v>41</v>
      </c>
      <c r="J6611">
        <v>219.84</v>
      </c>
      <c r="K6611">
        <v>4</v>
      </c>
      <c r="L6611">
        <v>0</v>
      </c>
      <c r="M6611">
        <v>107.7216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41</v>
      </c>
      <c r="J6612">
        <v>32.4</v>
      </c>
      <c r="K6612">
        <v>5</v>
      </c>
      <c r="L6612">
        <v>0</v>
      </c>
      <c r="M6612">
        <v>15.552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34</v>
      </c>
      <c r="J6613">
        <v>209.94</v>
      </c>
      <c r="K6613">
        <v>6</v>
      </c>
      <c r="L6613">
        <v>0</v>
      </c>
      <c r="M6613">
        <v>54.584400000000002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26</v>
      </c>
      <c r="I6614" t="s">
        <v>110</v>
      </c>
      <c r="J6614">
        <v>4164.05</v>
      </c>
      <c r="K6614">
        <v>5</v>
      </c>
      <c r="L6614">
        <v>0</v>
      </c>
      <c r="M6614">
        <v>83.281000000000006</v>
      </c>
    </row>
    <row r="6615" spans="1:13" x14ac:dyDescent="0.3">
      <c r="A6615" t="s">
        <v>13</v>
      </c>
      <c r="B6615" t="s">
        <v>22</v>
      </c>
      <c r="C6615" t="s">
        <v>15</v>
      </c>
      <c r="D6615" t="s">
        <v>82</v>
      </c>
      <c r="E6615" t="s">
        <v>112</v>
      </c>
      <c r="F6615">
        <v>65807</v>
      </c>
      <c r="G6615" t="s">
        <v>47</v>
      </c>
      <c r="H6615" t="s">
        <v>19</v>
      </c>
      <c r="I6615" t="s">
        <v>20</v>
      </c>
      <c r="J6615">
        <v>212.94</v>
      </c>
      <c r="K6615">
        <v>3</v>
      </c>
      <c r="L6615">
        <v>0</v>
      </c>
      <c r="M6615">
        <v>53.234999999999999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19</v>
      </c>
      <c r="I6616" t="s">
        <v>33</v>
      </c>
      <c r="J6616">
        <v>41.88</v>
      </c>
      <c r="K6616">
        <v>6</v>
      </c>
      <c r="L6616">
        <v>0</v>
      </c>
      <c r="M6616">
        <v>12.145200000000001</v>
      </c>
    </row>
    <row r="6617" spans="1:13" x14ac:dyDescent="0.3">
      <c r="A6617" t="s">
        <v>62</v>
      </c>
      <c r="B6617" t="s">
        <v>22</v>
      </c>
      <c r="C6617" t="s">
        <v>15</v>
      </c>
      <c r="D6617" t="s">
        <v>52</v>
      </c>
      <c r="E6617" t="s">
        <v>24</v>
      </c>
      <c r="F6617">
        <v>94109</v>
      </c>
      <c r="G6617" t="s">
        <v>25</v>
      </c>
      <c r="H6617" t="s">
        <v>26</v>
      </c>
      <c r="I6617" t="s">
        <v>27</v>
      </c>
      <c r="J6617">
        <v>58.48</v>
      </c>
      <c r="K6617">
        <v>8</v>
      </c>
      <c r="L6617">
        <v>0</v>
      </c>
      <c r="M6617">
        <v>27.485600000000002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31</v>
      </c>
      <c r="J6618">
        <v>102.438</v>
      </c>
      <c r="K6618">
        <v>1</v>
      </c>
      <c r="L6618">
        <v>0.3</v>
      </c>
      <c r="M6618">
        <v>-13.1706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572</v>
      </c>
      <c r="E6619" t="s">
        <v>46</v>
      </c>
      <c r="F6619">
        <v>77590</v>
      </c>
      <c r="G6619" t="s">
        <v>47</v>
      </c>
      <c r="H6619" t="s">
        <v>19</v>
      </c>
      <c r="I6619" t="s">
        <v>21</v>
      </c>
      <c r="J6619">
        <v>199.304</v>
      </c>
      <c r="K6619">
        <v>4</v>
      </c>
      <c r="L6619">
        <v>0.3</v>
      </c>
      <c r="M6619">
        <v>-8.5416000000000007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75</v>
      </c>
      <c r="E6620" t="s">
        <v>76</v>
      </c>
      <c r="F6620">
        <v>10024</v>
      </c>
      <c r="G6620" t="s">
        <v>57</v>
      </c>
      <c r="H6620" t="s">
        <v>35</v>
      </c>
      <c r="I6620" t="s">
        <v>123</v>
      </c>
      <c r="J6620">
        <v>6999.96</v>
      </c>
      <c r="K6620">
        <v>4</v>
      </c>
      <c r="L6620">
        <v>0</v>
      </c>
      <c r="M6620">
        <v>2239.9872</v>
      </c>
    </row>
    <row r="6621" spans="1:13" x14ac:dyDescent="0.3">
      <c r="A6621" t="s">
        <v>28</v>
      </c>
      <c r="B6621" t="s">
        <v>14</v>
      </c>
      <c r="C6621" t="s">
        <v>15</v>
      </c>
      <c r="D6621" t="s">
        <v>319</v>
      </c>
      <c r="E6621" t="s">
        <v>43</v>
      </c>
      <c r="F6621">
        <v>98006</v>
      </c>
      <c r="G6621" t="s">
        <v>25</v>
      </c>
      <c r="H6621" t="s">
        <v>26</v>
      </c>
      <c r="I6621" t="s">
        <v>41</v>
      </c>
      <c r="J6621">
        <v>12.96</v>
      </c>
      <c r="K6621">
        <v>2</v>
      </c>
      <c r="L6621">
        <v>0</v>
      </c>
      <c r="M6621">
        <v>6.2207999999999997</v>
      </c>
    </row>
    <row r="6622" spans="1:13" x14ac:dyDescent="0.3">
      <c r="A6622" t="s">
        <v>13</v>
      </c>
      <c r="B6622" t="s">
        <v>14</v>
      </c>
      <c r="C6622" t="s">
        <v>15</v>
      </c>
      <c r="D6622" t="s">
        <v>75</v>
      </c>
      <c r="E6622" t="s">
        <v>76</v>
      </c>
      <c r="F6622">
        <v>10024</v>
      </c>
      <c r="G6622" t="s">
        <v>57</v>
      </c>
      <c r="H6622" t="s">
        <v>35</v>
      </c>
      <c r="I6622" t="s">
        <v>36</v>
      </c>
      <c r="J6622">
        <v>279.86</v>
      </c>
      <c r="K6622">
        <v>14</v>
      </c>
      <c r="L6622">
        <v>0</v>
      </c>
      <c r="M6622">
        <v>134.33279999999999</v>
      </c>
    </row>
    <row r="6623" spans="1:13" x14ac:dyDescent="0.3">
      <c r="A6623" t="s">
        <v>28</v>
      </c>
      <c r="B6623" t="s">
        <v>44</v>
      </c>
      <c r="C6623" t="s">
        <v>15</v>
      </c>
      <c r="D6623" t="s">
        <v>573</v>
      </c>
      <c r="E6623" t="s">
        <v>40</v>
      </c>
      <c r="F6623">
        <v>27893</v>
      </c>
      <c r="G6623" t="s">
        <v>18</v>
      </c>
      <c r="H6623" t="s">
        <v>26</v>
      </c>
      <c r="I6623" t="s">
        <v>37</v>
      </c>
      <c r="J6623">
        <v>7.38</v>
      </c>
      <c r="K6623">
        <v>5</v>
      </c>
      <c r="L6623">
        <v>0.7</v>
      </c>
      <c r="M6623">
        <v>-5.4119999999999999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21</v>
      </c>
      <c r="J6624">
        <v>698.35199999999998</v>
      </c>
      <c r="K6624">
        <v>3</v>
      </c>
      <c r="L6624">
        <v>0.2</v>
      </c>
      <c r="M6624">
        <v>52.376399999999997</v>
      </c>
    </row>
    <row r="6625" spans="1:13" x14ac:dyDescent="0.3">
      <c r="A6625" t="s">
        <v>28</v>
      </c>
      <c r="B6625" t="s">
        <v>14</v>
      </c>
      <c r="C6625" t="s">
        <v>15</v>
      </c>
      <c r="D6625" t="s">
        <v>42</v>
      </c>
      <c r="E6625" t="s">
        <v>43</v>
      </c>
      <c r="F6625">
        <v>98115</v>
      </c>
      <c r="G6625" t="s">
        <v>25</v>
      </c>
      <c r="H6625" t="s">
        <v>19</v>
      </c>
      <c r="I6625" t="s">
        <v>31</v>
      </c>
      <c r="J6625">
        <v>1747.25</v>
      </c>
      <c r="K6625">
        <v>5</v>
      </c>
      <c r="L6625">
        <v>0</v>
      </c>
      <c r="M6625">
        <v>629.01</v>
      </c>
    </row>
    <row r="6626" spans="1:13" x14ac:dyDescent="0.3">
      <c r="A6626" t="s">
        <v>13</v>
      </c>
      <c r="B6626" t="s">
        <v>44</v>
      </c>
      <c r="C6626" t="s">
        <v>15</v>
      </c>
      <c r="D6626" t="s">
        <v>82</v>
      </c>
      <c r="E6626" t="s">
        <v>112</v>
      </c>
      <c r="F6626">
        <v>65807</v>
      </c>
      <c r="G6626" t="s">
        <v>47</v>
      </c>
      <c r="H6626" t="s">
        <v>26</v>
      </c>
      <c r="I6626" t="s">
        <v>38</v>
      </c>
      <c r="J6626">
        <v>54.48</v>
      </c>
      <c r="K6626">
        <v>1</v>
      </c>
      <c r="L6626">
        <v>0</v>
      </c>
      <c r="M6626">
        <v>15.2544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52</v>
      </c>
      <c r="E6627" t="s">
        <v>24</v>
      </c>
      <c r="F6627">
        <v>94109</v>
      </c>
      <c r="G6627" t="s">
        <v>25</v>
      </c>
      <c r="H6627" t="s">
        <v>35</v>
      </c>
      <c r="I6627" t="s">
        <v>59</v>
      </c>
      <c r="J6627">
        <v>199.99</v>
      </c>
      <c r="K6627">
        <v>1</v>
      </c>
      <c r="L6627">
        <v>0</v>
      </c>
      <c r="M6627">
        <v>85.995699999999999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26</v>
      </c>
      <c r="I6628" t="s">
        <v>37</v>
      </c>
      <c r="J6628">
        <v>68.540999999999997</v>
      </c>
      <c r="K6628">
        <v>11</v>
      </c>
      <c r="L6628">
        <v>0.7</v>
      </c>
      <c r="M6628">
        <v>-52.548099999999998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35</v>
      </c>
      <c r="I6629" t="s">
        <v>36</v>
      </c>
      <c r="J6629">
        <v>627.16800000000001</v>
      </c>
      <c r="K6629">
        <v>4</v>
      </c>
      <c r="L6629">
        <v>0.2</v>
      </c>
      <c r="M6629">
        <v>70.556399999999996</v>
      </c>
    </row>
    <row r="6630" spans="1:13" x14ac:dyDescent="0.3">
      <c r="A6630" t="s">
        <v>168</v>
      </c>
      <c r="B6630" t="s">
        <v>14</v>
      </c>
      <c r="C6630" t="s">
        <v>15</v>
      </c>
      <c r="D6630" t="s">
        <v>99</v>
      </c>
      <c r="E6630" t="s">
        <v>40</v>
      </c>
      <c r="F6630">
        <v>28205</v>
      </c>
      <c r="G6630" t="s">
        <v>18</v>
      </c>
      <c r="H6630" t="s">
        <v>26</v>
      </c>
      <c r="I6630" t="s">
        <v>27</v>
      </c>
      <c r="J6630">
        <v>122.12</v>
      </c>
      <c r="K6630">
        <v>5</v>
      </c>
      <c r="L6630">
        <v>0.2</v>
      </c>
      <c r="M6630">
        <v>39.689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34</v>
      </c>
      <c r="J6631">
        <v>6.99</v>
      </c>
      <c r="K6631">
        <v>3</v>
      </c>
      <c r="L6631">
        <v>0</v>
      </c>
      <c r="M6631">
        <v>2.0270999999999999</v>
      </c>
    </row>
    <row r="6632" spans="1:13" x14ac:dyDescent="0.3">
      <c r="A6632" t="s">
        <v>13</v>
      </c>
      <c r="B6632" t="s">
        <v>14</v>
      </c>
      <c r="C6632" t="s">
        <v>15</v>
      </c>
      <c r="D6632" t="s">
        <v>75</v>
      </c>
      <c r="E6632" t="s">
        <v>76</v>
      </c>
      <c r="F6632">
        <v>10011</v>
      </c>
      <c r="G6632" t="s">
        <v>57</v>
      </c>
      <c r="H6632" t="s">
        <v>26</v>
      </c>
      <c r="I6632" t="s">
        <v>37</v>
      </c>
      <c r="J6632">
        <v>107.42400000000001</v>
      </c>
      <c r="K6632">
        <v>6</v>
      </c>
      <c r="L6632">
        <v>0.2</v>
      </c>
      <c r="M6632">
        <v>36.255600000000001</v>
      </c>
    </row>
    <row r="6633" spans="1:13" x14ac:dyDescent="0.3">
      <c r="A6633" t="s">
        <v>13</v>
      </c>
      <c r="B6633" t="s">
        <v>22</v>
      </c>
      <c r="C6633" t="s">
        <v>15</v>
      </c>
      <c r="D6633" t="s">
        <v>243</v>
      </c>
      <c r="E6633" t="s">
        <v>104</v>
      </c>
      <c r="F6633">
        <v>44052</v>
      </c>
      <c r="G6633" t="s">
        <v>57</v>
      </c>
      <c r="H6633" t="s">
        <v>19</v>
      </c>
      <c r="I6633" t="s">
        <v>31</v>
      </c>
      <c r="J6633">
        <v>1421.664</v>
      </c>
      <c r="K6633">
        <v>8</v>
      </c>
      <c r="L6633">
        <v>0.4</v>
      </c>
      <c r="M6633">
        <v>-734.52639999999997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26</v>
      </c>
      <c r="I6634" t="s">
        <v>37</v>
      </c>
      <c r="J6634">
        <v>125.88</v>
      </c>
      <c r="K6634">
        <v>6</v>
      </c>
      <c r="L6634">
        <v>0</v>
      </c>
      <c r="M6634">
        <v>60.422400000000003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35</v>
      </c>
      <c r="I6635" t="s">
        <v>59</v>
      </c>
      <c r="J6635">
        <v>79.78</v>
      </c>
      <c r="K6635">
        <v>2</v>
      </c>
      <c r="L6635">
        <v>0</v>
      </c>
      <c r="M6635">
        <v>29.518599999999999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330</v>
      </c>
      <c r="E6636" t="s">
        <v>74</v>
      </c>
      <c r="F6636">
        <v>46203</v>
      </c>
      <c r="G6636" t="s">
        <v>47</v>
      </c>
      <c r="H6636" t="s">
        <v>26</v>
      </c>
      <c r="I6636" t="s">
        <v>27</v>
      </c>
      <c r="J6636">
        <v>133.19999999999999</v>
      </c>
      <c r="K6636">
        <v>9</v>
      </c>
      <c r="L6636">
        <v>0</v>
      </c>
      <c r="M6636">
        <v>66.599999999999994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438.36799999999999</v>
      </c>
      <c r="K6637">
        <v>4</v>
      </c>
      <c r="L6637">
        <v>0.2</v>
      </c>
      <c r="M6637">
        <v>38.357199999999999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35</v>
      </c>
      <c r="I6638" t="s">
        <v>36</v>
      </c>
      <c r="J6638">
        <v>139.94399999999999</v>
      </c>
      <c r="K6638">
        <v>7</v>
      </c>
      <c r="L6638">
        <v>0.2</v>
      </c>
      <c r="M6638">
        <v>-31.487400000000001</v>
      </c>
    </row>
    <row r="6639" spans="1:13" x14ac:dyDescent="0.3">
      <c r="A6639" t="s">
        <v>28</v>
      </c>
      <c r="B6639" t="s">
        <v>14</v>
      </c>
      <c r="C6639" t="s">
        <v>15</v>
      </c>
      <c r="D6639" t="s">
        <v>338</v>
      </c>
      <c r="E6639" t="s">
        <v>95</v>
      </c>
      <c r="F6639">
        <v>97756</v>
      </c>
      <c r="G6639" t="s">
        <v>25</v>
      </c>
      <c r="H6639" t="s">
        <v>26</v>
      </c>
      <c r="I6639" t="s">
        <v>38</v>
      </c>
      <c r="J6639">
        <v>133.47200000000001</v>
      </c>
      <c r="K6639">
        <v>4</v>
      </c>
      <c r="L6639">
        <v>0.2</v>
      </c>
      <c r="M6639">
        <v>15.015599999999999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19</v>
      </c>
      <c r="I6640" t="s">
        <v>31</v>
      </c>
      <c r="J6640">
        <v>564.19500000000005</v>
      </c>
      <c r="K6640">
        <v>3</v>
      </c>
      <c r="L6640">
        <v>0.5</v>
      </c>
      <c r="M6640">
        <v>-304.6653</v>
      </c>
    </row>
    <row r="6641" spans="1:13" x14ac:dyDescent="0.3">
      <c r="A6641" t="s">
        <v>28</v>
      </c>
      <c r="B6641" t="s">
        <v>44</v>
      </c>
      <c r="C6641" t="s">
        <v>15</v>
      </c>
      <c r="D6641" t="s">
        <v>82</v>
      </c>
      <c r="E6641" t="s">
        <v>95</v>
      </c>
      <c r="F6641">
        <v>97477</v>
      </c>
      <c r="G6641" t="s">
        <v>25</v>
      </c>
      <c r="H6641" t="s">
        <v>26</v>
      </c>
      <c r="I6641" t="s">
        <v>38</v>
      </c>
      <c r="J6641">
        <v>87.168000000000006</v>
      </c>
      <c r="K6641">
        <v>2</v>
      </c>
      <c r="L6641">
        <v>0.2</v>
      </c>
      <c r="M6641">
        <v>8.7167999999999992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26</v>
      </c>
      <c r="I6642" t="s">
        <v>37</v>
      </c>
      <c r="J6642">
        <v>42.616</v>
      </c>
      <c r="K6642">
        <v>7</v>
      </c>
      <c r="L6642">
        <v>0.8</v>
      </c>
      <c r="M6642">
        <v>-68.185599999999994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35</v>
      </c>
      <c r="I6643" t="s">
        <v>162</v>
      </c>
      <c r="J6643">
        <v>319.98399999999998</v>
      </c>
      <c r="K6643">
        <v>2</v>
      </c>
      <c r="L6643">
        <v>0.2</v>
      </c>
      <c r="M6643">
        <v>107.99460000000001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26</v>
      </c>
      <c r="I6644" t="s">
        <v>77</v>
      </c>
      <c r="J6644">
        <v>45.92</v>
      </c>
      <c r="K6644">
        <v>5</v>
      </c>
      <c r="L6644">
        <v>0.2</v>
      </c>
      <c r="M6644">
        <v>15.497999999999999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19</v>
      </c>
      <c r="I6645" t="s">
        <v>33</v>
      </c>
      <c r="J6645">
        <v>21.184000000000001</v>
      </c>
      <c r="K6645">
        <v>2</v>
      </c>
      <c r="L6645">
        <v>0.6</v>
      </c>
      <c r="M6645">
        <v>-11.651199999999999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26</v>
      </c>
      <c r="I6646" t="s">
        <v>41</v>
      </c>
      <c r="J6646">
        <v>20.736000000000001</v>
      </c>
      <c r="K6646">
        <v>4</v>
      </c>
      <c r="L6646">
        <v>0.2</v>
      </c>
      <c r="M6646">
        <v>7.2576000000000001</v>
      </c>
    </row>
    <row r="6647" spans="1:13" x14ac:dyDescent="0.3">
      <c r="A6647" t="s">
        <v>62</v>
      </c>
      <c r="B6647" t="s">
        <v>22</v>
      </c>
      <c r="C6647" t="s">
        <v>15</v>
      </c>
      <c r="D6647" t="s">
        <v>155</v>
      </c>
      <c r="E6647" t="s">
        <v>46</v>
      </c>
      <c r="F6647">
        <v>76017</v>
      </c>
      <c r="G6647" t="s">
        <v>47</v>
      </c>
      <c r="H6647" t="s">
        <v>19</v>
      </c>
      <c r="I6647" t="s">
        <v>21</v>
      </c>
      <c r="J6647">
        <v>213.43</v>
      </c>
      <c r="K6647">
        <v>5</v>
      </c>
      <c r="L6647">
        <v>0.3</v>
      </c>
      <c r="M6647">
        <v>-39.637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36</v>
      </c>
      <c r="J6648">
        <v>333.57600000000002</v>
      </c>
      <c r="K6648">
        <v>3</v>
      </c>
      <c r="L6648">
        <v>0.2</v>
      </c>
      <c r="M6648">
        <v>25.0182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35</v>
      </c>
      <c r="I6649" t="s">
        <v>59</v>
      </c>
      <c r="J6649">
        <v>31.992000000000001</v>
      </c>
      <c r="K6649">
        <v>1</v>
      </c>
      <c r="L6649">
        <v>0.2</v>
      </c>
      <c r="M6649">
        <v>4.7988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32</v>
      </c>
      <c r="J6650">
        <v>51.167999999999999</v>
      </c>
      <c r="K6650">
        <v>2</v>
      </c>
      <c r="L6650">
        <v>0.2</v>
      </c>
      <c r="M6650">
        <v>-6.3959999999999999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26</v>
      </c>
      <c r="I6651" t="s">
        <v>60</v>
      </c>
      <c r="J6651">
        <v>10.64</v>
      </c>
      <c r="K6651">
        <v>5</v>
      </c>
      <c r="L6651">
        <v>0.2</v>
      </c>
      <c r="M6651">
        <v>3.8570000000000002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33</v>
      </c>
      <c r="J6652">
        <v>68.703999999999994</v>
      </c>
      <c r="K6652">
        <v>2</v>
      </c>
      <c r="L6652">
        <v>0.2</v>
      </c>
      <c r="M6652">
        <v>16.3172</v>
      </c>
    </row>
    <row r="6653" spans="1:13" x14ac:dyDescent="0.3">
      <c r="A6653" t="s">
        <v>28</v>
      </c>
      <c r="B6653" t="s">
        <v>44</v>
      </c>
      <c r="C6653" t="s">
        <v>15</v>
      </c>
      <c r="D6653" t="s">
        <v>80</v>
      </c>
      <c r="E6653" t="s">
        <v>81</v>
      </c>
      <c r="F6653">
        <v>85234</v>
      </c>
      <c r="G6653" t="s">
        <v>25</v>
      </c>
      <c r="H6653" t="s">
        <v>19</v>
      </c>
      <c r="I6653" t="s">
        <v>31</v>
      </c>
      <c r="J6653">
        <v>386.91</v>
      </c>
      <c r="K6653">
        <v>9</v>
      </c>
      <c r="L6653">
        <v>0.5</v>
      </c>
      <c r="M6653">
        <v>-185.71680000000001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34</v>
      </c>
      <c r="J6654">
        <v>39.659999999999997</v>
      </c>
      <c r="K6654">
        <v>2</v>
      </c>
      <c r="L6654">
        <v>0</v>
      </c>
      <c r="M6654">
        <v>11.898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38</v>
      </c>
      <c r="J6655">
        <v>113.92</v>
      </c>
      <c r="K6655">
        <v>2</v>
      </c>
      <c r="L6655">
        <v>0</v>
      </c>
      <c r="M6655">
        <v>33.036799999999999</v>
      </c>
    </row>
    <row r="6656" spans="1:13" x14ac:dyDescent="0.3">
      <c r="A6656" t="s">
        <v>13</v>
      </c>
      <c r="B6656" t="s">
        <v>14</v>
      </c>
      <c r="C6656" t="s">
        <v>15</v>
      </c>
      <c r="D6656" t="s">
        <v>184</v>
      </c>
      <c r="E6656" t="s">
        <v>166</v>
      </c>
      <c r="F6656">
        <v>1841</v>
      </c>
      <c r="G6656" t="s">
        <v>57</v>
      </c>
      <c r="H6656" t="s">
        <v>26</v>
      </c>
      <c r="I6656" t="s">
        <v>37</v>
      </c>
      <c r="J6656">
        <v>447.86</v>
      </c>
      <c r="K6656">
        <v>7</v>
      </c>
      <c r="L6656">
        <v>0</v>
      </c>
      <c r="M6656">
        <v>210.49420000000001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19</v>
      </c>
      <c r="I6657" t="s">
        <v>31</v>
      </c>
      <c r="J6657">
        <v>356.85</v>
      </c>
      <c r="K6657">
        <v>5</v>
      </c>
      <c r="L6657">
        <v>0</v>
      </c>
      <c r="M6657">
        <v>60.664499999999997</v>
      </c>
    </row>
    <row r="6658" spans="1:13" x14ac:dyDescent="0.3">
      <c r="A6658" t="s">
        <v>28</v>
      </c>
      <c r="B6658" t="s">
        <v>14</v>
      </c>
      <c r="C6658" t="s">
        <v>15</v>
      </c>
      <c r="D6658" t="s">
        <v>258</v>
      </c>
      <c r="E6658" t="s">
        <v>83</v>
      </c>
      <c r="F6658">
        <v>23464</v>
      </c>
      <c r="G6658" t="s">
        <v>18</v>
      </c>
      <c r="H6658" t="s">
        <v>26</v>
      </c>
      <c r="I6658" t="s">
        <v>60</v>
      </c>
      <c r="J6658">
        <v>251.58</v>
      </c>
      <c r="K6658">
        <v>7</v>
      </c>
      <c r="L6658">
        <v>0</v>
      </c>
      <c r="M6658">
        <v>113.211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303</v>
      </c>
      <c r="E6659" t="s">
        <v>46</v>
      </c>
      <c r="F6659">
        <v>75061</v>
      </c>
      <c r="G6659" t="s">
        <v>47</v>
      </c>
      <c r="H6659" t="s">
        <v>26</v>
      </c>
      <c r="I6659" t="s">
        <v>41</v>
      </c>
      <c r="J6659">
        <v>219.84</v>
      </c>
      <c r="K6659">
        <v>5</v>
      </c>
      <c r="L6659">
        <v>0.2</v>
      </c>
      <c r="M6659">
        <v>79.691999999999993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19</v>
      </c>
      <c r="I6660" t="s">
        <v>33</v>
      </c>
      <c r="J6660">
        <v>42.85</v>
      </c>
      <c r="K6660">
        <v>5</v>
      </c>
      <c r="L6660">
        <v>0</v>
      </c>
      <c r="M6660">
        <v>15.426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27</v>
      </c>
      <c r="J6661">
        <v>6.16</v>
      </c>
      <c r="K6661">
        <v>2</v>
      </c>
      <c r="L6661">
        <v>0</v>
      </c>
      <c r="M6661">
        <v>2.9567999999999999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26</v>
      </c>
      <c r="I6662" t="s">
        <v>110</v>
      </c>
      <c r="J6662">
        <v>17</v>
      </c>
      <c r="K6662">
        <v>2</v>
      </c>
      <c r="L6662">
        <v>0</v>
      </c>
      <c r="M6662">
        <v>4.42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304</v>
      </c>
      <c r="E6663" t="s">
        <v>132</v>
      </c>
      <c r="F6663">
        <v>8360</v>
      </c>
      <c r="G6663" t="s">
        <v>57</v>
      </c>
      <c r="H6663" t="s">
        <v>35</v>
      </c>
      <c r="I6663" t="s">
        <v>59</v>
      </c>
      <c r="J6663">
        <v>87.4</v>
      </c>
      <c r="K6663">
        <v>5</v>
      </c>
      <c r="L6663">
        <v>0</v>
      </c>
      <c r="M6663">
        <v>34.96</v>
      </c>
    </row>
    <row r="6664" spans="1:13" x14ac:dyDescent="0.3">
      <c r="A6664" t="s">
        <v>28</v>
      </c>
      <c r="B6664" t="s">
        <v>44</v>
      </c>
      <c r="C6664" t="s">
        <v>15</v>
      </c>
      <c r="D6664" t="s">
        <v>103</v>
      </c>
      <c r="E6664" t="s">
        <v>167</v>
      </c>
      <c r="F6664">
        <v>31907</v>
      </c>
      <c r="G6664" t="s">
        <v>18</v>
      </c>
      <c r="H6664" t="s">
        <v>26</v>
      </c>
      <c r="I6664" t="s">
        <v>37</v>
      </c>
      <c r="J6664">
        <v>29.84</v>
      </c>
      <c r="K6664">
        <v>2</v>
      </c>
      <c r="L6664">
        <v>0</v>
      </c>
      <c r="M6664">
        <v>13.428000000000001</v>
      </c>
    </row>
    <row r="6665" spans="1:13" x14ac:dyDescent="0.3">
      <c r="A6665" t="s">
        <v>13</v>
      </c>
      <c r="B6665" t="s">
        <v>22</v>
      </c>
      <c r="C6665" t="s">
        <v>15</v>
      </c>
      <c r="D6665" t="s">
        <v>23</v>
      </c>
      <c r="E6665" t="s">
        <v>24</v>
      </c>
      <c r="F6665">
        <v>90032</v>
      </c>
      <c r="G6665" t="s">
        <v>25</v>
      </c>
      <c r="H6665" t="s">
        <v>26</v>
      </c>
      <c r="I6665" t="s">
        <v>37</v>
      </c>
      <c r="J6665">
        <v>49.567999999999998</v>
      </c>
      <c r="K6665">
        <v>2</v>
      </c>
      <c r="L6665">
        <v>0.2</v>
      </c>
      <c r="M6665">
        <v>17.348800000000001</v>
      </c>
    </row>
    <row r="6666" spans="1:13" x14ac:dyDescent="0.3">
      <c r="A6666" t="s">
        <v>28</v>
      </c>
      <c r="B6666" t="s">
        <v>22</v>
      </c>
      <c r="C6666" t="s">
        <v>15</v>
      </c>
      <c r="D6666" t="s">
        <v>144</v>
      </c>
      <c r="E6666" t="s">
        <v>24</v>
      </c>
      <c r="F6666">
        <v>92024</v>
      </c>
      <c r="G6666" t="s">
        <v>25</v>
      </c>
      <c r="H6666" t="s">
        <v>26</v>
      </c>
      <c r="I6666" t="s">
        <v>34</v>
      </c>
      <c r="J6666">
        <v>265.86</v>
      </c>
      <c r="K6666">
        <v>7</v>
      </c>
      <c r="L6666">
        <v>0</v>
      </c>
      <c r="M6666">
        <v>79.757999999999996</v>
      </c>
    </row>
    <row r="6667" spans="1:13" x14ac:dyDescent="0.3">
      <c r="A6667" t="s">
        <v>28</v>
      </c>
      <c r="B6667" t="s">
        <v>44</v>
      </c>
      <c r="C6667" t="s">
        <v>15</v>
      </c>
      <c r="D6667" t="s">
        <v>348</v>
      </c>
      <c r="E6667" t="s">
        <v>83</v>
      </c>
      <c r="F6667">
        <v>22901</v>
      </c>
      <c r="G6667" t="s">
        <v>18</v>
      </c>
      <c r="H6667" t="s">
        <v>19</v>
      </c>
      <c r="I6667" t="s">
        <v>33</v>
      </c>
      <c r="J6667">
        <v>67.959999999999994</v>
      </c>
      <c r="K6667">
        <v>4</v>
      </c>
      <c r="L6667">
        <v>0</v>
      </c>
      <c r="M6667">
        <v>12.232799999999999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26</v>
      </c>
      <c r="I6668" t="s">
        <v>34</v>
      </c>
      <c r="J6668">
        <v>10.92</v>
      </c>
      <c r="K6668">
        <v>6</v>
      </c>
      <c r="L6668">
        <v>0</v>
      </c>
      <c r="M6668">
        <v>4.9139999999999997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35</v>
      </c>
      <c r="I6669" t="s">
        <v>123</v>
      </c>
      <c r="J6669">
        <v>83.9</v>
      </c>
      <c r="K6669">
        <v>2</v>
      </c>
      <c r="L6669">
        <v>0</v>
      </c>
      <c r="M6669">
        <v>22.652999999999999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26</v>
      </c>
      <c r="I6670" t="s">
        <v>38</v>
      </c>
      <c r="J6670">
        <v>19.75</v>
      </c>
      <c r="K6670">
        <v>5</v>
      </c>
      <c r="L6670">
        <v>0</v>
      </c>
      <c r="M6670">
        <v>5.1349999999999998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184</v>
      </c>
      <c r="E6671" t="s">
        <v>74</v>
      </c>
      <c r="F6671">
        <v>46226</v>
      </c>
      <c r="G6671" t="s">
        <v>47</v>
      </c>
      <c r="H6671" t="s">
        <v>35</v>
      </c>
      <c r="I6671" t="s">
        <v>59</v>
      </c>
      <c r="J6671">
        <v>393.54</v>
      </c>
      <c r="K6671">
        <v>3</v>
      </c>
      <c r="L6671">
        <v>0</v>
      </c>
      <c r="M6671">
        <v>165.2868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108</v>
      </c>
      <c r="E6672" t="s">
        <v>81</v>
      </c>
      <c r="F6672">
        <v>85023</v>
      </c>
      <c r="G6672" t="s">
        <v>25</v>
      </c>
      <c r="H6672" t="s">
        <v>19</v>
      </c>
      <c r="I6672" t="s">
        <v>33</v>
      </c>
      <c r="J6672">
        <v>46.872</v>
      </c>
      <c r="K6672">
        <v>7</v>
      </c>
      <c r="L6672">
        <v>0.2</v>
      </c>
      <c r="M6672">
        <v>3.5154000000000001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32</v>
      </c>
      <c r="J6673">
        <v>10.9</v>
      </c>
      <c r="K6673">
        <v>1</v>
      </c>
      <c r="L6673">
        <v>0</v>
      </c>
      <c r="M6673">
        <v>2.8340000000000001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79.92</v>
      </c>
      <c r="K6674">
        <v>4</v>
      </c>
      <c r="L6674">
        <v>0</v>
      </c>
      <c r="M6674">
        <v>37.562399999999997</v>
      </c>
    </row>
    <row r="6675" spans="1:13" x14ac:dyDescent="0.3">
      <c r="A6675" t="s">
        <v>13</v>
      </c>
      <c r="B6675" t="s">
        <v>14</v>
      </c>
      <c r="C6675" t="s">
        <v>15</v>
      </c>
      <c r="D6675" t="s">
        <v>341</v>
      </c>
      <c r="E6675" t="s">
        <v>127</v>
      </c>
      <c r="F6675">
        <v>6450</v>
      </c>
      <c r="G6675" t="s">
        <v>57</v>
      </c>
      <c r="H6675" t="s">
        <v>26</v>
      </c>
      <c r="I6675" t="s">
        <v>41</v>
      </c>
      <c r="J6675">
        <v>146.82</v>
      </c>
      <c r="K6675">
        <v>3</v>
      </c>
      <c r="L6675">
        <v>0</v>
      </c>
      <c r="M6675">
        <v>73.41</v>
      </c>
    </row>
    <row r="6676" spans="1:13" x14ac:dyDescent="0.3">
      <c r="A6676" t="s">
        <v>62</v>
      </c>
      <c r="B6676" t="s">
        <v>44</v>
      </c>
      <c r="C6676" t="s">
        <v>15</v>
      </c>
      <c r="D6676" t="s">
        <v>115</v>
      </c>
      <c r="E6676" t="s">
        <v>49</v>
      </c>
      <c r="F6676">
        <v>53132</v>
      </c>
      <c r="G6676" t="s">
        <v>47</v>
      </c>
      <c r="H6676" t="s">
        <v>26</v>
      </c>
      <c r="I6676" t="s">
        <v>37</v>
      </c>
      <c r="J6676">
        <v>3.6</v>
      </c>
      <c r="K6676">
        <v>2</v>
      </c>
      <c r="L6676">
        <v>0</v>
      </c>
      <c r="M6676">
        <v>1.728</v>
      </c>
    </row>
    <row r="6677" spans="1:13" x14ac:dyDescent="0.3">
      <c r="A6677" t="s">
        <v>28</v>
      </c>
      <c r="B6677" t="s">
        <v>44</v>
      </c>
      <c r="C6677" t="s">
        <v>15</v>
      </c>
      <c r="D6677" t="s">
        <v>23</v>
      </c>
      <c r="E6677" t="s">
        <v>24</v>
      </c>
      <c r="F6677">
        <v>90008</v>
      </c>
      <c r="G6677" t="s">
        <v>25</v>
      </c>
      <c r="H6677" t="s">
        <v>19</v>
      </c>
      <c r="I6677" t="s">
        <v>33</v>
      </c>
      <c r="J6677">
        <v>20.04</v>
      </c>
      <c r="K6677">
        <v>6</v>
      </c>
      <c r="L6677">
        <v>0</v>
      </c>
      <c r="M6677">
        <v>8.8176000000000005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26</v>
      </c>
      <c r="I6678" t="s">
        <v>32</v>
      </c>
      <c r="J6678">
        <v>180.01599999999999</v>
      </c>
      <c r="K6678">
        <v>1</v>
      </c>
      <c r="L6678">
        <v>0.2</v>
      </c>
      <c r="M6678">
        <v>-15.7514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19</v>
      </c>
      <c r="I6679" t="s">
        <v>33</v>
      </c>
      <c r="J6679">
        <v>41.552</v>
      </c>
      <c r="K6679">
        <v>2</v>
      </c>
      <c r="L6679">
        <v>0.6</v>
      </c>
      <c r="M6679">
        <v>-19.737200000000001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107</v>
      </c>
      <c r="E6680" t="s">
        <v>65</v>
      </c>
      <c r="F6680">
        <v>61701</v>
      </c>
      <c r="G6680" t="s">
        <v>47</v>
      </c>
      <c r="H6680" t="s">
        <v>26</v>
      </c>
      <c r="I6680" t="s">
        <v>34</v>
      </c>
      <c r="J6680">
        <v>13.12</v>
      </c>
      <c r="K6680">
        <v>5</v>
      </c>
      <c r="L6680">
        <v>0.2</v>
      </c>
      <c r="M6680">
        <v>1.476</v>
      </c>
    </row>
    <row r="6681" spans="1:13" x14ac:dyDescent="0.3">
      <c r="A6681" t="s">
        <v>28</v>
      </c>
      <c r="B6681" t="s">
        <v>14</v>
      </c>
      <c r="C6681" t="s">
        <v>15</v>
      </c>
      <c r="D6681" t="s">
        <v>23</v>
      </c>
      <c r="E6681" t="s">
        <v>24</v>
      </c>
      <c r="F6681">
        <v>90032</v>
      </c>
      <c r="G6681" t="s">
        <v>25</v>
      </c>
      <c r="H6681" t="s">
        <v>26</v>
      </c>
      <c r="I6681" t="s">
        <v>32</v>
      </c>
      <c r="J6681">
        <v>1117.92</v>
      </c>
      <c r="K6681">
        <v>4</v>
      </c>
      <c r="L6681">
        <v>0</v>
      </c>
      <c r="M6681">
        <v>55.896000000000001</v>
      </c>
    </row>
    <row r="6682" spans="1:13" x14ac:dyDescent="0.3">
      <c r="A6682" t="s">
        <v>13</v>
      </c>
      <c r="B6682" t="s">
        <v>22</v>
      </c>
      <c r="C6682" t="s">
        <v>15</v>
      </c>
      <c r="D6682" t="s">
        <v>52</v>
      </c>
      <c r="E6682" t="s">
        <v>24</v>
      </c>
      <c r="F6682">
        <v>94109</v>
      </c>
      <c r="G6682" t="s">
        <v>25</v>
      </c>
      <c r="H6682" t="s">
        <v>35</v>
      </c>
      <c r="I6682" t="s">
        <v>59</v>
      </c>
      <c r="J6682">
        <v>111.96</v>
      </c>
      <c r="K6682">
        <v>4</v>
      </c>
      <c r="L6682">
        <v>0</v>
      </c>
      <c r="M6682">
        <v>21.272400000000001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61</v>
      </c>
      <c r="E6683" t="s">
        <v>46</v>
      </c>
      <c r="F6683">
        <v>77095</v>
      </c>
      <c r="G6683" t="s">
        <v>47</v>
      </c>
      <c r="H6683" t="s">
        <v>26</v>
      </c>
      <c r="I6683" t="s">
        <v>34</v>
      </c>
      <c r="J6683">
        <v>12.16</v>
      </c>
      <c r="K6683">
        <v>5</v>
      </c>
      <c r="L6683">
        <v>0.2</v>
      </c>
      <c r="M6683">
        <v>2.1280000000000001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37</v>
      </c>
      <c r="J6684">
        <v>17.52</v>
      </c>
      <c r="K6684">
        <v>4</v>
      </c>
      <c r="L6684">
        <v>0</v>
      </c>
      <c r="M6684">
        <v>8.4095999999999993</v>
      </c>
    </row>
    <row r="6685" spans="1:13" x14ac:dyDescent="0.3">
      <c r="A6685" t="s">
        <v>28</v>
      </c>
      <c r="B6685" t="s">
        <v>22</v>
      </c>
      <c r="C6685" t="s">
        <v>15</v>
      </c>
      <c r="D6685" t="s">
        <v>241</v>
      </c>
      <c r="E6685" t="s">
        <v>49</v>
      </c>
      <c r="F6685">
        <v>53209</v>
      </c>
      <c r="G6685" t="s">
        <v>47</v>
      </c>
      <c r="H6685" t="s">
        <v>26</v>
      </c>
      <c r="I6685" t="s">
        <v>38</v>
      </c>
      <c r="J6685">
        <v>155.88</v>
      </c>
      <c r="K6685">
        <v>6</v>
      </c>
      <c r="L6685">
        <v>0</v>
      </c>
      <c r="M6685">
        <v>54.558</v>
      </c>
    </row>
    <row r="6686" spans="1:13" x14ac:dyDescent="0.3">
      <c r="A6686" t="s">
        <v>13</v>
      </c>
      <c r="B6686" t="s">
        <v>44</v>
      </c>
      <c r="C6686" t="s">
        <v>15</v>
      </c>
      <c r="D6686" t="s">
        <v>424</v>
      </c>
      <c r="E6686" t="s">
        <v>125</v>
      </c>
      <c r="F6686">
        <v>70601</v>
      </c>
      <c r="G6686" t="s">
        <v>18</v>
      </c>
      <c r="H6686" t="s">
        <v>26</v>
      </c>
      <c r="I6686" t="s">
        <v>37</v>
      </c>
      <c r="J6686">
        <v>477.51</v>
      </c>
      <c r="K6686">
        <v>11</v>
      </c>
      <c r="L6686">
        <v>0</v>
      </c>
      <c r="M6686">
        <v>219.65459999999999</v>
      </c>
    </row>
    <row r="6687" spans="1:13" x14ac:dyDescent="0.3">
      <c r="A6687" t="s">
        <v>13</v>
      </c>
      <c r="B6687" t="s">
        <v>14</v>
      </c>
      <c r="C6687" t="s">
        <v>15</v>
      </c>
      <c r="D6687" t="s">
        <v>333</v>
      </c>
      <c r="E6687" t="s">
        <v>248</v>
      </c>
      <c r="F6687">
        <v>21215</v>
      </c>
      <c r="G6687" t="s">
        <v>57</v>
      </c>
      <c r="H6687" t="s">
        <v>26</v>
      </c>
      <c r="I6687" t="s">
        <v>41</v>
      </c>
      <c r="J6687">
        <v>164.88</v>
      </c>
      <c r="K6687">
        <v>3</v>
      </c>
      <c r="L6687">
        <v>0</v>
      </c>
      <c r="M6687">
        <v>80.791200000000003</v>
      </c>
    </row>
    <row r="6688" spans="1:13" x14ac:dyDescent="0.3">
      <c r="A6688" t="s">
        <v>28</v>
      </c>
      <c r="B6688" t="s">
        <v>44</v>
      </c>
      <c r="C6688" t="s">
        <v>15</v>
      </c>
      <c r="D6688" t="s">
        <v>115</v>
      </c>
      <c r="E6688" t="s">
        <v>49</v>
      </c>
      <c r="F6688">
        <v>53132</v>
      </c>
      <c r="G6688" t="s">
        <v>47</v>
      </c>
      <c r="H6688" t="s">
        <v>35</v>
      </c>
      <c r="I6688" t="s">
        <v>59</v>
      </c>
      <c r="J6688">
        <v>47.97</v>
      </c>
      <c r="K6688">
        <v>3</v>
      </c>
      <c r="L6688">
        <v>0</v>
      </c>
      <c r="M6688">
        <v>14.870699999999999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415.17599999999999</v>
      </c>
      <c r="K6689">
        <v>3</v>
      </c>
      <c r="L6689">
        <v>0.2</v>
      </c>
      <c r="M6689">
        <v>134.93219999999999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37</v>
      </c>
      <c r="J6690">
        <v>35.231999999999999</v>
      </c>
      <c r="K6690">
        <v>3</v>
      </c>
      <c r="L6690">
        <v>0.2</v>
      </c>
      <c r="M6690">
        <v>11.4504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75</v>
      </c>
      <c r="E6691" t="s">
        <v>76</v>
      </c>
      <c r="F6691">
        <v>10024</v>
      </c>
      <c r="G6691" t="s">
        <v>57</v>
      </c>
      <c r="H6691" t="s">
        <v>26</v>
      </c>
      <c r="I6691" t="s">
        <v>41</v>
      </c>
      <c r="J6691">
        <v>54.96</v>
      </c>
      <c r="K6691">
        <v>1</v>
      </c>
      <c r="L6691">
        <v>0</v>
      </c>
      <c r="M6691">
        <v>26.930399999999999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26</v>
      </c>
      <c r="I6692" t="s">
        <v>41</v>
      </c>
      <c r="J6692">
        <v>16.34</v>
      </c>
      <c r="K6692">
        <v>2</v>
      </c>
      <c r="L6692">
        <v>0</v>
      </c>
      <c r="M6692">
        <v>7.6798000000000002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19</v>
      </c>
      <c r="I6693" t="s">
        <v>21</v>
      </c>
      <c r="J6693">
        <v>225.29599999999999</v>
      </c>
      <c r="K6693">
        <v>2</v>
      </c>
      <c r="L6693">
        <v>0.2</v>
      </c>
      <c r="M6693">
        <v>22.529599999999999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144</v>
      </c>
      <c r="E6694" t="s">
        <v>24</v>
      </c>
      <c r="F6694">
        <v>92024</v>
      </c>
      <c r="G6694" t="s">
        <v>25</v>
      </c>
      <c r="H6694" t="s">
        <v>26</v>
      </c>
      <c r="I6694" t="s">
        <v>37</v>
      </c>
      <c r="J6694">
        <v>50.351999999999997</v>
      </c>
      <c r="K6694">
        <v>3</v>
      </c>
      <c r="L6694">
        <v>0.2</v>
      </c>
      <c r="M6694">
        <v>17.623200000000001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19</v>
      </c>
      <c r="I6695" t="s">
        <v>33</v>
      </c>
      <c r="J6695">
        <v>163.136</v>
      </c>
      <c r="K6695">
        <v>4</v>
      </c>
      <c r="L6695">
        <v>0.2</v>
      </c>
      <c r="M6695">
        <v>20.391999999999999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573</v>
      </c>
      <c r="E6696" t="s">
        <v>40</v>
      </c>
      <c r="F6696">
        <v>27893</v>
      </c>
      <c r="G6696" t="s">
        <v>18</v>
      </c>
      <c r="H6696" t="s">
        <v>26</v>
      </c>
      <c r="I6696" t="s">
        <v>37</v>
      </c>
      <c r="J6696">
        <v>6.4080000000000004</v>
      </c>
      <c r="K6696">
        <v>4</v>
      </c>
      <c r="L6696">
        <v>0.7</v>
      </c>
      <c r="M6696">
        <v>-4.9127999999999998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35</v>
      </c>
      <c r="I6697" t="s">
        <v>36</v>
      </c>
      <c r="J6697">
        <v>217.584</v>
      </c>
      <c r="K6697">
        <v>2</v>
      </c>
      <c r="L6697">
        <v>0.2</v>
      </c>
      <c r="M6697">
        <v>19.038599999999999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26</v>
      </c>
      <c r="I6698" t="s">
        <v>77</v>
      </c>
      <c r="J6698">
        <v>5.43</v>
      </c>
      <c r="K6698">
        <v>3</v>
      </c>
      <c r="L6698">
        <v>0</v>
      </c>
      <c r="M6698">
        <v>1.7919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159</v>
      </c>
      <c r="E6699" t="s">
        <v>24</v>
      </c>
      <c r="F6699">
        <v>90805</v>
      </c>
      <c r="G6699" t="s">
        <v>25</v>
      </c>
      <c r="H6699" t="s">
        <v>35</v>
      </c>
      <c r="I6699" t="s">
        <v>36</v>
      </c>
      <c r="J6699">
        <v>143.976</v>
      </c>
      <c r="K6699">
        <v>3</v>
      </c>
      <c r="L6699">
        <v>0.2</v>
      </c>
      <c r="M6699">
        <v>8.9984999999999999</v>
      </c>
    </row>
    <row r="6700" spans="1:13" x14ac:dyDescent="0.3">
      <c r="A6700" t="s">
        <v>28</v>
      </c>
      <c r="B6700" t="s">
        <v>22</v>
      </c>
      <c r="C6700" t="s">
        <v>15</v>
      </c>
      <c r="D6700" t="s">
        <v>29</v>
      </c>
      <c r="E6700" t="s">
        <v>30</v>
      </c>
      <c r="F6700">
        <v>33311</v>
      </c>
      <c r="G6700" t="s">
        <v>18</v>
      </c>
      <c r="H6700" t="s">
        <v>35</v>
      </c>
      <c r="I6700" t="s">
        <v>36</v>
      </c>
      <c r="J6700">
        <v>519.67999999999995</v>
      </c>
      <c r="K6700">
        <v>7</v>
      </c>
      <c r="L6700">
        <v>0.2</v>
      </c>
      <c r="M6700">
        <v>58.463999999999999</v>
      </c>
    </row>
    <row r="6701" spans="1:13" x14ac:dyDescent="0.3">
      <c r="A6701" t="s">
        <v>28</v>
      </c>
      <c r="B6701" t="s">
        <v>44</v>
      </c>
      <c r="C6701" t="s">
        <v>15</v>
      </c>
      <c r="D6701" t="s">
        <v>333</v>
      </c>
      <c r="E6701" t="s">
        <v>248</v>
      </c>
      <c r="F6701">
        <v>21215</v>
      </c>
      <c r="G6701" t="s">
        <v>57</v>
      </c>
      <c r="H6701" t="s">
        <v>26</v>
      </c>
      <c r="I6701" t="s">
        <v>27</v>
      </c>
      <c r="J6701">
        <v>7.83</v>
      </c>
      <c r="K6701">
        <v>3</v>
      </c>
      <c r="L6701">
        <v>0</v>
      </c>
      <c r="M6701">
        <v>3.6017999999999999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883.84</v>
      </c>
      <c r="K6702">
        <v>4</v>
      </c>
      <c r="L6702">
        <v>0.2</v>
      </c>
      <c r="M6702">
        <v>99.432000000000002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574</v>
      </c>
      <c r="E6703" t="s">
        <v>121</v>
      </c>
      <c r="F6703">
        <v>87124</v>
      </c>
      <c r="G6703" t="s">
        <v>25</v>
      </c>
      <c r="H6703" t="s">
        <v>19</v>
      </c>
      <c r="I6703" t="s">
        <v>21</v>
      </c>
      <c r="J6703">
        <v>230.352</v>
      </c>
      <c r="K6703">
        <v>3</v>
      </c>
      <c r="L6703">
        <v>0.2</v>
      </c>
      <c r="M6703">
        <v>20.155799999999999</v>
      </c>
    </row>
    <row r="6704" spans="1:13" x14ac:dyDescent="0.3">
      <c r="A6704" t="s">
        <v>62</v>
      </c>
      <c r="B6704" t="s">
        <v>22</v>
      </c>
      <c r="C6704" t="s">
        <v>15</v>
      </c>
      <c r="D6704" t="s">
        <v>366</v>
      </c>
      <c r="E6704" t="s">
        <v>24</v>
      </c>
      <c r="F6704">
        <v>95207</v>
      </c>
      <c r="G6704" t="s">
        <v>25</v>
      </c>
      <c r="H6704" t="s">
        <v>26</v>
      </c>
      <c r="I6704" t="s">
        <v>37</v>
      </c>
      <c r="J6704">
        <v>273.92</v>
      </c>
      <c r="K6704">
        <v>8</v>
      </c>
      <c r="L6704">
        <v>0.2</v>
      </c>
      <c r="M6704">
        <v>99.296000000000006</v>
      </c>
    </row>
    <row r="6705" spans="1:13" x14ac:dyDescent="0.3">
      <c r="A6705" t="s">
        <v>13</v>
      </c>
      <c r="B6705" t="s">
        <v>14</v>
      </c>
      <c r="C6705" t="s">
        <v>15</v>
      </c>
      <c r="D6705" t="s">
        <v>103</v>
      </c>
      <c r="E6705" t="s">
        <v>104</v>
      </c>
      <c r="F6705">
        <v>43229</v>
      </c>
      <c r="G6705" t="s">
        <v>57</v>
      </c>
      <c r="H6705" t="s">
        <v>26</v>
      </c>
      <c r="I6705" t="s">
        <v>34</v>
      </c>
      <c r="J6705">
        <v>9.9120000000000008</v>
      </c>
      <c r="K6705">
        <v>3</v>
      </c>
      <c r="L6705">
        <v>0.2</v>
      </c>
      <c r="M6705">
        <v>1.2390000000000001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266.35199999999998</v>
      </c>
      <c r="K6706">
        <v>6</v>
      </c>
      <c r="L6706">
        <v>0.6</v>
      </c>
      <c r="M6706">
        <v>-292.98719999999997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19</v>
      </c>
      <c r="I6707" t="s">
        <v>33</v>
      </c>
      <c r="J6707">
        <v>56.328000000000003</v>
      </c>
      <c r="K6707">
        <v>3</v>
      </c>
      <c r="L6707">
        <v>0.6</v>
      </c>
      <c r="M6707">
        <v>-26.755800000000001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35</v>
      </c>
      <c r="I6708" t="s">
        <v>59</v>
      </c>
      <c r="J6708">
        <v>39.264000000000003</v>
      </c>
      <c r="K6708">
        <v>3</v>
      </c>
      <c r="L6708">
        <v>0.2</v>
      </c>
      <c r="M6708">
        <v>-4.9080000000000004</v>
      </c>
    </row>
    <row r="6709" spans="1:13" x14ac:dyDescent="0.3">
      <c r="A6709" t="s">
        <v>168</v>
      </c>
      <c r="B6709" t="s">
        <v>14</v>
      </c>
      <c r="C6709" t="s">
        <v>15</v>
      </c>
      <c r="D6709" t="s">
        <v>327</v>
      </c>
      <c r="E6709" t="s">
        <v>65</v>
      </c>
      <c r="F6709">
        <v>60076</v>
      </c>
      <c r="G6709" t="s">
        <v>47</v>
      </c>
      <c r="H6709" t="s">
        <v>26</v>
      </c>
      <c r="I6709" t="s">
        <v>34</v>
      </c>
      <c r="J6709">
        <v>95.231999999999999</v>
      </c>
      <c r="K6709">
        <v>6</v>
      </c>
      <c r="L6709">
        <v>0.2</v>
      </c>
      <c r="M6709">
        <v>24.9984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77</v>
      </c>
      <c r="J6710">
        <v>30</v>
      </c>
      <c r="K6710">
        <v>6</v>
      </c>
      <c r="L6710">
        <v>0</v>
      </c>
      <c r="M6710">
        <v>14.4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26</v>
      </c>
      <c r="I6711" t="s">
        <v>41</v>
      </c>
      <c r="J6711">
        <v>25.92</v>
      </c>
      <c r="K6711">
        <v>4</v>
      </c>
      <c r="L6711">
        <v>0</v>
      </c>
      <c r="M6711">
        <v>12.700799999999999</v>
      </c>
    </row>
    <row r="6712" spans="1:13" x14ac:dyDescent="0.3">
      <c r="A6712" t="s">
        <v>28</v>
      </c>
      <c r="B6712" t="s">
        <v>44</v>
      </c>
      <c r="C6712" t="s">
        <v>15</v>
      </c>
      <c r="D6712" t="s">
        <v>411</v>
      </c>
      <c r="E6712" t="s">
        <v>197</v>
      </c>
      <c r="F6712">
        <v>71901</v>
      </c>
      <c r="G6712" t="s">
        <v>18</v>
      </c>
      <c r="H6712" t="s">
        <v>19</v>
      </c>
      <c r="I6712" t="s">
        <v>33</v>
      </c>
      <c r="J6712">
        <v>159.91999999999999</v>
      </c>
      <c r="K6712">
        <v>4</v>
      </c>
      <c r="L6712">
        <v>0</v>
      </c>
      <c r="M6712">
        <v>31.984000000000002</v>
      </c>
    </row>
    <row r="6713" spans="1:13" x14ac:dyDescent="0.3">
      <c r="A6713" t="s">
        <v>62</v>
      </c>
      <c r="B6713" t="s">
        <v>14</v>
      </c>
      <c r="C6713" t="s">
        <v>15</v>
      </c>
      <c r="D6713" t="s">
        <v>575</v>
      </c>
      <c r="E6713" t="s">
        <v>40</v>
      </c>
      <c r="F6713">
        <v>27534</v>
      </c>
      <c r="G6713" t="s">
        <v>18</v>
      </c>
      <c r="H6713" t="s">
        <v>26</v>
      </c>
      <c r="I6713" t="s">
        <v>38</v>
      </c>
      <c r="J6713">
        <v>34.944000000000003</v>
      </c>
      <c r="K6713">
        <v>3</v>
      </c>
      <c r="L6713">
        <v>0.2</v>
      </c>
      <c r="M6713">
        <v>3.0575999999999999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35</v>
      </c>
      <c r="I6714" t="s">
        <v>59</v>
      </c>
      <c r="J6714">
        <v>149.94999999999999</v>
      </c>
      <c r="K6714">
        <v>5</v>
      </c>
      <c r="L6714">
        <v>0</v>
      </c>
      <c r="M6714">
        <v>31.4895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23.32</v>
      </c>
      <c r="K6715">
        <v>2</v>
      </c>
      <c r="L6715">
        <v>0</v>
      </c>
      <c r="M6715">
        <v>6.0632000000000001</v>
      </c>
    </row>
    <row r="6716" spans="1:13" x14ac:dyDescent="0.3">
      <c r="A6716" t="s">
        <v>28</v>
      </c>
      <c r="B6716" t="s">
        <v>22</v>
      </c>
      <c r="C6716" t="s">
        <v>15</v>
      </c>
      <c r="D6716" t="s">
        <v>23</v>
      </c>
      <c r="E6716" t="s">
        <v>24</v>
      </c>
      <c r="F6716">
        <v>90032</v>
      </c>
      <c r="G6716" t="s">
        <v>25</v>
      </c>
      <c r="H6716" t="s">
        <v>26</v>
      </c>
      <c r="I6716" t="s">
        <v>34</v>
      </c>
      <c r="J6716">
        <v>16.739999999999998</v>
      </c>
      <c r="K6716">
        <v>3</v>
      </c>
      <c r="L6716">
        <v>0</v>
      </c>
      <c r="M6716">
        <v>4.8545999999999996</v>
      </c>
    </row>
    <row r="6717" spans="1:13" x14ac:dyDescent="0.3">
      <c r="A6717" t="s">
        <v>13</v>
      </c>
      <c r="B6717" t="s">
        <v>14</v>
      </c>
      <c r="C6717" t="s">
        <v>15</v>
      </c>
      <c r="D6717" t="s">
        <v>554</v>
      </c>
      <c r="E6717" t="s">
        <v>247</v>
      </c>
      <c r="F6717">
        <v>3060</v>
      </c>
      <c r="G6717" t="s">
        <v>57</v>
      </c>
      <c r="H6717" t="s">
        <v>26</v>
      </c>
      <c r="I6717" t="s">
        <v>77</v>
      </c>
      <c r="J6717">
        <v>14.82</v>
      </c>
      <c r="K6717">
        <v>6</v>
      </c>
      <c r="L6717">
        <v>0</v>
      </c>
      <c r="M6717">
        <v>6.9653999999999998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77</v>
      </c>
      <c r="J6718">
        <v>10.47</v>
      </c>
      <c r="K6718">
        <v>3</v>
      </c>
      <c r="L6718">
        <v>0</v>
      </c>
      <c r="M6718">
        <v>4.8162000000000003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27</v>
      </c>
      <c r="J6719">
        <v>11.07</v>
      </c>
      <c r="K6719">
        <v>3</v>
      </c>
      <c r="L6719">
        <v>0</v>
      </c>
      <c r="M6719">
        <v>5.2028999999999996</v>
      </c>
    </row>
    <row r="6720" spans="1:13" x14ac:dyDescent="0.3">
      <c r="A6720" t="s">
        <v>28</v>
      </c>
      <c r="B6720" t="s">
        <v>14</v>
      </c>
      <c r="C6720" t="s">
        <v>15</v>
      </c>
      <c r="D6720" t="s">
        <v>42</v>
      </c>
      <c r="E6720" t="s">
        <v>43</v>
      </c>
      <c r="F6720">
        <v>98103</v>
      </c>
      <c r="G6720" t="s">
        <v>25</v>
      </c>
      <c r="H6720" t="s">
        <v>26</v>
      </c>
      <c r="I6720" t="s">
        <v>37</v>
      </c>
      <c r="J6720">
        <v>20.704000000000001</v>
      </c>
      <c r="K6720">
        <v>4</v>
      </c>
      <c r="L6720">
        <v>0.2</v>
      </c>
      <c r="M6720">
        <v>7.7640000000000002</v>
      </c>
    </row>
    <row r="6721" spans="1:13" x14ac:dyDescent="0.3">
      <c r="A6721" t="s">
        <v>13</v>
      </c>
      <c r="B6721" t="s">
        <v>22</v>
      </c>
      <c r="C6721" t="s">
        <v>15</v>
      </c>
      <c r="D6721" t="s">
        <v>182</v>
      </c>
      <c r="E6721" t="s">
        <v>74</v>
      </c>
      <c r="F6721">
        <v>47374</v>
      </c>
      <c r="G6721" t="s">
        <v>47</v>
      </c>
      <c r="H6721" t="s">
        <v>26</v>
      </c>
      <c r="I6721" t="s">
        <v>41</v>
      </c>
      <c r="J6721">
        <v>177.2</v>
      </c>
      <c r="K6721">
        <v>5</v>
      </c>
      <c r="L6721">
        <v>0</v>
      </c>
      <c r="M6721">
        <v>83.284000000000006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180</v>
      </c>
      <c r="E6722" t="s">
        <v>30</v>
      </c>
      <c r="F6722">
        <v>33180</v>
      </c>
      <c r="G6722" t="s">
        <v>18</v>
      </c>
      <c r="H6722" t="s">
        <v>19</v>
      </c>
      <c r="I6722" t="s">
        <v>33</v>
      </c>
      <c r="J6722">
        <v>50.496000000000002</v>
      </c>
      <c r="K6722">
        <v>6</v>
      </c>
      <c r="L6722">
        <v>0.2</v>
      </c>
      <c r="M6722">
        <v>8.2056000000000004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26</v>
      </c>
      <c r="I6723" t="s">
        <v>37</v>
      </c>
      <c r="J6723">
        <v>6.1289999999999996</v>
      </c>
      <c r="K6723">
        <v>3</v>
      </c>
      <c r="L6723">
        <v>0.7</v>
      </c>
      <c r="M6723">
        <v>-4.4946000000000002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19</v>
      </c>
      <c r="I6724" t="s">
        <v>21</v>
      </c>
      <c r="J6724">
        <v>643.13599999999997</v>
      </c>
      <c r="K6724">
        <v>4</v>
      </c>
      <c r="L6724">
        <v>0.2</v>
      </c>
      <c r="M6724">
        <v>56.2744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299</v>
      </c>
      <c r="E6725" t="s">
        <v>86</v>
      </c>
      <c r="F6725">
        <v>37167</v>
      </c>
      <c r="G6725" t="s">
        <v>18</v>
      </c>
      <c r="H6725" t="s">
        <v>26</v>
      </c>
      <c r="I6725" t="s">
        <v>41</v>
      </c>
      <c r="J6725">
        <v>20.736000000000001</v>
      </c>
      <c r="K6725">
        <v>4</v>
      </c>
      <c r="L6725">
        <v>0.2</v>
      </c>
      <c r="M6725">
        <v>7.2576000000000001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41</v>
      </c>
      <c r="J6726">
        <v>177.536</v>
      </c>
      <c r="K6726">
        <v>4</v>
      </c>
      <c r="L6726">
        <v>0.2</v>
      </c>
      <c r="M6726">
        <v>62.137599999999999</v>
      </c>
    </row>
    <row r="6727" spans="1:13" x14ac:dyDescent="0.3">
      <c r="A6727" t="s">
        <v>62</v>
      </c>
      <c r="B6727" t="s">
        <v>22</v>
      </c>
      <c r="C6727" t="s">
        <v>15</v>
      </c>
      <c r="D6727" t="s">
        <v>97</v>
      </c>
      <c r="E6727" t="s">
        <v>98</v>
      </c>
      <c r="F6727">
        <v>80013</v>
      </c>
      <c r="G6727" t="s">
        <v>25</v>
      </c>
      <c r="H6727" t="s">
        <v>26</v>
      </c>
      <c r="I6727" t="s">
        <v>38</v>
      </c>
      <c r="J6727">
        <v>32.432000000000002</v>
      </c>
      <c r="K6727">
        <v>2</v>
      </c>
      <c r="L6727">
        <v>0.2</v>
      </c>
      <c r="M6727">
        <v>3.2431999999999999</v>
      </c>
    </row>
    <row r="6728" spans="1:13" x14ac:dyDescent="0.3">
      <c r="A6728" t="s">
        <v>28</v>
      </c>
      <c r="B6728" t="s">
        <v>44</v>
      </c>
      <c r="C6728" t="s">
        <v>15</v>
      </c>
      <c r="D6728" t="s">
        <v>180</v>
      </c>
      <c r="E6728" t="s">
        <v>30</v>
      </c>
      <c r="F6728">
        <v>33142</v>
      </c>
      <c r="G6728" t="s">
        <v>18</v>
      </c>
      <c r="H6728" t="s">
        <v>26</v>
      </c>
      <c r="I6728" t="s">
        <v>27</v>
      </c>
      <c r="J6728">
        <v>11.696</v>
      </c>
      <c r="K6728">
        <v>2</v>
      </c>
      <c r="L6728">
        <v>0.2</v>
      </c>
      <c r="M6728">
        <v>3.9474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38</v>
      </c>
      <c r="J6729">
        <v>113.76</v>
      </c>
      <c r="K6729">
        <v>3</v>
      </c>
      <c r="L6729">
        <v>0</v>
      </c>
      <c r="M6729">
        <v>44.366399999999999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579.51</v>
      </c>
      <c r="K6730">
        <v>3</v>
      </c>
      <c r="L6730">
        <v>0</v>
      </c>
      <c r="M6730">
        <v>81.131399999999999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32</v>
      </c>
      <c r="J6731">
        <v>150.66</v>
      </c>
      <c r="K6731">
        <v>9</v>
      </c>
      <c r="L6731">
        <v>0</v>
      </c>
      <c r="M6731">
        <v>6.0263999999999998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52</v>
      </c>
      <c r="E6732" t="s">
        <v>24</v>
      </c>
      <c r="F6732">
        <v>94122</v>
      </c>
      <c r="G6732" t="s">
        <v>25</v>
      </c>
      <c r="H6732" t="s">
        <v>26</v>
      </c>
      <c r="I6732" t="s">
        <v>37</v>
      </c>
      <c r="J6732">
        <v>48.031999999999996</v>
      </c>
      <c r="K6732">
        <v>4</v>
      </c>
      <c r="L6732">
        <v>0.2</v>
      </c>
      <c r="M6732">
        <v>15.6104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26</v>
      </c>
      <c r="I6733" t="s">
        <v>32</v>
      </c>
      <c r="J6733">
        <v>102.624</v>
      </c>
      <c r="K6733">
        <v>3</v>
      </c>
      <c r="L6733">
        <v>0.2</v>
      </c>
      <c r="M6733">
        <v>7.6967999999999996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19</v>
      </c>
      <c r="I6734" t="s">
        <v>21</v>
      </c>
      <c r="J6734">
        <v>359.77199999999999</v>
      </c>
      <c r="K6734">
        <v>2</v>
      </c>
      <c r="L6734">
        <v>0.3</v>
      </c>
      <c r="M6734">
        <v>-5.1395999999999997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79</v>
      </c>
      <c r="E6735" t="s">
        <v>65</v>
      </c>
      <c r="F6735">
        <v>60623</v>
      </c>
      <c r="G6735" t="s">
        <v>47</v>
      </c>
      <c r="H6735" t="s">
        <v>26</v>
      </c>
      <c r="I6735" t="s">
        <v>34</v>
      </c>
      <c r="J6735">
        <v>13.391999999999999</v>
      </c>
      <c r="K6735">
        <v>3</v>
      </c>
      <c r="L6735">
        <v>0.2</v>
      </c>
      <c r="M6735">
        <v>3.1806000000000001</v>
      </c>
    </row>
    <row r="6736" spans="1:13" x14ac:dyDescent="0.3">
      <c r="A6736" t="s">
        <v>28</v>
      </c>
      <c r="B6736" t="s">
        <v>14</v>
      </c>
      <c r="C6736" t="s">
        <v>15</v>
      </c>
      <c r="D6736" t="s">
        <v>23</v>
      </c>
      <c r="E6736" t="s">
        <v>24</v>
      </c>
      <c r="F6736">
        <v>90008</v>
      </c>
      <c r="G6736" t="s">
        <v>25</v>
      </c>
      <c r="H6736" t="s">
        <v>19</v>
      </c>
      <c r="I6736" t="s">
        <v>21</v>
      </c>
      <c r="J6736">
        <v>122.136</v>
      </c>
      <c r="K6736">
        <v>3</v>
      </c>
      <c r="L6736">
        <v>0.2</v>
      </c>
      <c r="M6736">
        <v>-13.7403</v>
      </c>
    </row>
    <row r="6737" spans="1:13" x14ac:dyDescent="0.3">
      <c r="A6737" t="s">
        <v>28</v>
      </c>
      <c r="B6737" t="s">
        <v>22</v>
      </c>
      <c r="C6737" t="s">
        <v>15</v>
      </c>
      <c r="D6737" t="s">
        <v>71</v>
      </c>
      <c r="E6737" t="s">
        <v>247</v>
      </c>
      <c r="F6737">
        <v>3820</v>
      </c>
      <c r="G6737" t="s">
        <v>57</v>
      </c>
      <c r="H6737" t="s">
        <v>26</v>
      </c>
      <c r="I6737" t="s">
        <v>41</v>
      </c>
      <c r="J6737">
        <v>35.880000000000003</v>
      </c>
      <c r="K6737">
        <v>6</v>
      </c>
      <c r="L6737">
        <v>0</v>
      </c>
      <c r="M6737">
        <v>16.146000000000001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35</v>
      </c>
      <c r="I6738" t="s">
        <v>59</v>
      </c>
      <c r="J6738">
        <v>479.952</v>
      </c>
      <c r="K6738">
        <v>6</v>
      </c>
      <c r="L6738">
        <v>0.2</v>
      </c>
      <c r="M6738">
        <v>107.9892</v>
      </c>
    </row>
    <row r="6739" spans="1:13" x14ac:dyDescent="0.3">
      <c r="A6739" t="s">
        <v>13</v>
      </c>
      <c r="B6739" t="s">
        <v>14</v>
      </c>
      <c r="C6739" t="s">
        <v>15</v>
      </c>
      <c r="D6739" t="s">
        <v>139</v>
      </c>
      <c r="E6739" t="s">
        <v>104</v>
      </c>
      <c r="F6739">
        <v>43017</v>
      </c>
      <c r="G6739" t="s">
        <v>57</v>
      </c>
      <c r="H6739" t="s">
        <v>26</v>
      </c>
      <c r="I6739" t="s">
        <v>34</v>
      </c>
      <c r="J6739">
        <v>23.92</v>
      </c>
      <c r="K6739">
        <v>5</v>
      </c>
      <c r="L6739">
        <v>0.2</v>
      </c>
      <c r="M6739">
        <v>1.794</v>
      </c>
    </row>
    <row r="6740" spans="1:13" x14ac:dyDescent="0.3">
      <c r="A6740" t="s">
        <v>62</v>
      </c>
      <c r="B6740" t="s">
        <v>22</v>
      </c>
      <c r="C6740" t="s">
        <v>15</v>
      </c>
      <c r="D6740" t="s">
        <v>75</v>
      </c>
      <c r="E6740" t="s">
        <v>76</v>
      </c>
      <c r="F6740">
        <v>10009</v>
      </c>
      <c r="G6740" t="s">
        <v>57</v>
      </c>
      <c r="H6740" t="s">
        <v>35</v>
      </c>
      <c r="I6740" t="s">
        <v>36</v>
      </c>
      <c r="J6740">
        <v>629.95000000000005</v>
      </c>
      <c r="K6740">
        <v>5</v>
      </c>
      <c r="L6740">
        <v>0</v>
      </c>
      <c r="M6740">
        <v>163.78700000000001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37</v>
      </c>
      <c r="J6741">
        <v>14.952</v>
      </c>
      <c r="K6741">
        <v>1</v>
      </c>
      <c r="L6741">
        <v>0.2</v>
      </c>
      <c r="M6741">
        <v>5.0462999999999996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26</v>
      </c>
      <c r="I6742" t="s">
        <v>41</v>
      </c>
      <c r="J6742">
        <v>17.940000000000001</v>
      </c>
      <c r="K6742">
        <v>3</v>
      </c>
      <c r="L6742">
        <v>0</v>
      </c>
      <c r="M6742">
        <v>8.0730000000000004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75</v>
      </c>
      <c r="E6743" t="s">
        <v>76</v>
      </c>
      <c r="F6743">
        <v>10035</v>
      </c>
      <c r="G6743" t="s">
        <v>57</v>
      </c>
      <c r="H6743" t="s">
        <v>35</v>
      </c>
      <c r="I6743" t="s">
        <v>36</v>
      </c>
      <c r="J6743">
        <v>116.98</v>
      </c>
      <c r="K6743">
        <v>2</v>
      </c>
      <c r="L6743">
        <v>0</v>
      </c>
      <c r="M6743">
        <v>29.245000000000001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19</v>
      </c>
      <c r="I6744" t="s">
        <v>21</v>
      </c>
      <c r="J6744">
        <v>121.96</v>
      </c>
      <c r="K6744">
        <v>2</v>
      </c>
      <c r="L6744">
        <v>0</v>
      </c>
      <c r="M6744">
        <v>20.7332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38</v>
      </c>
      <c r="J6745">
        <v>8.74</v>
      </c>
      <c r="K6745">
        <v>2</v>
      </c>
      <c r="L6745">
        <v>0</v>
      </c>
      <c r="M6745">
        <v>2.2724000000000002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41</v>
      </c>
      <c r="J6746">
        <v>61.96</v>
      </c>
      <c r="K6746">
        <v>2</v>
      </c>
      <c r="L6746">
        <v>0</v>
      </c>
      <c r="M6746">
        <v>27.882000000000001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37</v>
      </c>
      <c r="J6747">
        <v>7.96</v>
      </c>
      <c r="K6747">
        <v>2</v>
      </c>
      <c r="L6747">
        <v>0</v>
      </c>
      <c r="M6747">
        <v>3.7412000000000001</v>
      </c>
    </row>
    <row r="6748" spans="1:13" x14ac:dyDescent="0.3">
      <c r="A6748" t="s">
        <v>13</v>
      </c>
      <c r="B6748" t="s">
        <v>14</v>
      </c>
      <c r="C6748" t="s">
        <v>15</v>
      </c>
      <c r="D6748" t="s">
        <v>353</v>
      </c>
      <c r="E6748" t="s">
        <v>132</v>
      </c>
      <c r="F6748">
        <v>7501</v>
      </c>
      <c r="G6748" t="s">
        <v>57</v>
      </c>
      <c r="H6748" t="s">
        <v>26</v>
      </c>
      <c r="I6748" t="s">
        <v>38</v>
      </c>
      <c r="J6748">
        <v>275.24</v>
      </c>
      <c r="K6748">
        <v>4</v>
      </c>
      <c r="L6748">
        <v>0</v>
      </c>
      <c r="M6748">
        <v>121.1056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33</v>
      </c>
      <c r="J6749">
        <v>47.4</v>
      </c>
      <c r="K6749">
        <v>5</v>
      </c>
      <c r="L6749">
        <v>0</v>
      </c>
      <c r="M6749">
        <v>18.96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19</v>
      </c>
      <c r="I6750" t="s">
        <v>21</v>
      </c>
      <c r="J6750">
        <v>512.96</v>
      </c>
      <c r="K6750">
        <v>4</v>
      </c>
      <c r="L6750">
        <v>0</v>
      </c>
      <c r="M6750">
        <v>143.62880000000001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35</v>
      </c>
      <c r="I6751" t="s">
        <v>36</v>
      </c>
      <c r="J6751">
        <v>395.94</v>
      </c>
      <c r="K6751">
        <v>6</v>
      </c>
      <c r="L6751">
        <v>0</v>
      </c>
      <c r="M6751">
        <v>102.9444</v>
      </c>
    </row>
    <row r="6752" spans="1:13" x14ac:dyDescent="0.3">
      <c r="A6752" t="s">
        <v>28</v>
      </c>
      <c r="B6752" t="s">
        <v>22</v>
      </c>
      <c r="C6752" t="s">
        <v>15</v>
      </c>
      <c r="D6752" t="s">
        <v>154</v>
      </c>
      <c r="E6752" t="s">
        <v>132</v>
      </c>
      <c r="F6752">
        <v>8701</v>
      </c>
      <c r="G6752" t="s">
        <v>57</v>
      </c>
      <c r="H6752" t="s">
        <v>26</v>
      </c>
      <c r="I6752" t="s">
        <v>32</v>
      </c>
      <c r="J6752">
        <v>81.96</v>
      </c>
      <c r="K6752">
        <v>2</v>
      </c>
      <c r="L6752">
        <v>0</v>
      </c>
      <c r="M6752">
        <v>0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332</v>
      </c>
      <c r="E6753" t="s">
        <v>40</v>
      </c>
      <c r="F6753">
        <v>27405</v>
      </c>
      <c r="G6753" t="s">
        <v>18</v>
      </c>
      <c r="H6753" t="s">
        <v>26</v>
      </c>
      <c r="I6753" t="s">
        <v>34</v>
      </c>
      <c r="J6753">
        <v>32.776000000000003</v>
      </c>
      <c r="K6753">
        <v>1</v>
      </c>
      <c r="L6753">
        <v>0.2</v>
      </c>
      <c r="M6753">
        <v>2.4582000000000002</v>
      </c>
    </row>
    <row r="6754" spans="1:13" x14ac:dyDescent="0.3">
      <c r="A6754" t="s">
        <v>28</v>
      </c>
      <c r="B6754" t="s">
        <v>14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26</v>
      </c>
      <c r="I6754" t="s">
        <v>32</v>
      </c>
      <c r="J6754">
        <v>272.94</v>
      </c>
      <c r="K6754">
        <v>3</v>
      </c>
      <c r="L6754">
        <v>0</v>
      </c>
      <c r="M6754">
        <v>0</v>
      </c>
    </row>
    <row r="6755" spans="1:13" x14ac:dyDescent="0.3">
      <c r="A6755" t="s">
        <v>13</v>
      </c>
      <c r="B6755" t="s">
        <v>22</v>
      </c>
      <c r="C6755" t="s">
        <v>15</v>
      </c>
      <c r="D6755" t="s">
        <v>75</v>
      </c>
      <c r="E6755" t="s">
        <v>76</v>
      </c>
      <c r="F6755">
        <v>10035</v>
      </c>
      <c r="G6755" t="s">
        <v>57</v>
      </c>
      <c r="H6755" t="s">
        <v>19</v>
      </c>
      <c r="I6755" t="s">
        <v>21</v>
      </c>
      <c r="J6755">
        <v>253.76400000000001</v>
      </c>
      <c r="K6755">
        <v>2</v>
      </c>
      <c r="L6755">
        <v>0.1</v>
      </c>
      <c r="M6755">
        <v>31.015599999999999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27</v>
      </c>
      <c r="J6756">
        <v>29.24</v>
      </c>
      <c r="K6756">
        <v>5</v>
      </c>
      <c r="L6756">
        <v>0.2</v>
      </c>
      <c r="M6756">
        <v>9.8684999999999992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26</v>
      </c>
      <c r="I6757" t="s">
        <v>32</v>
      </c>
      <c r="J6757">
        <v>35.167999999999999</v>
      </c>
      <c r="K6757">
        <v>2</v>
      </c>
      <c r="L6757">
        <v>0.2</v>
      </c>
      <c r="M6757">
        <v>-8.3523999999999994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60623</v>
      </c>
      <c r="G6758" t="s">
        <v>47</v>
      </c>
      <c r="H6758" t="s">
        <v>35</v>
      </c>
      <c r="I6758" t="s">
        <v>123</v>
      </c>
      <c r="J6758">
        <v>1362.9</v>
      </c>
      <c r="K6758">
        <v>3</v>
      </c>
      <c r="L6758">
        <v>0.3</v>
      </c>
      <c r="M6758">
        <v>-19.47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19</v>
      </c>
      <c r="I6759" t="s">
        <v>21</v>
      </c>
      <c r="J6759">
        <v>317.05799999999999</v>
      </c>
      <c r="K6759">
        <v>3</v>
      </c>
      <c r="L6759">
        <v>0.3</v>
      </c>
      <c r="M6759">
        <v>-18.117599999999999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26</v>
      </c>
      <c r="I6760" t="s">
        <v>34</v>
      </c>
      <c r="J6760">
        <v>15.76</v>
      </c>
      <c r="K6760">
        <v>2</v>
      </c>
      <c r="L6760">
        <v>0.2</v>
      </c>
      <c r="M6760">
        <v>3.5459999999999998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79</v>
      </c>
      <c r="E6761" t="s">
        <v>65</v>
      </c>
      <c r="F6761">
        <v>60653</v>
      </c>
      <c r="G6761" t="s">
        <v>47</v>
      </c>
      <c r="H6761" t="s">
        <v>19</v>
      </c>
      <c r="I6761" t="s">
        <v>33</v>
      </c>
      <c r="J6761">
        <v>14.56</v>
      </c>
      <c r="K6761">
        <v>5</v>
      </c>
      <c r="L6761">
        <v>0.6</v>
      </c>
      <c r="M6761">
        <v>-6.1879999999999997</v>
      </c>
    </row>
    <row r="6762" spans="1:13" x14ac:dyDescent="0.3">
      <c r="A6762" t="s">
        <v>28</v>
      </c>
      <c r="B6762" t="s">
        <v>22</v>
      </c>
      <c r="C6762" t="s">
        <v>15</v>
      </c>
      <c r="D6762" t="s">
        <v>154</v>
      </c>
      <c r="E6762" t="s">
        <v>132</v>
      </c>
      <c r="F6762">
        <v>8701</v>
      </c>
      <c r="G6762" t="s">
        <v>57</v>
      </c>
      <c r="H6762" t="s">
        <v>26</v>
      </c>
      <c r="I6762" t="s">
        <v>37</v>
      </c>
      <c r="J6762">
        <v>196.21</v>
      </c>
      <c r="K6762">
        <v>7</v>
      </c>
      <c r="L6762">
        <v>0</v>
      </c>
      <c r="M6762">
        <v>98.105000000000004</v>
      </c>
    </row>
    <row r="6763" spans="1:13" x14ac:dyDescent="0.3">
      <c r="A6763" t="s">
        <v>28</v>
      </c>
      <c r="B6763" t="s">
        <v>44</v>
      </c>
      <c r="C6763" t="s">
        <v>15</v>
      </c>
      <c r="D6763" t="s">
        <v>103</v>
      </c>
      <c r="E6763" t="s">
        <v>167</v>
      </c>
      <c r="F6763">
        <v>31907</v>
      </c>
      <c r="G6763" t="s">
        <v>18</v>
      </c>
      <c r="H6763" t="s">
        <v>26</v>
      </c>
      <c r="I6763" t="s">
        <v>34</v>
      </c>
      <c r="J6763">
        <v>35.4</v>
      </c>
      <c r="K6763">
        <v>5</v>
      </c>
      <c r="L6763">
        <v>0</v>
      </c>
      <c r="M6763">
        <v>13.452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41</v>
      </c>
      <c r="J6764">
        <v>419.4</v>
      </c>
      <c r="K6764">
        <v>5</v>
      </c>
      <c r="L6764">
        <v>0.2</v>
      </c>
      <c r="M6764">
        <v>146.79</v>
      </c>
    </row>
    <row r="6765" spans="1:13" x14ac:dyDescent="0.3">
      <c r="A6765" t="s">
        <v>28</v>
      </c>
      <c r="B6765" t="s">
        <v>22</v>
      </c>
      <c r="C6765" t="s">
        <v>15</v>
      </c>
      <c r="D6765" t="s">
        <v>108</v>
      </c>
      <c r="E6765" t="s">
        <v>81</v>
      </c>
      <c r="F6765">
        <v>85023</v>
      </c>
      <c r="G6765" t="s">
        <v>25</v>
      </c>
      <c r="H6765" t="s">
        <v>26</v>
      </c>
      <c r="I6765" t="s">
        <v>37</v>
      </c>
      <c r="J6765">
        <v>13.005000000000001</v>
      </c>
      <c r="K6765">
        <v>3</v>
      </c>
      <c r="L6765">
        <v>0.7</v>
      </c>
      <c r="M6765">
        <v>-9.9704999999999995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7.7119999999999997</v>
      </c>
      <c r="K6766">
        <v>2</v>
      </c>
      <c r="L6766">
        <v>0.2</v>
      </c>
      <c r="M6766">
        <v>2.7955999999999999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37</v>
      </c>
      <c r="J6767">
        <v>4.1760000000000002</v>
      </c>
      <c r="K6767">
        <v>1</v>
      </c>
      <c r="L6767">
        <v>0.2</v>
      </c>
      <c r="M6767">
        <v>1.3049999999999999</v>
      </c>
    </row>
    <row r="6768" spans="1:13" x14ac:dyDescent="0.3">
      <c r="A6768" t="s">
        <v>28</v>
      </c>
      <c r="B6768" t="s">
        <v>44</v>
      </c>
      <c r="C6768" t="s">
        <v>15</v>
      </c>
      <c r="D6768" t="s">
        <v>23</v>
      </c>
      <c r="E6768" t="s">
        <v>24</v>
      </c>
      <c r="F6768">
        <v>90004</v>
      </c>
      <c r="G6768" t="s">
        <v>25</v>
      </c>
      <c r="H6768" t="s">
        <v>26</v>
      </c>
      <c r="I6768" t="s">
        <v>41</v>
      </c>
      <c r="J6768">
        <v>38.880000000000003</v>
      </c>
      <c r="K6768">
        <v>6</v>
      </c>
      <c r="L6768">
        <v>0</v>
      </c>
      <c r="M6768">
        <v>18.662400000000002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75</v>
      </c>
      <c r="E6769" t="s">
        <v>76</v>
      </c>
      <c r="F6769">
        <v>10024</v>
      </c>
      <c r="G6769" t="s">
        <v>57</v>
      </c>
      <c r="H6769" t="s">
        <v>26</v>
      </c>
      <c r="I6769" t="s">
        <v>41</v>
      </c>
      <c r="J6769">
        <v>17.64</v>
      </c>
      <c r="K6769">
        <v>4</v>
      </c>
      <c r="L6769">
        <v>0</v>
      </c>
      <c r="M6769">
        <v>8.1143999999999998</v>
      </c>
    </row>
    <row r="6770" spans="1:13" x14ac:dyDescent="0.3">
      <c r="A6770" t="s">
        <v>28</v>
      </c>
      <c r="B6770" t="s">
        <v>14</v>
      </c>
      <c r="C6770" t="s">
        <v>15</v>
      </c>
      <c r="D6770" t="s">
        <v>122</v>
      </c>
      <c r="E6770" t="s">
        <v>46</v>
      </c>
      <c r="F6770">
        <v>78207</v>
      </c>
      <c r="G6770" t="s">
        <v>47</v>
      </c>
      <c r="H6770" t="s">
        <v>26</v>
      </c>
      <c r="I6770" t="s">
        <v>32</v>
      </c>
      <c r="J6770">
        <v>93.456000000000003</v>
      </c>
      <c r="K6770">
        <v>3</v>
      </c>
      <c r="L6770">
        <v>0.2</v>
      </c>
      <c r="M6770">
        <v>-17.523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75</v>
      </c>
      <c r="E6771" t="s">
        <v>76</v>
      </c>
      <c r="F6771">
        <v>10009</v>
      </c>
      <c r="G6771" t="s">
        <v>57</v>
      </c>
      <c r="H6771" t="s">
        <v>35</v>
      </c>
      <c r="I6771" t="s">
        <v>59</v>
      </c>
      <c r="J6771">
        <v>449.91</v>
      </c>
      <c r="K6771">
        <v>9</v>
      </c>
      <c r="L6771">
        <v>0</v>
      </c>
      <c r="M6771">
        <v>157.46850000000001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20</v>
      </c>
      <c r="J6772">
        <v>344.94</v>
      </c>
      <c r="K6772">
        <v>3</v>
      </c>
      <c r="L6772">
        <v>0</v>
      </c>
      <c r="M6772">
        <v>31.044599999999999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19</v>
      </c>
      <c r="I6773" t="s">
        <v>33</v>
      </c>
      <c r="J6773">
        <v>14.76</v>
      </c>
      <c r="K6773">
        <v>2</v>
      </c>
      <c r="L6773">
        <v>0</v>
      </c>
      <c r="M6773">
        <v>4.2804000000000002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37</v>
      </c>
      <c r="J6774">
        <v>12.76</v>
      </c>
      <c r="K6774">
        <v>2</v>
      </c>
      <c r="L6774">
        <v>0</v>
      </c>
      <c r="M6774">
        <v>5.8696000000000002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333</v>
      </c>
      <c r="E6775" t="s">
        <v>248</v>
      </c>
      <c r="F6775">
        <v>21215</v>
      </c>
      <c r="G6775" t="s">
        <v>57</v>
      </c>
      <c r="H6775" t="s">
        <v>26</v>
      </c>
      <c r="I6775" t="s">
        <v>27</v>
      </c>
      <c r="J6775">
        <v>58.48</v>
      </c>
      <c r="K6775">
        <v>8</v>
      </c>
      <c r="L6775">
        <v>0</v>
      </c>
      <c r="M6775">
        <v>27.485600000000002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19</v>
      </c>
      <c r="I6776" t="s">
        <v>33</v>
      </c>
      <c r="J6776">
        <v>20.096</v>
      </c>
      <c r="K6776">
        <v>4</v>
      </c>
      <c r="L6776">
        <v>0.2</v>
      </c>
      <c r="M6776">
        <v>3.0144000000000002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26</v>
      </c>
      <c r="I6777" t="s">
        <v>110</v>
      </c>
      <c r="J6777">
        <v>37.752000000000002</v>
      </c>
      <c r="K6777">
        <v>3</v>
      </c>
      <c r="L6777">
        <v>0.2</v>
      </c>
      <c r="M6777">
        <v>4.2470999999999997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19</v>
      </c>
      <c r="I6778" t="s">
        <v>31</v>
      </c>
      <c r="J6778">
        <v>138.58799999999999</v>
      </c>
      <c r="K6778">
        <v>1</v>
      </c>
      <c r="L6778">
        <v>0.4</v>
      </c>
      <c r="M6778">
        <v>-34.646999999999998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32</v>
      </c>
      <c r="J6779">
        <v>259.92</v>
      </c>
      <c r="K6779">
        <v>5</v>
      </c>
      <c r="L6779">
        <v>0.2</v>
      </c>
      <c r="M6779">
        <v>-25.992000000000001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55</v>
      </c>
      <c r="E6780" t="s">
        <v>56</v>
      </c>
      <c r="F6780">
        <v>19143</v>
      </c>
      <c r="G6780" t="s">
        <v>57</v>
      </c>
      <c r="H6780" t="s">
        <v>26</v>
      </c>
      <c r="I6780" t="s">
        <v>41</v>
      </c>
      <c r="J6780">
        <v>20.736000000000001</v>
      </c>
      <c r="K6780">
        <v>4</v>
      </c>
      <c r="L6780">
        <v>0.2</v>
      </c>
      <c r="M6780">
        <v>7.2576000000000001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19</v>
      </c>
      <c r="I6781" t="s">
        <v>33</v>
      </c>
      <c r="J6781">
        <v>129.93</v>
      </c>
      <c r="K6781">
        <v>3</v>
      </c>
      <c r="L6781">
        <v>0</v>
      </c>
      <c r="M6781">
        <v>12.993</v>
      </c>
    </row>
    <row r="6782" spans="1:13" x14ac:dyDescent="0.3">
      <c r="A6782" t="s">
        <v>28</v>
      </c>
      <c r="B6782" t="s">
        <v>14</v>
      </c>
      <c r="C6782" t="s">
        <v>15</v>
      </c>
      <c r="D6782" t="s">
        <v>200</v>
      </c>
      <c r="E6782" t="s">
        <v>167</v>
      </c>
      <c r="F6782">
        <v>30318</v>
      </c>
      <c r="G6782" t="s">
        <v>18</v>
      </c>
      <c r="H6782" t="s">
        <v>26</v>
      </c>
      <c r="I6782" t="s">
        <v>41</v>
      </c>
      <c r="J6782">
        <v>69.930000000000007</v>
      </c>
      <c r="K6782">
        <v>7</v>
      </c>
      <c r="L6782">
        <v>0</v>
      </c>
      <c r="M6782">
        <v>31.468499999999999</v>
      </c>
    </row>
    <row r="6783" spans="1:13" x14ac:dyDescent="0.3">
      <c r="A6783" t="s">
        <v>13</v>
      </c>
      <c r="B6783" t="s">
        <v>22</v>
      </c>
      <c r="C6783" t="s">
        <v>15</v>
      </c>
      <c r="D6783" t="s">
        <v>89</v>
      </c>
      <c r="E6783" t="s">
        <v>40</v>
      </c>
      <c r="F6783">
        <v>27707</v>
      </c>
      <c r="G6783" t="s">
        <v>18</v>
      </c>
      <c r="H6783" t="s">
        <v>26</v>
      </c>
      <c r="I6783" t="s">
        <v>34</v>
      </c>
      <c r="J6783">
        <v>140.73599999999999</v>
      </c>
      <c r="K6783">
        <v>4</v>
      </c>
      <c r="L6783">
        <v>0.2</v>
      </c>
      <c r="M6783">
        <v>12.314399999999999</v>
      </c>
    </row>
    <row r="6784" spans="1:13" x14ac:dyDescent="0.3">
      <c r="A6784" t="s">
        <v>62</v>
      </c>
      <c r="B6784" t="s">
        <v>14</v>
      </c>
      <c r="C6784" t="s">
        <v>15</v>
      </c>
      <c r="D6784" t="s">
        <v>109</v>
      </c>
      <c r="E6784" t="s">
        <v>24</v>
      </c>
      <c r="F6784">
        <v>95661</v>
      </c>
      <c r="G6784" t="s">
        <v>25</v>
      </c>
      <c r="H6784" t="s">
        <v>26</v>
      </c>
      <c r="I6784" t="s">
        <v>37</v>
      </c>
      <c r="J6784">
        <v>8.32</v>
      </c>
      <c r="K6784">
        <v>5</v>
      </c>
      <c r="L6784">
        <v>0.2</v>
      </c>
      <c r="M6784">
        <v>2.8079999999999998</v>
      </c>
    </row>
    <row r="6785" spans="1:13" x14ac:dyDescent="0.3">
      <c r="A6785" t="s">
        <v>28</v>
      </c>
      <c r="B6785" t="s">
        <v>44</v>
      </c>
      <c r="C6785" t="s">
        <v>15</v>
      </c>
      <c r="D6785" t="s">
        <v>390</v>
      </c>
      <c r="E6785" t="s">
        <v>24</v>
      </c>
      <c r="F6785">
        <v>95823</v>
      </c>
      <c r="G6785" t="s">
        <v>25</v>
      </c>
      <c r="H6785" t="s">
        <v>19</v>
      </c>
      <c r="I6785" t="s">
        <v>33</v>
      </c>
      <c r="J6785">
        <v>9.98</v>
      </c>
      <c r="K6785">
        <v>1</v>
      </c>
      <c r="L6785">
        <v>0</v>
      </c>
      <c r="M6785">
        <v>2.7944</v>
      </c>
    </row>
    <row r="6786" spans="1:13" x14ac:dyDescent="0.3">
      <c r="A6786" t="s">
        <v>62</v>
      </c>
      <c r="B6786" t="s">
        <v>14</v>
      </c>
      <c r="C6786" t="s">
        <v>15</v>
      </c>
      <c r="D6786" t="s">
        <v>126</v>
      </c>
      <c r="E6786" t="s">
        <v>127</v>
      </c>
      <c r="F6786">
        <v>6824</v>
      </c>
      <c r="G6786" t="s">
        <v>57</v>
      </c>
      <c r="H6786" t="s">
        <v>26</v>
      </c>
      <c r="I6786" t="s">
        <v>37</v>
      </c>
      <c r="J6786">
        <v>62.94</v>
      </c>
      <c r="K6786">
        <v>3</v>
      </c>
      <c r="L6786">
        <v>0</v>
      </c>
      <c r="M6786">
        <v>30.211200000000002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26</v>
      </c>
      <c r="I6787" t="s">
        <v>32</v>
      </c>
      <c r="J6787">
        <v>21.488</v>
      </c>
      <c r="K6787">
        <v>2</v>
      </c>
      <c r="L6787">
        <v>0.2</v>
      </c>
      <c r="M6787">
        <v>1.6115999999999999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35</v>
      </c>
      <c r="I6788" t="s">
        <v>36</v>
      </c>
      <c r="J6788">
        <v>239.976</v>
      </c>
      <c r="K6788">
        <v>3</v>
      </c>
      <c r="L6788">
        <v>0.2</v>
      </c>
      <c r="M6788">
        <v>26.997299999999999</v>
      </c>
    </row>
    <row r="6789" spans="1:13" x14ac:dyDescent="0.3">
      <c r="A6789" t="s">
        <v>28</v>
      </c>
      <c r="B6789" t="s">
        <v>22</v>
      </c>
      <c r="C6789" t="s">
        <v>15</v>
      </c>
      <c r="D6789" t="s">
        <v>79</v>
      </c>
      <c r="E6789" t="s">
        <v>65</v>
      </c>
      <c r="F6789">
        <v>60610</v>
      </c>
      <c r="G6789" t="s">
        <v>47</v>
      </c>
      <c r="H6789" t="s">
        <v>19</v>
      </c>
      <c r="I6789" t="s">
        <v>33</v>
      </c>
      <c r="J6789">
        <v>34.503999999999998</v>
      </c>
      <c r="K6789">
        <v>2</v>
      </c>
      <c r="L6789">
        <v>0.6</v>
      </c>
      <c r="M6789">
        <v>-15.5268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19</v>
      </c>
      <c r="I6790" t="s">
        <v>33</v>
      </c>
      <c r="J6790">
        <v>20.103999999999999</v>
      </c>
      <c r="K6790">
        <v>2</v>
      </c>
      <c r="L6790">
        <v>0.6</v>
      </c>
      <c r="M6790">
        <v>-16.585799999999999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26</v>
      </c>
      <c r="I6791" t="s">
        <v>37</v>
      </c>
      <c r="J6791">
        <v>3.798</v>
      </c>
      <c r="K6791">
        <v>1</v>
      </c>
      <c r="L6791">
        <v>0.8</v>
      </c>
      <c r="M6791">
        <v>-6.0768000000000004</v>
      </c>
    </row>
    <row r="6792" spans="1:13" x14ac:dyDescent="0.3">
      <c r="A6792" t="s">
        <v>168</v>
      </c>
      <c r="B6792" t="s">
        <v>14</v>
      </c>
      <c r="C6792" t="s">
        <v>15</v>
      </c>
      <c r="D6792" t="s">
        <v>61</v>
      </c>
      <c r="E6792" t="s">
        <v>46</v>
      </c>
      <c r="F6792">
        <v>77041</v>
      </c>
      <c r="G6792" t="s">
        <v>47</v>
      </c>
      <c r="H6792" t="s">
        <v>19</v>
      </c>
      <c r="I6792" t="s">
        <v>33</v>
      </c>
      <c r="J6792">
        <v>7.88</v>
      </c>
      <c r="K6792">
        <v>5</v>
      </c>
      <c r="L6792">
        <v>0.6</v>
      </c>
      <c r="M6792">
        <v>-3.94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19</v>
      </c>
      <c r="I6793" t="s">
        <v>31</v>
      </c>
      <c r="J6793">
        <v>35.445</v>
      </c>
      <c r="K6793">
        <v>1</v>
      </c>
      <c r="L6793">
        <v>0.5</v>
      </c>
      <c r="M6793">
        <v>-24.102599999999999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123</v>
      </c>
      <c r="J6794">
        <v>269.97000000000003</v>
      </c>
      <c r="K6794">
        <v>2</v>
      </c>
      <c r="L6794">
        <v>0.7</v>
      </c>
      <c r="M6794">
        <v>-386.95699999999999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45.12</v>
      </c>
      <c r="K6795">
        <v>3</v>
      </c>
      <c r="L6795">
        <v>0.2</v>
      </c>
      <c r="M6795">
        <v>-7.8959999999999999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35</v>
      </c>
      <c r="I6796" t="s">
        <v>59</v>
      </c>
      <c r="J6796">
        <v>100.8</v>
      </c>
      <c r="K6796">
        <v>2</v>
      </c>
      <c r="L6796">
        <v>0.2</v>
      </c>
      <c r="M6796">
        <v>21.42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108</v>
      </c>
      <c r="E6797" t="s">
        <v>81</v>
      </c>
      <c r="F6797">
        <v>85023</v>
      </c>
      <c r="G6797" t="s">
        <v>25</v>
      </c>
      <c r="H6797" t="s">
        <v>19</v>
      </c>
      <c r="I6797" t="s">
        <v>21</v>
      </c>
      <c r="J6797">
        <v>47.968000000000004</v>
      </c>
      <c r="K6797">
        <v>2</v>
      </c>
      <c r="L6797">
        <v>0.2</v>
      </c>
      <c r="M6797">
        <v>4.1971999999999996</v>
      </c>
    </row>
    <row r="6798" spans="1:13" x14ac:dyDescent="0.3">
      <c r="A6798" t="s">
        <v>62</v>
      </c>
      <c r="B6798" t="s">
        <v>14</v>
      </c>
      <c r="C6798" t="s">
        <v>15</v>
      </c>
      <c r="D6798" t="s">
        <v>310</v>
      </c>
      <c r="E6798" t="s">
        <v>24</v>
      </c>
      <c r="F6798">
        <v>91767</v>
      </c>
      <c r="G6798" t="s">
        <v>25</v>
      </c>
      <c r="H6798" t="s">
        <v>35</v>
      </c>
      <c r="I6798" t="s">
        <v>59</v>
      </c>
      <c r="J6798">
        <v>99.98</v>
      </c>
      <c r="K6798">
        <v>2</v>
      </c>
      <c r="L6798">
        <v>0</v>
      </c>
      <c r="M6798">
        <v>34.993000000000002</v>
      </c>
    </row>
    <row r="6799" spans="1:13" x14ac:dyDescent="0.3">
      <c r="A6799" t="s">
        <v>62</v>
      </c>
      <c r="B6799" t="s">
        <v>22</v>
      </c>
      <c r="C6799" t="s">
        <v>15</v>
      </c>
      <c r="D6799" t="s">
        <v>200</v>
      </c>
      <c r="E6799" t="s">
        <v>167</v>
      </c>
      <c r="F6799">
        <v>30318</v>
      </c>
      <c r="G6799" t="s">
        <v>18</v>
      </c>
      <c r="H6799" t="s">
        <v>26</v>
      </c>
      <c r="I6799" t="s">
        <v>41</v>
      </c>
      <c r="J6799">
        <v>9.9600000000000009</v>
      </c>
      <c r="K6799">
        <v>2</v>
      </c>
      <c r="L6799">
        <v>0</v>
      </c>
      <c r="M6799">
        <v>4.8803999999999998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316</v>
      </c>
      <c r="E6800" t="s">
        <v>43</v>
      </c>
      <c r="F6800">
        <v>98208</v>
      </c>
      <c r="G6800" t="s">
        <v>25</v>
      </c>
      <c r="H6800" t="s">
        <v>26</v>
      </c>
      <c r="I6800" t="s">
        <v>37</v>
      </c>
      <c r="J6800">
        <v>3.8559999999999999</v>
      </c>
      <c r="K6800">
        <v>1</v>
      </c>
      <c r="L6800">
        <v>0.2</v>
      </c>
      <c r="M6800">
        <v>1.3977999999999999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26</v>
      </c>
      <c r="I6801" t="s">
        <v>41</v>
      </c>
      <c r="J6801">
        <v>98.376000000000005</v>
      </c>
      <c r="K6801">
        <v>3</v>
      </c>
      <c r="L6801">
        <v>0.2</v>
      </c>
      <c r="M6801">
        <v>35.661299999999997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61</v>
      </c>
      <c r="E6802" t="s">
        <v>46</v>
      </c>
      <c r="F6802">
        <v>77095</v>
      </c>
      <c r="G6802" t="s">
        <v>47</v>
      </c>
      <c r="H6802" t="s">
        <v>19</v>
      </c>
      <c r="I6802" t="s">
        <v>33</v>
      </c>
      <c r="J6802">
        <v>22.38</v>
      </c>
      <c r="K6802">
        <v>3</v>
      </c>
      <c r="L6802">
        <v>0.6</v>
      </c>
      <c r="M6802">
        <v>-7.8330000000000002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26</v>
      </c>
      <c r="I6803" t="s">
        <v>37</v>
      </c>
      <c r="J6803">
        <v>3.8820000000000001</v>
      </c>
      <c r="K6803">
        <v>2</v>
      </c>
      <c r="L6803">
        <v>0.7</v>
      </c>
      <c r="M6803">
        <v>-2.5880000000000001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35</v>
      </c>
      <c r="I6804" t="s">
        <v>123</v>
      </c>
      <c r="J6804">
        <v>12.585000000000001</v>
      </c>
      <c r="K6804">
        <v>1</v>
      </c>
      <c r="L6804">
        <v>0.7</v>
      </c>
      <c r="M6804">
        <v>-18.038499999999999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19</v>
      </c>
      <c r="I6805" t="s">
        <v>21</v>
      </c>
      <c r="J6805">
        <v>113.372</v>
      </c>
      <c r="K6805">
        <v>2</v>
      </c>
      <c r="L6805">
        <v>0.3</v>
      </c>
      <c r="M6805">
        <v>-29.152799999999999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26</v>
      </c>
      <c r="I6806" t="s">
        <v>37</v>
      </c>
      <c r="J6806">
        <v>18.312000000000001</v>
      </c>
      <c r="K6806">
        <v>4</v>
      </c>
      <c r="L6806">
        <v>0.7</v>
      </c>
      <c r="M6806">
        <v>-12.208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19</v>
      </c>
      <c r="I6807" t="s">
        <v>33</v>
      </c>
      <c r="J6807">
        <v>127.93600000000001</v>
      </c>
      <c r="K6807">
        <v>8</v>
      </c>
      <c r="L6807">
        <v>0.2</v>
      </c>
      <c r="M6807">
        <v>4.7976000000000001</v>
      </c>
    </row>
    <row r="6808" spans="1:13" x14ac:dyDescent="0.3">
      <c r="A6808" t="s">
        <v>62</v>
      </c>
      <c r="B6808" t="s">
        <v>14</v>
      </c>
      <c r="C6808" t="s">
        <v>15</v>
      </c>
      <c r="D6808" t="s">
        <v>55</v>
      </c>
      <c r="E6808" t="s">
        <v>56</v>
      </c>
      <c r="F6808">
        <v>19140</v>
      </c>
      <c r="G6808" t="s">
        <v>57</v>
      </c>
      <c r="H6808" t="s">
        <v>35</v>
      </c>
      <c r="I6808" t="s">
        <v>123</v>
      </c>
      <c r="J6808">
        <v>241.17</v>
      </c>
      <c r="K6808">
        <v>2</v>
      </c>
      <c r="L6808">
        <v>0.7</v>
      </c>
      <c r="M6808">
        <v>-168.81899999999999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19</v>
      </c>
      <c r="I6809" t="s">
        <v>33</v>
      </c>
      <c r="J6809">
        <v>6.24</v>
      </c>
      <c r="K6809">
        <v>3</v>
      </c>
      <c r="L6809">
        <v>0</v>
      </c>
      <c r="M6809">
        <v>2.6208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77</v>
      </c>
      <c r="J6810">
        <v>17.899999999999999</v>
      </c>
      <c r="K6810">
        <v>5</v>
      </c>
      <c r="L6810">
        <v>0</v>
      </c>
      <c r="M6810">
        <v>8.9499999999999993</v>
      </c>
    </row>
    <row r="6811" spans="1:13" x14ac:dyDescent="0.3">
      <c r="A6811" t="s">
        <v>28</v>
      </c>
      <c r="B6811" t="s">
        <v>14</v>
      </c>
      <c r="C6811" t="s">
        <v>15</v>
      </c>
      <c r="D6811" t="s">
        <v>42</v>
      </c>
      <c r="E6811" t="s">
        <v>43</v>
      </c>
      <c r="F6811">
        <v>98105</v>
      </c>
      <c r="G6811" t="s">
        <v>25</v>
      </c>
      <c r="H6811" t="s">
        <v>26</v>
      </c>
      <c r="I6811" t="s">
        <v>37</v>
      </c>
      <c r="J6811">
        <v>3266.3760000000002</v>
      </c>
      <c r="K6811">
        <v>3</v>
      </c>
      <c r="L6811">
        <v>0.2</v>
      </c>
      <c r="M6811">
        <v>1061.5722000000001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26</v>
      </c>
      <c r="I6812" t="s">
        <v>37</v>
      </c>
      <c r="J6812">
        <v>1.68</v>
      </c>
      <c r="K6812">
        <v>5</v>
      </c>
      <c r="L6812">
        <v>0.8</v>
      </c>
      <c r="M6812">
        <v>-2.6880000000000002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33</v>
      </c>
      <c r="J6813">
        <v>7.968</v>
      </c>
      <c r="K6813">
        <v>3</v>
      </c>
      <c r="L6813">
        <v>0.6</v>
      </c>
      <c r="M6813">
        <v>-2.3904000000000001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21</v>
      </c>
      <c r="J6814">
        <v>113.372</v>
      </c>
      <c r="K6814">
        <v>2</v>
      </c>
      <c r="L6814">
        <v>0.3</v>
      </c>
      <c r="M6814">
        <v>-3.2391999999999999</v>
      </c>
    </row>
    <row r="6815" spans="1:13" x14ac:dyDescent="0.3">
      <c r="A6815" t="s">
        <v>28</v>
      </c>
      <c r="B6815" t="s">
        <v>22</v>
      </c>
      <c r="C6815" t="s">
        <v>15</v>
      </c>
      <c r="D6815" t="s">
        <v>175</v>
      </c>
      <c r="E6815" t="s">
        <v>65</v>
      </c>
      <c r="F6815">
        <v>61604</v>
      </c>
      <c r="G6815" t="s">
        <v>47</v>
      </c>
      <c r="H6815" t="s">
        <v>19</v>
      </c>
      <c r="I6815" t="s">
        <v>33</v>
      </c>
      <c r="J6815">
        <v>2.96</v>
      </c>
      <c r="K6815">
        <v>2</v>
      </c>
      <c r="L6815">
        <v>0.6</v>
      </c>
      <c r="M6815">
        <v>-1.4059999999999999</v>
      </c>
    </row>
    <row r="6816" spans="1:13" x14ac:dyDescent="0.3">
      <c r="A6816" t="s">
        <v>28</v>
      </c>
      <c r="B6816" t="s">
        <v>14</v>
      </c>
      <c r="C6816" t="s">
        <v>15</v>
      </c>
      <c r="D6816" t="s">
        <v>23</v>
      </c>
      <c r="E6816" t="s">
        <v>24</v>
      </c>
      <c r="F6816">
        <v>90036</v>
      </c>
      <c r="G6816" t="s">
        <v>25</v>
      </c>
      <c r="H6816" t="s">
        <v>26</v>
      </c>
      <c r="I6816" t="s">
        <v>38</v>
      </c>
      <c r="J6816">
        <v>168.1</v>
      </c>
      <c r="K6816">
        <v>5</v>
      </c>
      <c r="L6816">
        <v>0</v>
      </c>
      <c r="M6816">
        <v>43.706000000000003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26</v>
      </c>
      <c r="I6817" t="s">
        <v>60</v>
      </c>
      <c r="J6817">
        <v>98.46</v>
      </c>
      <c r="K6817">
        <v>9</v>
      </c>
      <c r="L6817">
        <v>0</v>
      </c>
      <c r="M6817">
        <v>49.23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205</v>
      </c>
      <c r="E6818" t="s">
        <v>88</v>
      </c>
      <c r="F6818">
        <v>36116</v>
      </c>
      <c r="G6818" t="s">
        <v>18</v>
      </c>
      <c r="H6818" t="s">
        <v>19</v>
      </c>
      <c r="I6818" t="s">
        <v>31</v>
      </c>
      <c r="J6818">
        <v>358.58</v>
      </c>
      <c r="K6818">
        <v>2</v>
      </c>
      <c r="L6818">
        <v>0</v>
      </c>
      <c r="M6818">
        <v>39.443800000000003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26</v>
      </c>
      <c r="I6819" t="s">
        <v>32</v>
      </c>
      <c r="J6819">
        <v>32.479999999999997</v>
      </c>
      <c r="K6819">
        <v>2</v>
      </c>
      <c r="L6819">
        <v>0</v>
      </c>
      <c r="M6819">
        <v>4.8719999999999999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35</v>
      </c>
      <c r="I6820" t="s">
        <v>162</v>
      </c>
      <c r="J6820">
        <v>17499.95</v>
      </c>
      <c r="K6820">
        <v>5</v>
      </c>
      <c r="L6820">
        <v>0</v>
      </c>
      <c r="M6820">
        <v>8399.9760000000006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735.98</v>
      </c>
      <c r="K6821">
        <v>2</v>
      </c>
      <c r="L6821">
        <v>0</v>
      </c>
      <c r="M6821">
        <v>331.19099999999997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37</v>
      </c>
      <c r="J6822">
        <v>34.369999999999997</v>
      </c>
      <c r="K6822">
        <v>7</v>
      </c>
      <c r="L6822">
        <v>0</v>
      </c>
      <c r="M6822">
        <v>16.8413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325</v>
      </c>
      <c r="E6823" t="s">
        <v>74</v>
      </c>
      <c r="F6823">
        <v>47905</v>
      </c>
      <c r="G6823" t="s">
        <v>47</v>
      </c>
      <c r="H6823" t="s">
        <v>26</v>
      </c>
      <c r="I6823" t="s">
        <v>34</v>
      </c>
      <c r="J6823">
        <v>33.96</v>
      </c>
      <c r="K6823">
        <v>2</v>
      </c>
      <c r="L6823">
        <v>0</v>
      </c>
      <c r="M6823">
        <v>9.5088000000000008</v>
      </c>
    </row>
    <row r="6824" spans="1:13" x14ac:dyDescent="0.3">
      <c r="A6824" t="s">
        <v>13</v>
      </c>
      <c r="B6824" t="s">
        <v>22</v>
      </c>
      <c r="C6824" t="s">
        <v>15</v>
      </c>
      <c r="D6824" t="s">
        <v>75</v>
      </c>
      <c r="E6824" t="s">
        <v>76</v>
      </c>
      <c r="F6824">
        <v>10009</v>
      </c>
      <c r="G6824" t="s">
        <v>57</v>
      </c>
      <c r="H6824" t="s">
        <v>35</v>
      </c>
      <c r="I6824" t="s">
        <v>36</v>
      </c>
      <c r="J6824">
        <v>197.97</v>
      </c>
      <c r="K6824">
        <v>3</v>
      </c>
      <c r="L6824">
        <v>0</v>
      </c>
      <c r="M6824">
        <v>53.451900000000002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75</v>
      </c>
      <c r="E6825" t="s">
        <v>76</v>
      </c>
      <c r="F6825">
        <v>10024</v>
      </c>
      <c r="G6825" t="s">
        <v>57</v>
      </c>
      <c r="H6825" t="s">
        <v>26</v>
      </c>
      <c r="I6825" t="s">
        <v>38</v>
      </c>
      <c r="J6825">
        <v>17.48</v>
      </c>
      <c r="K6825">
        <v>4</v>
      </c>
      <c r="L6825">
        <v>0</v>
      </c>
      <c r="M6825">
        <v>4.5448000000000004</v>
      </c>
    </row>
    <row r="6826" spans="1:13" x14ac:dyDescent="0.3">
      <c r="A6826" t="s">
        <v>28</v>
      </c>
      <c r="B6826" t="s">
        <v>14</v>
      </c>
      <c r="C6826" t="s">
        <v>15</v>
      </c>
      <c r="D6826" t="s">
        <v>79</v>
      </c>
      <c r="E6826" t="s">
        <v>65</v>
      </c>
      <c r="F6826">
        <v>60610</v>
      </c>
      <c r="G6826" t="s">
        <v>47</v>
      </c>
      <c r="H6826" t="s">
        <v>26</v>
      </c>
      <c r="I6826" t="s">
        <v>34</v>
      </c>
      <c r="J6826">
        <v>8.016</v>
      </c>
      <c r="K6826">
        <v>3</v>
      </c>
      <c r="L6826">
        <v>0.2</v>
      </c>
      <c r="M6826">
        <v>1.002</v>
      </c>
    </row>
    <row r="6827" spans="1:13" x14ac:dyDescent="0.3">
      <c r="A6827" t="s">
        <v>168</v>
      </c>
      <c r="B6827" t="s">
        <v>14</v>
      </c>
      <c r="C6827" t="s">
        <v>15</v>
      </c>
      <c r="D6827" t="s">
        <v>240</v>
      </c>
      <c r="E6827" t="s">
        <v>24</v>
      </c>
      <c r="F6827">
        <v>92704</v>
      </c>
      <c r="G6827" t="s">
        <v>25</v>
      </c>
      <c r="H6827" t="s">
        <v>19</v>
      </c>
      <c r="I6827" t="s">
        <v>31</v>
      </c>
      <c r="J6827">
        <v>146.04</v>
      </c>
      <c r="K6827">
        <v>1</v>
      </c>
      <c r="L6827">
        <v>0.2</v>
      </c>
      <c r="M6827">
        <v>-12.778499999999999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576</v>
      </c>
      <c r="E6828" t="s">
        <v>24</v>
      </c>
      <c r="F6828">
        <v>90640</v>
      </c>
      <c r="G6828" t="s">
        <v>25</v>
      </c>
      <c r="H6828" t="s">
        <v>35</v>
      </c>
      <c r="I6828" t="s">
        <v>59</v>
      </c>
      <c r="J6828">
        <v>27.88</v>
      </c>
      <c r="K6828">
        <v>2</v>
      </c>
      <c r="L6828">
        <v>0</v>
      </c>
      <c r="M6828">
        <v>3.9032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26</v>
      </c>
      <c r="I6829" t="s">
        <v>27</v>
      </c>
      <c r="J6829">
        <v>152.65</v>
      </c>
      <c r="K6829">
        <v>5</v>
      </c>
      <c r="L6829">
        <v>0</v>
      </c>
      <c r="M6829">
        <v>70.218999999999994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391</v>
      </c>
      <c r="E6830" t="s">
        <v>24</v>
      </c>
      <c r="F6830">
        <v>91360</v>
      </c>
      <c r="G6830" t="s">
        <v>25</v>
      </c>
      <c r="H6830" t="s">
        <v>19</v>
      </c>
      <c r="I6830" t="s">
        <v>33</v>
      </c>
      <c r="J6830">
        <v>22.72</v>
      </c>
      <c r="K6830">
        <v>1</v>
      </c>
      <c r="L6830">
        <v>0</v>
      </c>
      <c r="M6830">
        <v>9.3152000000000008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304</v>
      </c>
      <c r="E6831" t="s">
        <v>132</v>
      </c>
      <c r="F6831">
        <v>8360</v>
      </c>
      <c r="G6831" t="s">
        <v>57</v>
      </c>
      <c r="H6831" t="s">
        <v>26</v>
      </c>
      <c r="I6831" t="s">
        <v>34</v>
      </c>
      <c r="J6831">
        <v>11.12</v>
      </c>
      <c r="K6831">
        <v>4</v>
      </c>
      <c r="L6831">
        <v>0</v>
      </c>
      <c r="M6831">
        <v>2.8912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26</v>
      </c>
      <c r="I6832" t="s">
        <v>38</v>
      </c>
      <c r="J6832">
        <v>1640.7</v>
      </c>
      <c r="K6832">
        <v>5</v>
      </c>
      <c r="L6832">
        <v>0</v>
      </c>
      <c r="M6832">
        <v>459.39600000000002</v>
      </c>
    </row>
    <row r="6833" spans="1:13" x14ac:dyDescent="0.3">
      <c r="A6833" t="s">
        <v>28</v>
      </c>
      <c r="B6833" t="s">
        <v>22</v>
      </c>
      <c r="C6833" t="s">
        <v>15</v>
      </c>
      <c r="D6833" t="s">
        <v>255</v>
      </c>
      <c r="E6833" t="s">
        <v>24</v>
      </c>
      <c r="F6833">
        <v>90503</v>
      </c>
      <c r="G6833" t="s">
        <v>25</v>
      </c>
      <c r="H6833" t="s">
        <v>35</v>
      </c>
      <c r="I6833" t="s">
        <v>36</v>
      </c>
      <c r="J6833">
        <v>371.2</v>
      </c>
      <c r="K6833">
        <v>5</v>
      </c>
      <c r="L6833">
        <v>0.2</v>
      </c>
      <c r="M6833">
        <v>41.76</v>
      </c>
    </row>
    <row r="6834" spans="1:13" x14ac:dyDescent="0.3">
      <c r="A6834" t="s">
        <v>62</v>
      </c>
      <c r="B6834" t="s">
        <v>44</v>
      </c>
      <c r="C6834" t="s">
        <v>15</v>
      </c>
      <c r="D6834" t="s">
        <v>78</v>
      </c>
      <c r="E6834" t="s">
        <v>104</v>
      </c>
      <c r="F6834">
        <v>45373</v>
      </c>
      <c r="G6834" t="s">
        <v>57</v>
      </c>
      <c r="H6834" t="s">
        <v>26</v>
      </c>
      <c r="I6834" t="s">
        <v>37</v>
      </c>
      <c r="J6834">
        <v>14.832000000000001</v>
      </c>
      <c r="K6834">
        <v>3</v>
      </c>
      <c r="L6834">
        <v>0.7</v>
      </c>
      <c r="M6834">
        <v>-10.382400000000001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35</v>
      </c>
      <c r="I6835" t="s">
        <v>59</v>
      </c>
      <c r="J6835">
        <v>20.7</v>
      </c>
      <c r="K6835">
        <v>3</v>
      </c>
      <c r="L6835">
        <v>0</v>
      </c>
      <c r="M6835">
        <v>1.6559999999999999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77</v>
      </c>
      <c r="J6836">
        <v>11.34</v>
      </c>
      <c r="K6836">
        <v>3</v>
      </c>
      <c r="L6836">
        <v>0</v>
      </c>
      <c r="M6836">
        <v>5.2164000000000001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26</v>
      </c>
      <c r="I6837" t="s">
        <v>32</v>
      </c>
      <c r="J6837">
        <v>67.900000000000006</v>
      </c>
      <c r="K6837">
        <v>5</v>
      </c>
      <c r="L6837">
        <v>0</v>
      </c>
      <c r="M6837">
        <v>0.67900000000000005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82</v>
      </c>
      <c r="E6838" t="s">
        <v>83</v>
      </c>
      <c r="F6838">
        <v>22153</v>
      </c>
      <c r="G6838" t="s">
        <v>18</v>
      </c>
      <c r="H6838" t="s">
        <v>19</v>
      </c>
      <c r="I6838" t="s">
        <v>21</v>
      </c>
      <c r="J6838">
        <v>1059.1199999999999</v>
      </c>
      <c r="K6838">
        <v>4</v>
      </c>
      <c r="L6838">
        <v>0</v>
      </c>
      <c r="M6838">
        <v>307.14479999999998</v>
      </c>
    </row>
    <row r="6839" spans="1:13" x14ac:dyDescent="0.3">
      <c r="A6839" t="s">
        <v>28</v>
      </c>
      <c r="B6839" t="s">
        <v>44</v>
      </c>
      <c r="C6839" t="s">
        <v>15</v>
      </c>
      <c r="D6839" t="s">
        <v>577</v>
      </c>
      <c r="E6839" t="s">
        <v>24</v>
      </c>
      <c r="F6839">
        <v>92020</v>
      </c>
      <c r="G6839" t="s">
        <v>25</v>
      </c>
      <c r="H6839" t="s">
        <v>19</v>
      </c>
      <c r="I6839" t="s">
        <v>21</v>
      </c>
      <c r="J6839">
        <v>478.48</v>
      </c>
      <c r="K6839">
        <v>2</v>
      </c>
      <c r="L6839">
        <v>0.2</v>
      </c>
      <c r="M6839">
        <v>47.847999999999999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23</v>
      </c>
      <c r="E6840" t="s">
        <v>24</v>
      </c>
      <c r="F6840">
        <v>90036</v>
      </c>
      <c r="G6840" t="s">
        <v>25</v>
      </c>
      <c r="H6840" t="s">
        <v>26</v>
      </c>
      <c r="I6840" t="s">
        <v>41</v>
      </c>
      <c r="J6840">
        <v>32.04</v>
      </c>
      <c r="K6840">
        <v>4</v>
      </c>
      <c r="L6840">
        <v>0</v>
      </c>
      <c r="M6840">
        <v>14.417999999999999</v>
      </c>
    </row>
    <row r="6841" spans="1:13" x14ac:dyDescent="0.3">
      <c r="A6841" t="s">
        <v>28</v>
      </c>
      <c r="B6841" t="s">
        <v>14</v>
      </c>
      <c r="C6841" t="s">
        <v>15</v>
      </c>
      <c r="D6841" t="s">
        <v>108</v>
      </c>
      <c r="E6841" t="s">
        <v>81</v>
      </c>
      <c r="F6841">
        <v>85023</v>
      </c>
      <c r="G6841" t="s">
        <v>25</v>
      </c>
      <c r="H6841" t="s">
        <v>35</v>
      </c>
      <c r="I6841" t="s">
        <v>36</v>
      </c>
      <c r="J6841">
        <v>55.991999999999997</v>
      </c>
      <c r="K6841">
        <v>1</v>
      </c>
      <c r="L6841">
        <v>0.2</v>
      </c>
      <c r="M6841">
        <v>3.4994999999999998</v>
      </c>
    </row>
    <row r="6842" spans="1:13" x14ac:dyDescent="0.3">
      <c r="A6842" t="s">
        <v>62</v>
      </c>
      <c r="B6842" t="s">
        <v>14</v>
      </c>
      <c r="C6842" t="s">
        <v>15</v>
      </c>
      <c r="D6842" t="s">
        <v>527</v>
      </c>
      <c r="E6842" t="s">
        <v>65</v>
      </c>
      <c r="F6842">
        <v>60423</v>
      </c>
      <c r="G6842" t="s">
        <v>47</v>
      </c>
      <c r="H6842" t="s">
        <v>26</v>
      </c>
      <c r="I6842" t="s">
        <v>41</v>
      </c>
      <c r="J6842">
        <v>76.864000000000004</v>
      </c>
      <c r="K6842">
        <v>2</v>
      </c>
      <c r="L6842">
        <v>0.2</v>
      </c>
      <c r="M6842">
        <v>26.9024</v>
      </c>
    </row>
    <row r="6843" spans="1:13" x14ac:dyDescent="0.3">
      <c r="A6843" t="s">
        <v>28</v>
      </c>
      <c r="B6843" t="s">
        <v>14</v>
      </c>
      <c r="C6843" t="s">
        <v>15</v>
      </c>
      <c r="D6843" t="s">
        <v>23</v>
      </c>
      <c r="E6843" t="s">
        <v>24</v>
      </c>
      <c r="F6843">
        <v>90045</v>
      </c>
      <c r="G6843" t="s">
        <v>25</v>
      </c>
      <c r="H6843" t="s">
        <v>19</v>
      </c>
      <c r="I6843" t="s">
        <v>33</v>
      </c>
      <c r="J6843">
        <v>59.92</v>
      </c>
      <c r="K6843">
        <v>4</v>
      </c>
      <c r="L6843">
        <v>0</v>
      </c>
      <c r="M6843">
        <v>27.563199999999998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19</v>
      </c>
      <c r="I6844" t="s">
        <v>20</v>
      </c>
      <c r="J6844">
        <v>1565.88</v>
      </c>
      <c r="K6844">
        <v>6</v>
      </c>
      <c r="L6844">
        <v>0</v>
      </c>
      <c r="M6844">
        <v>407.12880000000001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115</v>
      </c>
      <c r="E6845" t="s">
        <v>49</v>
      </c>
      <c r="F6845">
        <v>53132</v>
      </c>
      <c r="G6845" t="s">
        <v>47</v>
      </c>
      <c r="H6845" t="s">
        <v>26</v>
      </c>
      <c r="I6845" t="s">
        <v>37</v>
      </c>
      <c r="J6845">
        <v>106.05</v>
      </c>
      <c r="K6845">
        <v>7</v>
      </c>
      <c r="L6845">
        <v>0</v>
      </c>
      <c r="M6845">
        <v>49.843499999999999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26</v>
      </c>
      <c r="I6846" t="s">
        <v>32</v>
      </c>
      <c r="J6846">
        <v>62.04</v>
      </c>
      <c r="K6846">
        <v>4</v>
      </c>
      <c r="L6846">
        <v>0</v>
      </c>
      <c r="M6846">
        <v>17.371200000000002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35</v>
      </c>
      <c r="I6847" t="s">
        <v>36</v>
      </c>
      <c r="J6847">
        <v>494.97</v>
      </c>
      <c r="K6847">
        <v>3</v>
      </c>
      <c r="L6847">
        <v>0</v>
      </c>
      <c r="M6847">
        <v>148.49100000000001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32</v>
      </c>
      <c r="J6848">
        <v>367.96</v>
      </c>
      <c r="K6848">
        <v>4</v>
      </c>
      <c r="L6848">
        <v>0</v>
      </c>
      <c r="M6848">
        <v>14.718400000000001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41</v>
      </c>
      <c r="J6849">
        <v>44.96</v>
      </c>
      <c r="K6849">
        <v>2</v>
      </c>
      <c r="L6849">
        <v>0</v>
      </c>
      <c r="M6849">
        <v>20.6816</v>
      </c>
    </row>
    <row r="6850" spans="1:13" x14ac:dyDescent="0.3">
      <c r="A6850" t="s">
        <v>13</v>
      </c>
      <c r="B6850" t="s">
        <v>22</v>
      </c>
      <c r="C6850" t="s">
        <v>15</v>
      </c>
      <c r="D6850" t="s">
        <v>376</v>
      </c>
      <c r="E6850" t="s">
        <v>197</v>
      </c>
      <c r="F6850">
        <v>72209</v>
      </c>
      <c r="G6850" t="s">
        <v>18</v>
      </c>
      <c r="H6850" t="s">
        <v>26</v>
      </c>
      <c r="I6850" t="s">
        <v>60</v>
      </c>
      <c r="J6850">
        <v>182.94</v>
      </c>
      <c r="K6850">
        <v>3</v>
      </c>
      <c r="L6850">
        <v>0</v>
      </c>
      <c r="M6850">
        <v>85.981800000000007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41</v>
      </c>
      <c r="J6851">
        <v>28.14</v>
      </c>
      <c r="K6851">
        <v>3</v>
      </c>
      <c r="L6851">
        <v>0</v>
      </c>
      <c r="M6851">
        <v>13.507199999999999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27</v>
      </c>
      <c r="J6852">
        <v>7.38</v>
      </c>
      <c r="K6852">
        <v>2</v>
      </c>
      <c r="L6852">
        <v>0</v>
      </c>
      <c r="M6852">
        <v>3.4685999999999999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26</v>
      </c>
      <c r="I6853" t="s">
        <v>77</v>
      </c>
      <c r="J6853">
        <v>10.9</v>
      </c>
      <c r="K6853">
        <v>5</v>
      </c>
      <c r="L6853">
        <v>0</v>
      </c>
      <c r="M6853">
        <v>3.597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35</v>
      </c>
      <c r="I6854" t="s">
        <v>59</v>
      </c>
      <c r="J6854">
        <v>274.89</v>
      </c>
      <c r="K6854">
        <v>11</v>
      </c>
      <c r="L6854">
        <v>0</v>
      </c>
      <c r="M6854">
        <v>46.731299999999997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26</v>
      </c>
      <c r="I6855" t="s">
        <v>27</v>
      </c>
      <c r="J6855">
        <v>23.04</v>
      </c>
      <c r="K6855">
        <v>8</v>
      </c>
      <c r="L6855">
        <v>0</v>
      </c>
      <c r="M6855">
        <v>11.2896</v>
      </c>
    </row>
    <row r="6856" spans="1:13" x14ac:dyDescent="0.3">
      <c r="A6856" t="s">
        <v>28</v>
      </c>
      <c r="B6856" t="s">
        <v>14</v>
      </c>
      <c r="C6856" t="s">
        <v>15</v>
      </c>
      <c r="D6856" t="s">
        <v>23</v>
      </c>
      <c r="E6856" t="s">
        <v>24</v>
      </c>
      <c r="F6856">
        <v>90008</v>
      </c>
      <c r="G6856" t="s">
        <v>25</v>
      </c>
      <c r="H6856" t="s">
        <v>19</v>
      </c>
      <c r="I6856" t="s">
        <v>21</v>
      </c>
      <c r="J6856">
        <v>218.352</v>
      </c>
      <c r="K6856">
        <v>3</v>
      </c>
      <c r="L6856">
        <v>0.2</v>
      </c>
      <c r="M6856">
        <v>-19.105799999999999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122</v>
      </c>
      <c r="E6857" t="s">
        <v>46</v>
      </c>
      <c r="F6857">
        <v>78207</v>
      </c>
      <c r="G6857" t="s">
        <v>47</v>
      </c>
      <c r="H6857" t="s">
        <v>26</v>
      </c>
      <c r="I6857" t="s">
        <v>41</v>
      </c>
      <c r="J6857">
        <v>10.368</v>
      </c>
      <c r="K6857">
        <v>2</v>
      </c>
      <c r="L6857">
        <v>0.2</v>
      </c>
      <c r="M6857">
        <v>3.6288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26</v>
      </c>
      <c r="I6858" t="s">
        <v>37</v>
      </c>
      <c r="J6858">
        <v>12.672000000000001</v>
      </c>
      <c r="K6858">
        <v>2</v>
      </c>
      <c r="L6858">
        <v>0.2</v>
      </c>
      <c r="M6858">
        <v>4.7519999999999998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36</v>
      </c>
      <c r="J6859">
        <v>91.96</v>
      </c>
      <c r="K6859">
        <v>5</v>
      </c>
      <c r="L6859">
        <v>0.2</v>
      </c>
      <c r="M6859">
        <v>-20.690999999999999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59</v>
      </c>
      <c r="J6860">
        <v>254.97</v>
      </c>
      <c r="K6860">
        <v>3</v>
      </c>
      <c r="L6860">
        <v>0</v>
      </c>
      <c r="M6860">
        <v>91.789199999999994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35</v>
      </c>
      <c r="I6861" t="s">
        <v>36</v>
      </c>
      <c r="J6861">
        <v>31.984000000000002</v>
      </c>
      <c r="K6861">
        <v>2</v>
      </c>
      <c r="L6861">
        <v>0.2</v>
      </c>
      <c r="M6861">
        <v>-7.9960000000000004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19</v>
      </c>
      <c r="I6862" t="s">
        <v>31</v>
      </c>
      <c r="J6862">
        <v>2887.056</v>
      </c>
      <c r="K6862">
        <v>9</v>
      </c>
      <c r="L6862">
        <v>0.2</v>
      </c>
      <c r="M6862">
        <v>180.441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12.96</v>
      </c>
      <c r="K6863">
        <v>2</v>
      </c>
      <c r="L6863">
        <v>0</v>
      </c>
      <c r="M6863">
        <v>6.2207999999999997</v>
      </c>
    </row>
    <row r="6864" spans="1:13" x14ac:dyDescent="0.3">
      <c r="A6864" t="s">
        <v>28</v>
      </c>
      <c r="B6864" t="s">
        <v>22</v>
      </c>
      <c r="C6864" t="s">
        <v>15</v>
      </c>
      <c r="D6864" t="s">
        <v>23</v>
      </c>
      <c r="E6864" t="s">
        <v>24</v>
      </c>
      <c r="F6864">
        <v>90004</v>
      </c>
      <c r="G6864" t="s">
        <v>25</v>
      </c>
      <c r="H6864" t="s">
        <v>26</v>
      </c>
      <c r="I6864" t="s">
        <v>41</v>
      </c>
      <c r="J6864">
        <v>47.52</v>
      </c>
      <c r="K6864">
        <v>9</v>
      </c>
      <c r="L6864">
        <v>0</v>
      </c>
      <c r="M6864">
        <v>21.384</v>
      </c>
    </row>
    <row r="6865" spans="1:13" x14ac:dyDescent="0.3">
      <c r="A6865" t="s">
        <v>13</v>
      </c>
      <c r="B6865" t="s">
        <v>22</v>
      </c>
      <c r="C6865" t="s">
        <v>15</v>
      </c>
      <c r="D6865" t="s">
        <v>79</v>
      </c>
      <c r="E6865" t="s">
        <v>65</v>
      </c>
      <c r="F6865">
        <v>60610</v>
      </c>
      <c r="G6865" t="s">
        <v>47</v>
      </c>
      <c r="H6865" t="s">
        <v>26</v>
      </c>
      <c r="I6865" t="s">
        <v>27</v>
      </c>
      <c r="J6865">
        <v>11.952</v>
      </c>
      <c r="K6865">
        <v>3</v>
      </c>
      <c r="L6865">
        <v>0.2</v>
      </c>
      <c r="M6865">
        <v>3.8843999999999999</v>
      </c>
    </row>
    <row r="6866" spans="1:13" x14ac:dyDescent="0.3">
      <c r="A6866" t="s">
        <v>62</v>
      </c>
      <c r="B6866" t="s">
        <v>14</v>
      </c>
      <c r="C6866" t="s">
        <v>15</v>
      </c>
      <c r="D6866" t="s">
        <v>42</v>
      </c>
      <c r="E6866" t="s">
        <v>43</v>
      </c>
      <c r="F6866">
        <v>98105</v>
      </c>
      <c r="G6866" t="s">
        <v>25</v>
      </c>
      <c r="H6866" t="s">
        <v>26</v>
      </c>
      <c r="I6866" t="s">
        <v>41</v>
      </c>
      <c r="J6866">
        <v>4.9800000000000004</v>
      </c>
      <c r="K6866">
        <v>1</v>
      </c>
      <c r="L6866">
        <v>0</v>
      </c>
      <c r="M6866">
        <v>2.3405999999999998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26</v>
      </c>
      <c r="I6867" t="s">
        <v>37</v>
      </c>
      <c r="J6867">
        <v>10.78</v>
      </c>
      <c r="K6867">
        <v>5</v>
      </c>
      <c r="L6867">
        <v>0.8</v>
      </c>
      <c r="M6867">
        <v>-17.248000000000001</v>
      </c>
    </row>
    <row r="6868" spans="1:13" x14ac:dyDescent="0.3">
      <c r="A6868" t="s">
        <v>13</v>
      </c>
      <c r="B6868" t="s">
        <v>14</v>
      </c>
      <c r="C6868" t="s">
        <v>15</v>
      </c>
      <c r="D6868" t="s">
        <v>578</v>
      </c>
      <c r="E6868" t="s">
        <v>46</v>
      </c>
      <c r="F6868">
        <v>77705</v>
      </c>
      <c r="G6868" t="s">
        <v>47</v>
      </c>
      <c r="H6868" t="s">
        <v>35</v>
      </c>
      <c r="I6868" t="s">
        <v>59</v>
      </c>
      <c r="J6868">
        <v>119.976</v>
      </c>
      <c r="K6868">
        <v>3</v>
      </c>
      <c r="L6868">
        <v>0.2</v>
      </c>
      <c r="M6868">
        <v>-17.996400000000001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26</v>
      </c>
      <c r="I6869" t="s">
        <v>27</v>
      </c>
      <c r="J6869">
        <v>25.06</v>
      </c>
      <c r="K6869">
        <v>2</v>
      </c>
      <c r="L6869">
        <v>0</v>
      </c>
      <c r="M6869">
        <v>11.7782</v>
      </c>
    </row>
    <row r="6870" spans="1:13" x14ac:dyDescent="0.3">
      <c r="A6870" t="s">
        <v>28</v>
      </c>
      <c r="B6870" t="s">
        <v>14</v>
      </c>
      <c r="C6870" t="s">
        <v>15</v>
      </c>
      <c r="D6870" t="s">
        <v>355</v>
      </c>
      <c r="E6870" t="s">
        <v>83</v>
      </c>
      <c r="F6870">
        <v>23320</v>
      </c>
      <c r="G6870" t="s">
        <v>18</v>
      </c>
      <c r="H6870" t="s">
        <v>19</v>
      </c>
      <c r="I6870" t="s">
        <v>31</v>
      </c>
      <c r="J6870">
        <v>1652.94</v>
      </c>
      <c r="K6870">
        <v>3</v>
      </c>
      <c r="L6870">
        <v>0</v>
      </c>
      <c r="M6870">
        <v>314.05860000000001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19</v>
      </c>
      <c r="I6871" t="s">
        <v>33</v>
      </c>
      <c r="J6871">
        <v>131.376</v>
      </c>
      <c r="K6871">
        <v>6</v>
      </c>
      <c r="L6871">
        <v>0.6</v>
      </c>
      <c r="M6871">
        <v>-95.247600000000006</v>
      </c>
    </row>
    <row r="6872" spans="1:13" x14ac:dyDescent="0.3">
      <c r="A6872" t="s">
        <v>168</v>
      </c>
      <c r="B6872" t="s">
        <v>14</v>
      </c>
      <c r="C6872" t="s">
        <v>15</v>
      </c>
      <c r="D6872" t="s">
        <v>135</v>
      </c>
      <c r="E6872" t="s">
        <v>46</v>
      </c>
      <c r="F6872">
        <v>75217</v>
      </c>
      <c r="G6872" t="s">
        <v>47</v>
      </c>
      <c r="H6872" t="s">
        <v>26</v>
      </c>
      <c r="I6872" t="s">
        <v>41</v>
      </c>
      <c r="J6872">
        <v>5.3440000000000003</v>
      </c>
      <c r="K6872">
        <v>1</v>
      </c>
      <c r="L6872">
        <v>0.2</v>
      </c>
      <c r="M6872">
        <v>1.8704000000000001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19</v>
      </c>
      <c r="I6873" t="s">
        <v>21</v>
      </c>
      <c r="J6873">
        <v>2003.92</v>
      </c>
      <c r="K6873">
        <v>5</v>
      </c>
      <c r="L6873">
        <v>0.2</v>
      </c>
      <c r="M6873">
        <v>125.245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32.4</v>
      </c>
      <c r="K6874">
        <v>5</v>
      </c>
      <c r="L6874">
        <v>0</v>
      </c>
      <c r="M6874">
        <v>15.552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19</v>
      </c>
      <c r="I6875" t="s">
        <v>31</v>
      </c>
      <c r="J6875">
        <v>1913.4</v>
      </c>
      <c r="K6875">
        <v>9</v>
      </c>
      <c r="L6875">
        <v>0</v>
      </c>
      <c r="M6875">
        <v>401.81400000000002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32</v>
      </c>
      <c r="J6876">
        <v>146.72999999999999</v>
      </c>
      <c r="K6876">
        <v>3</v>
      </c>
      <c r="L6876">
        <v>0</v>
      </c>
      <c r="M6876">
        <v>2.9346000000000001</v>
      </c>
    </row>
    <row r="6877" spans="1:13" x14ac:dyDescent="0.3">
      <c r="A6877" t="s">
        <v>13</v>
      </c>
      <c r="B6877" t="s">
        <v>44</v>
      </c>
      <c r="C6877" t="s">
        <v>15</v>
      </c>
      <c r="D6877" t="s">
        <v>42</v>
      </c>
      <c r="E6877" t="s">
        <v>43</v>
      </c>
      <c r="F6877">
        <v>98105</v>
      </c>
      <c r="G6877" t="s">
        <v>25</v>
      </c>
      <c r="H6877" t="s">
        <v>26</v>
      </c>
      <c r="I6877" t="s">
        <v>41</v>
      </c>
      <c r="J6877">
        <v>114.2</v>
      </c>
      <c r="K6877">
        <v>5</v>
      </c>
      <c r="L6877">
        <v>0</v>
      </c>
      <c r="M6877">
        <v>52.531999999999996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93</v>
      </c>
      <c r="E6878" t="s">
        <v>68</v>
      </c>
      <c r="F6878">
        <v>55407</v>
      </c>
      <c r="G6878" t="s">
        <v>47</v>
      </c>
      <c r="H6878" t="s">
        <v>19</v>
      </c>
      <c r="I6878" t="s">
        <v>21</v>
      </c>
      <c r="J6878">
        <v>2567.84</v>
      </c>
      <c r="K6878">
        <v>8</v>
      </c>
      <c r="L6878">
        <v>0</v>
      </c>
      <c r="M6878">
        <v>770.35199999999998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59</v>
      </c>
      <c r="J6879">
        <v>37.055999999999997</v>
      </c>
      <c r="K6879">
        <v>4</v>
      </c>
      <c r="L6879">
        <v>0.2</v>
      </c>
      <c r="M6879">
        <v>8.8008000000000006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82</v>
      </c>
      <c r="E6880" t="s">
        <v>104</v>
      </c>
      <c r="F6880">
        <v>45503</v>
      </c>
      <c r="G6880" t="s">
        <v>57</v>
      </c>
      <c r="H6880" t="s">
        <v>35</v>
      </c>
      <c r="I6880" t="s">
        <v>36</v>
      </c>
      <c r="J6880">
        <v>259.89600000000002</v>
      </c>
      <c r="K6880">
        <v>2</v>
      </c>
      <c r="L6880">
        <v>0.4</v>
      </c>
      <c r="M6880">
        <v>-56.3108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41</v>
      </c>
      <c r="J6881">
        <v>19.05</v>
      </c>
      <c r="K6881">
        <v>3</v>
      </c>
      <c r="L6881">
        <v>0</v>
      </c>
      <c r="M6881">
        <v>8.7629999999999999</v>
      </c>
    </row>
    <row r="6882" spans="1:13" x14ac:dyDescent="0.3">
      <c r="A6882" t="s">
        <v>28</v>
      </c>
      <c r="B6882" t="s">
        <v>14</v>
      </c>
      <c r="C6882" t="s">
        <v>15</v>
      </c>
      <c r="D6882" t="s">
        <v>23</v>
      </c>
      <c r="E6882" t="s">
        <v>24</v>
      </c>
      <c r="F6882">
        <v>90032</v>
      </c>
      <c r="G6882" t="s">
        <v>25</v>
      </c>
      <c r="H6882" t="s">
        <v>26</v>
      </c>
      <c r="I6882" t="s">
        <v>37</v>
      </c>
      <c r="J6882">
        <v>73.343999999999994</v>
      </c>
      <c r="K6882">
        <v>3</v>
      </c>
      <c r="L6882">
        <v>0.2</v>
      </c>
      <c r="M6882">
        <v>27.504000000000001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35</v>
      </c>
      <c r="I6883" t="s">
        <v>36</v>
      </c>
      <c r="J6883">
        <v>95.68</v>
      </c>
      <c r="K6883">
        <v>8</v>
      </c>
      <c r="L6883">
        <v>0</v>
      </c>
      <c r="M6883">
        <v>26.790400000000002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41</v>
      </c>
      <c r="J6884">
        <v>50.96</v>
      </c>
      <c r="K6884">
        <v>7</v>
      </c>
      <c r="L6884">
        <v>0</v>
      </c>
      <c r="M6884">
        <v>24.460799999999999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34</v>
      </c>
      <c r="J6885">
        <v>113.94</v>
      </c>
      <c r="K6885">
        <v>3</v>
      </c>
      <c r="L6885">
        <v>0</v>
      </c>
      <c r="M6885">
        <v>34.182000000000002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26</v>
      </c>
      <c r="I6886" t="s">
        <v>41</v>
      </c>
      <c r="J6886">
        <v>25.92</v>
      </c>
      <c r="K6886">
        <v>4</v>
      </c>
      <c r="L6886">
        <v>0</v>
      </c>
      <c r="M6886">
        <v>12.441599999999999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19</v>
      </c>
      <c r="I6887" t="s">
        <v>33</v>
      </c>
      <c r="J6887">
        <v>20.32</v>
      </c>
      <c r="K6887">
        <v>4</v>
      </c>
      <c r="L6887">
        <v>0</v>
      </c>
      <c r="M6887">
        <v>6.9088000000000003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35</v>
      </c>
      <c r="I6888" t="s">
        <v>36</v>
      </c>
      <c r="J6888">
        <v>411.98</v>
      </c>
      <c r="K6888">
        <v>2</v>
      </c>
      <c r="L6888">
        <v>0</v>
      </c>
      <c r="M6888">
        <v>119.4742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110</v>
      </c>
      <c r="J6889">
        <v>34.479999999999997</v>
      </c>
      <c r="K6889">
        <v>2</v>
      </c>
      <c r="L6889">
        <v>0</v>
      </c>
      <c r="M6889">
        <v>9.9992000000000001</v>
      </c>
    </row>
    <row r="6890" spans="1:13" x14ac:dyDescent="0.3">
      <c r="A6890" t="s">
        <v>28</v>
      </c>
      <c r="B6890" t="s">
        <v>22</v>
      </c>
      <c r="C6890" t="s">
        <v>15</v>
      </c>
      <c r="D6890" t="s">
        <v>103</v>
      </c>
      <c r="E6890" t="s">
        <v>167</v>
      </c>
      <c r="F6890">
        <v>31907</v>
      </c>
      <c r="G6890" t="s">
        <v>18</v>
      </c>
      <c r="H6890" t="s">
        <v>26</v>
      </c>
      <c r="I6890" t="s">
        <v>41</v>
      </c>
      <c r="J6890">
        <v>244.55</v>
      </c>
      <c r="K6890">
        <v>5</v>
      </c>
      <c r="L6890">
        <v>0</v>
      </c>
      <c r="M6890">
        <v>114.9385</v>
      </c>
    </row>
    <row r="6891" spans="1:13" x14ac:dyDescent="0.3">
      <c r="A6891" t="s">
        <v>28</v>
      </c>
      <c r="B6891" t="s">
        <v>14</v>
      </c>
      <c r="C6891" t="s">
        <v>15</v>
      </c>
      <c r="D6891" t="s">
        <v>154</v>
      </c>
      <c r="E6891" t="s">
        <v>104</v>
      </c>
      <c r="F6891">
        <v>44107</v>
      </c>
      <c r="G6891" t="s">
        <v>57</v>
      </c>
      <c r="H6891" t="s">
        <v>26</v>
      </c>
      <c r="I6891" t="s">
        <v>37</v>
      </c>
      <c r="J6891">
        <v>10.782</v>
      </c>
      <c r="K6891">
        <v>3</v>
      </c>
      <c r="L6891">
        <v>0.7</v>
      </c>
      <c r="M6891">
        <v>-7.9067999999999996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19</v>
      </c>
      <c r="I6892" t="s">
        <v>21</v>
      </c>
      <c r="J6892">
        <v>602.65099999999995</v>
      </c>
      <c r="K6892">
        <v>7</v>
      </c>
      <c r="L6892">
        <v>0.3</v>
      </c>
      <c r="M6892">
        <v>-163.57669999999999</v>
      </c>
    </row>
    <row r="6893" spans="1:13" x14ac:dyDescent="0.3">
      <c r="A6893" t="s">
        <v>13</v>
      </c>
      <c r="B6893" t="s">
        <v>14</v>
      </c>
      <c r="C6893" t="s">
        <v>15</v>
      </c>
      <c r="D6893" t="s">
        <v>64</v>
      </c>
      <c r="E6893" t="s">
        <v>65</v>
      </c>
      <c r="F6893">
        <v>60540</v>
      </c>
      <c r="G6893" t="s">
        <v>47</v>
      </c>
      <c r="H6893" t="s">
        <v>26</v>
      </c>
      <c r="I6893" t="s">
        <v>37</v>
      </c>
      <c r="J6893">
        <v>7.6559999999999997</v>
      </c>
      <c r="K6893">
        <v>6</v>
      </c>
      <c r="L6893">
        <v>0.8</v>
      </c>
      <c r="M6893">
        <v>-13.0152</v>
      </c>
    </row>
    <row r="6894" spans="1:13" x14ac:dyDescent="0.3">
      <c r="A6894" t="s">
        <v>28</v>
      </c>
      <c r="B6894" t="s">
        <v>44</v>
      </c>
      <c r="C6894" t="s">
        <v>15</v>
      </c>
      <c r="D6894" t="s">
        <v>75</v>
      </c>
      <c r="E6894" t="s">
        <v>76</v>
      </c>
      <c r="F6894">
        <v>10009</v>
      </c>
      <c r="G6894" t="s">
        <v>57</v>
      </c>
      <c r="H6894" t="s">
        <v>35</v>
      </c>
      <c r="I6894" t="s">
        <v>59</v>
      </c>
      <c r="J6894">
        <v>559.92999999999995</v>
      </c>
      <c r="K6894">
        <v>7</v>
      </c>
      <c r="L6894">
        <v>0</v>
      </c>
      <c r="M6894">
        <v>167.97900000000001</v>
      </c>
    </row>
    <row r="6895" spans="1:13" x14ac:dyDescent="0.3">
      <c r="A6895" t="s">
        <v>168</v>
      </c>
      <c r="B6895" t="s">
        <v>22</v>
      </c>
      <c r="C6895" t="s">
        <v>15</v>
      </c>
      <c r="D6895" t="s">
        <v>181</v>
      </c>
      <c r="E6895" t="s">
        <v>24</v>
      </c>
      <c r="F6895">
        <v>92646</v>
      </c>
      <c r="G6895" t="s">
        <v>25</v>
      </c>
      <c r="H6895" t="s">
        <v>35</v>
      </c>
      <c r="I6895" t="s">
        <v>162</v>
      </c>
      <c r="J6895">
        <v>2399.96</v>
      </c>
      <c r="K6895">
        <v>5</v>
      </c>
      <c r="L6895">
        <v>0.2</v>
      </c>
      <c r="M6895">
        <v>839.98599999999999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77</v>
      </c>
      <c r="J6896">
        <v>16</v>
      </c>
      <c r="K6896">
        <v>4</v>
      </c>
      <c r="L6896">
        <v>0.2</v>
      </c>
      <c r="M6896">
        <v>5.6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38</v>
      </c>
      <c r="J6897">
        <v>5.5880000000000001</v>
      </c>
      <c r="K6897">
        <v>2</v>
      </c>
      <c r="L6897">
        <v>0.8</v>
      </c>
      <c r="M6897">
        <v>-15.0876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79</v>
      </c>
      <c r="E6898" t="s">
        <v>65</v>
      </c>
      <c r="F6898">
        <v>60653</v>
      </c>
      <c r="G6898" t="s">
        <v>47</v>
      </c>
      <c r="H6898" t="s">
        <v>26</v>
      </c>
      <c r="I6898" t="s">
        <v>32</v>
      </c>
      <c r="J6898">
        <v>235.92</v>
      </c>
      <c r="K6898">
        <v>5</v>
      </c>
      <c r="L6898">
        <v>0.2</v>
      </c>
      <c r="M6898">
        <v>-44.234999999999999</v>
      </c>
    </row>
    <row r="6899" spans="1:13" x14ac:dyDescent="0.3">
      <c r="A6899" t="s">
        <v>13</v>
      </c>
      <c r="B6899" t="s">
        <v>22</v>
      </c>
      <c r="C6899" t="s">
        <v>15</v>
      </c>
      <c r="D6899" t="s">
        <v>145</v>
      </c>
      <c r="E6899" t="s">
        <v>24</v>
      </c>
      <c r="F6899">
        <v>94513</v>
      </c>
      <c r="G6899" t="s">
        <v>25</v>
      </c>
      <c r="H6899" t="s">
        <v>26</v>
      </c>
      <c r="I6899" t="s">
        <v>32</v>
      </c>
      <c r="J6899">
        <v>10.68</v>
      </c>
      <c r="K6899">
        <v>1</v>
      </c>
      <c r="L6899">
        <v>0</v>
      </c>
      <c r="M6899">
        <v>2.8835999999999999</v>
      </c>
    </row>
    <row r="6900" spans="1:13" x14ac:dyDescent="0.3">
      <c r="A6900" t="s">
        <v>168</v>
      </c>
      <c r="B6900" t="s">
        <v>22</v>
      </c>
      <c r="C6900" t="s">
        <v>15</v>
      </c>
      <c r="D6900" t="s">
        <v>232</v>
      </c>
      <c r="E6900" t="s">
        <v>70</v>
      </c>
      <c r="F6900">
        <v>48183</v>
      </c>
      <c r="G6900" t="s">
        <v>47</v>
      </c>
      <c r="H6900" t="s">
        <v>26</v>
      </c>
      <c r="I6900" t="s">
        <v>37</v>
      </c>
      <c r="J6900">
        <v>41.28</v>
      </c>
      <c r="K6900">
        <v>2</v>
      </c>
      <c r="L6900">
        <v>0</v>
      </c>
      <c r="M6900">
        <v>19.814399999999999</v>
      </c>
    </row>
    <row r="6901" spans="1:13" x14ac:dyDescent="0.3">
      <c r="A6901" t="s">
        <v>28</v>
      </c>
      <c r="B6901" t="s">
        <v>14</v>
      </c>
      <c r="C6901" t="s">
        <v>15</v>
      </c>
      <c r="D6901" t="s">
        <v>42</v>
      </c>
      <c r="E6901" t="s">
        <v>43</v>
      </c>
      <c r="F6901">
        <v>98103</v>
      </c>
      <c r="G6901" t="s">
        <v>25</v>
      </c>
      <c r="H6901" t="s">
        <v>35</v>
      </c>
      <c r="I6901" t="s">
        <v>36</v>
      </c>
      <c r="J6901">
        <v>1001.5839999999999</v>
      </c>
      <c r="K6901">
        <v>2</v>
      </c>
      <c r="L6901">
        <v>0.2</v>
      </c>
      <c r="M6901">
        <v>125.19799999999999</v>
      </c>
    </row>
    <row r="6902" spans="1:13" x14ac:dyDescent="0.3">
      <c r="A6902" t="s">
        <v>28</v>
      </c>
      <c r="B6902" t="s">
        <v>22</v>
      </c>
      <c r="C6902" t="s">
        <v>15</v>
      </c>
      <c r="D6902" t="s">
        <v>399</v>
      </c>
      <c r="E6902" t="s">
        <v>91</v>
      </c>
      <c r="F6902">
        <v>29406</v>
      </c>
      <c r="G6902" t="s">
        <v>18</v>
      </c>
      <c r="H6902" t="s">
        <v>19</v>
      </c>
      <c r="I6902" t="s">
        <v>33</v>
      </c>
      <c r="J6902">
        <v>14.76</v>
      </c>
      <c r="K6902">
        <v>2</v>
      </c>
      <c r="L6902">
        <v>0</v>
      </c>
      <c r="M6902">
        <v>4.2804000000000002</v>
      </c>
    </row>
    <row r="6903" spans="1:13" x14ac:dyDescent="0.3">
      <c r="A6903" t="s">
        <v>13</v>
      </c>
      <c r="B6903" t="s">
        <v>14</v>
      </c>
      <c r="C6903" t="s">
        <v>15</v>
      </c>
      <c r="D6903" t="s">
        <v>103</v>
      </c>
      <c r="E6903" t="s">
        <v>104</v>
      </c>
      <c r="F6903">
        <v>43229</v>
      </c>
      <c r="G6903" t="s">
        <v>57</v>
      </c>
      <c r="H6903" t="s">
        <v>26</v>
      </c>
      <c r="I6903" t="s">
        <v>37</v>
      </c>
      <c r="J6903">
        <v>2.5019999999999998</v>
      </c>
      <c r="K6903">
        <v>3</v>
      </c>
      <c r="L6903">
        <v>0.7</v>
      </c>
      <c r="M6903">
        <v>-2.0015999999999998</v>
      </c>
    </row>
    <row r="6904" spans="1:13" x14ac:dyDescent="0.3">
      <c r="A6904" t="s">
        <v>28</v>
      </c>
      <c r="B6904" t="s">
        <v>14</v>
      </c>
      <c r="C6904" t="s">
        <v>15</v>
      </c>
      <c r="D6904" t="s">
        <v>42</v>
      </c>
      <c r="E6904" t="s">
        <v>43</v>
      </c>
      <c r="F6904">
        <v>98103</v>
      </c>
      <c r="G6904" t="s">
        <v>25</v>
      </c>
      <c r="H6904" t="s">
        <v>19</v>
      </c>
      <c r="I6904" t="s">
        <v>20</v>
      </c>
      <c r="J6904">
        <v>115.96</v>
      </c>
      <c r="K6904">
        <v>2</v>
      </c>
      <c r="L6904">
        <v>0</v>
      </c>
      <c r="M6904">
        <v>25.511199999999999</v>
      </c>
    </row>
    <row r="6905" spans="1:13" x14ac:dyDescent="0.3">
      <c r="A6905" t="s">
        <v>13</v>
      </c>
      <c r="B6905" t="s">
        <v>14</v>
      </c>
      <c r="C6905" t="s">
        <v>15</v>
      </c>
      <c r="D6905" t="s">
        <v>52</v>
      </c>
      <c r="E6905" t="s">
        <v>24</v>
      </c>
      <c r="F6905">
        <v>94109</v>
      </c>
      <c r="G6905" t="s">
        <v>25</v>
      </c>
      <c r="H6905" t="s">
        <v>26</v>
      </c>
      <c r="I6905" t="s">
        <v>32</v>
      </c>
      <c r="J6905">
        <v>186.54</v>
      </c>
      <c r="K6905">
        <v>3</v>
      </c>
      <c r="L6905">
        <v>0</v>
      </c>
      <c r="M6905">
        <v>50.3658</v>
      </c>
    </row>
    <row r="6906" spans="1:13" x14ac:dyDescent="0.3">
      <c r="A6906" t="s">
        <v>13</v>
      </c>
      <c r="B6906" t="s">
        <v>22</v>
      </c>
      <c r="C6906" t="s">
        <v>15</v>
      </c>
      <c r="D6906" t="s">
        <v>23</v>
      </c>
      <c r="E6906" t="s">
        <v>24</v>
      </c>
      <c r="F6906">
        <v>90049</v>
      </c>
      <c r="G6906" t="s">
        <v>25</v>
      </c>
      <c r="H6906" t="s">
        <v>35</v>
      </c>
      <c r="I6906" t="s">
        <v>59</v>
      </c>
      <c r="J6906">
        <v>159.56</v>
      </c>
      <c r="K6906">
        <v>4</v>
      </c>
      <c r="L6906">
        <v>0</v>
      </c>
      <c r="M6906">
        <v>59.037199999999999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579</v>
      </c>
      <c r="E6907" t="s">
        <v>30</v>
      </c>
      <c r="F6907">
        <v>33407</v>
      </c>
      <c r="G6907" t="s">
        <v>18</v>
      </c>
      <c r="H6907" t="s">
        <v>35</v>
      </c>
      <c r="I6907" t="s">
        <v>36</v>
      </c>
      <c r="J6907">
        <v>55.984000000000002</v>
      </c>
      <c r="K6907">
        <v>2</v>
      </c>
      <c r="L6907">
        <v>0.2</v>
      </c>
      <c r="M6907">
        <v>4.1988000000000003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32</v>
      </c>
      <c r="J6908">
        <v>132.16</v>
      </c>
      <c r="K6908">
        <v>1</v>
      </c>
      <c r="L6908">
        <v>0.2</v>
      </c>
      <c r="M6908">
        <v>9.9120000000000008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37</v>
      </c>
      <c r="J6909">
        <v>17.904</v>
      </c>
      <c r="K6909">
        <v>6</v>
      </c>
      <c r="L6909">
        <v>0.8</v>
      </c>
      <c r="M6909">
        <v>-31.332000000000001</v>
      </c>
    </row>
    <row r="6910" spans="1:13" x14ac:dyDescent="0.3">
      <c r="A6910" t="s">
        <v>28</v>
      </c>
      <c r="B6910" t="s">
        <v>14</v>
      </c>
      <c r="C6910" t="s">
        <v>15</v>
      </c>
      <c r="D6910" t="s">
        <v>79</v>
      </c>
      <c r="E6910" t="s">
        <v>65</v>
      </c>
      <c r="F6910">
        <v>60623</v>
      </c>
      <c r="G6910" t="s">
        <v>47</v>
      </c>
      <c r="H6910" t="s">
        <v>26</v>
      </c>
      <c r="I6910" t="s">
        <v>41</v>
      </c>
      <c r="J6910">
        <v>124.032</v>
      </c>
      <c r="K6910">
        <v>4</v>
      </c>
      <c r="L6910">
        <v>0.2</v>
      </c>
      <c r="M6910">
        <v>44.961599999999997</v>
      </c>
    </row>
    <row r="6911" spans="1:13" x14ac:dyDescent="0.3">
      <c r="A6911" t="s">
        <v>28</v>
      </c>
      <c r="B6911" t="s">
        <v>22</v>
      </c>
      <c r="C6911" t="s">
        <v>15</v>
      </c>
      <c r="D6911" t="s">
        <v>390</v>
      </c>
      <c r="E6911" t="s">
        <v>24</v>
      </c>
      <c r="F6911">
        <v>95823</v>
      </c>
      <c r="G6911" t="s">
        <v>25</v>
      </c>
      <c r="H6911" t="s">
        <v>19</v>
      </c>
      <c r="I6911" t="s">
        <v>21</v>
      </c>
      <c r="J6911">
        <v>1403.92</v>
      </c>
      <c r="K6911">
        <v>5</v>
      </c>
      <c r="L6911">
        <v>0.2</v>
      </c>
      <c r="M6911">
        <v>70.195999999999998</v>
      </c>
    </row>
    <row r="6912" spans="1:13" x14ac:dyDescent="0.3">
      <c r="A6912" t="s">
        <v>13</v>
      </c>
      <c r="B6912" t="s">
        <v>14</v>
      </c>
      <c r="C6912" t="s">
        <v>15</v>
      </c>
      <c r="D6912" t="s">
        <v>42</v>
      </c>
      <c r="E6912" t="s">
        <v>43</v>
      </c>
      <c r="F6912">
        <v>98115</v>
      </c>
      <c r="G6912" t="s">
        <v>25</v>
      </c>
      <c r="H6912" t="s">
        <v>26</v>
      </c>
      <c r="I6912" t="s">
        <v>110</v>
      </c>
      <c r="J6912">
        <v>28.8</v>
      </c>
      <c r="K6912">
        <v>3</v>
      </c>
      <c r="L6912">
        <v>0</v>
      </c>
      <c r="M6912">
        <v>0.86399999999999999</v>
      </c>
    </row>
    <row r="6913" spans="1:13" x14ac:dyDescent="0.3">
      <c r="A6913" t="s">
        <v>28</v>
      </c>
      <c r="B6913" t="s">
        <v>22</v>
      </c>
      <c r="C6913" t="s">
        <v>15</v>
      </c>
      <c r="D6913" t="s">
        <v>55</v>
      </c>
      <c r="E6913" t="s">
        <v>56</v>
      </c>
      <c r="F6913">
        <v>19143</v>
      </c>
      <c r="G6913" t="s">
        <v>57</v>
      </c>
      <c r="H6913" t="s">
        <v>26</v>
      </c>
      <c r="I6913" t="s">
        <v>37</v>
      </c>
      <c r="J6913">
        <v>24.588000000000001</v>
      </c>
      <c r="K6913">
        <v>2</v>
      </c>
      <c r="L6913">
        <v>0.7</v>
      </c>
      <c r="M6913">
        <v>-18.031199999999998</v>
      </c>
    </row>
    <row r="6914" spans="1:13" x14ac:dyDescent="0.3">
      <c r="A6914" t="s">
        <v>28</v>
      </c>
      <c r="B6914" t="s">
        <v>14</v>
      </c>
      <c r="C6914" t="s">
        <v>15</v>
      </c>
      <c r="D6914" t="s">
        <v>534</v>
      </c>
      <c r="E6914" t="s">
        <v>24</v>
      </c>
      <c r="F6914">
        <v>93101</v>
      </c>
      <c r="G6914" t="s">
        <v>25</v>
      </c>
      <c r="H6914" t="s">
        <v>26</v>
      </c>
      <c r="I6914" t="s">
        <v>38</v>
      </c>
      <c r="J6914">
        <v>356.79</v>
      </c>
      <c r="K6914">
        <v>7</v>
      </c>
      <c r="L6914">
        <v>0</v>
      </c>
      <c r="M6914">
        <v>99.901200000000003</v>
      </c>
    </row>
    <row r="6915" spans="1:13" x14ac:dyDescent="0.3">
      <c r="A6915" t="s">
        <v>28</v>
      </c>
      <c r="B6915" t="s">
        <v>44</v>
      </c>
      <c r="C6915" t="s">
        <v>15</v>
      </c>
      <c r="D6915" t="s">
        <v>75</v>
      </c>
      <c r="E6915" t="s">
        <v>76</v>
      </c>
      <c r="F6915">
        <v>10011</v>
      </c>
      <c r="G6915" t="s">
        <v>57</v>
      </c>
      <c r="H6915" t="s">
        <v>26</v>
      </c>
      <c r="I6915" t="s">
        <v>60</v>
      </c>
      <c r="J6915">
        <v>16.98</v>
      </c>
      <c r="K6915">
        <v>1</v>
      </c>
      <c r="L6915">
        <v>0</v>
      </c>
      <c r="M6915">
        <v>8.49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27</v>
      </c>
      <c r="J6916">
        <v>491.55</v>
      </c>
      <c r="K6916">
        <v>5</v>
      </c>
      <c r="L6916">
        <v>0</v>
      </c>
      <c r="M6916">
        <v>240.8595</v>
      </c>
    </row>
    <row r="6917" spans="1:13" x14ac:dyDescent="0.3">
      <c r="A6917" t="s">
        <v>13</v>
      </c>
      <c r="B6917" t="s">
        <v>14</v>
      </c>
      <c r="C6917" t="s">
        <v>15</v>
      </c>
      <c r="D6917" t="s">
        <v>190</v>
      </c>
      <c r="E6917" t="s">
        <v>88</v>
      </c>
      <c r="F6917">
        <v>36830</v>
      </c>
      <c r="G6917" t="s">
        <v>18</v>
      </c>
      <c r="H6917" t="s">
        <v>26</v>
      </c>
      <c r="I6917" t="s">
        <v>60</v>
      </c>
      <c r="J6917">
        <v>7.38</v>
      </c>
      <c r="K6917">
        <v>2</v>
      </c>
      <c r="L6917">
        <v>0</v>
      </c>
      <c r="M6917">
        <v>3.3948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26</v>
      </c>
      <c r="I6918" t="s">
        <v>41</v>
      </c>
      <c r="J6918">
        <v>23.66</v>
      </c>
      <c r="K6918">
        <v>7</v>
      </c>
      <c r="L6918">
        <v>0</v>
      </c>
      <c r="M6918">
        <v>10.883599999999999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75</v>
      </c>
      <c r="E6919" t="s">
        <v>76</v>
      </c>
      <c r="F6919">
        <v>10035</v>
      </c>
      <c r="G6919" t="s">
        <v>57</v>
      </c>
      <c r="H6919" t="s">
        <v>19</v>
      </c>
      <c r="I6919" t="s">
        <v>20</v>
      </c>
      <c r="J6919">
        <v>681.40800000000002</v>
      </c>
      <c r="K6919">
        <v>12</v>
      </c>
      <c r="L6919">
        <v>0.2</v>
      </c>
      <c r="M6919">
        <v>42.588000000000001</v>
      </c>
    </row>
    <row r="6920" spans="1:13" x14ac:dyDescent="0.3">
      <c r="A6920" t="s">
        <v>28</v>
      </c>
      <c r="B6920" t="s">
        <v>14</v>
      </c>
      <c r="C6920" t="s">
        <v>15</v>
      </c>
      <c r="D6920" t="s">
        <v>23</v>
      </c>
      <c r="E6920" t="s">
        <v>24</v>
      </c>
      <c r="F6920">
        <v>90032</v>
      </c>
      <c r="G6920" t="s">
        <v>25</v>
      </c>
      <c r="H6920" t="s">
        <v>26</v>
      </c>
      <c r="I6920" t="s">
        <v>27</v>
      </c>
      <c r="J6920">
        <v>18.899999999999999</v>
      </c>
      <c r="K6920">
        <v>3</v>
      </c>
      <c r="L6920">
        <v>0</v>
      </c>
      <c r="M6920">
        <v>8.6940000000000008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32</v>
      </c>
      <c r="J6921">
        <v>93.68</v>
      </c>
      <c r="K6921">
        <v>4</v>
      </c>
      <c r="L6921">
        <v>0</v>
      </c>
      <c r="M6921">
        <v>25.293600000000001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26</v>
      </c>
      <c r="I6922" t="s">
        <v>27</v>
      </c>
      <c r="J6922">
        <v>21.93</v>
      </c>
      <c r="K6922">
        <v>3</v>
      </c>
      <c r="L6922">
        <v>0</v>
      </c>
      <c r="M6922">
        <v>10.3071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35</v>
      </c>
      <c r="I6923" t="s">
        <v>36</v>
      </c>
      <c r="J6923">
        <v>862.34400000000005</v>
      </c>
      <c r="K6923">
        <v>7</v>
      </c>
      <c r="L6923">
        <v>0.2</v>
      </c>
      <c r="M6923">
        <v>97.0137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52</v>
      </c>
      <c r="E6924" t="s">
        <v>24</v>
      </c>
      <c r="F6924">
        <v>94109</v>
      </c>
      <c r="G6924" t="s">
        <v>25</v>
      </c>
      <c r="H6924" t="s">
        <v>26</v>
      </c>
      <c r="I6924" t="s">
        <v>41</v>
      </c>
      <c r="J6924">
        <v>19.98</v>
      </c>
      <c r="K6924">
        <v>1</v>
      </c>
      <c r="L6924">
        <v>0</v>
      </c>
      <c r="M6924">
        <v>9.3905999999999992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13.494</v>
      </c>
      <c r="K6925">
        <v>1</v>
      </c>
      <c r="L6925">
        <v>0.4</v>
      </c>
      <c r="M6925">
        <v>-2.2490000000000001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35</v>
      </c>
      <c r="I6926" t="s">
        <v>36</v>
      </c>
      <c r="J6926">
        <v>23.988</v>
      </c>
      <c r="K6926">
        <v>2</v>
      </c>
      <c r="L6926">
        <v>0.4</v>
      </c>
      <c r="M6926">
        <v>-13.993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19</v>
      </c>
      <c r="I6927" t="s">
        <v>33</v>
      </c>
      <c r="J6927">
        <v>31.984000000000002</v>
      </c>
      <c r="K6927">
        <v>2</v>
      </c>
      <c r="L6927">
        <v>0.2</v>
      </c>
      <c r="M6927">
        <v>1.1994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55</v>
      </c>
      <c r="E6928" t="s">
        <v>56</v>
      </c>
      <c r="F6928">
        <v>19140</v>
      </c>
      <c r="G6928" t="s">
        <v>57</v>
      </c>
      <c r="H6928" t="s">
        <v>26</v>
      </c>
      <c r="I6928" t="s">
        <v>34</v>
      </c>
      <c r="J6928">
        <v>41.584000000000003</v>
      </c>
      <c r="K6928">
        <v>2</v>
      </c>
      <c r="L6928">
        <v>0.2</v>
      </c>
      <c r="M6928">
        <v>4.6782000000000004</v>
      </c>
    </row>
    <row r="6929" spans="1:13" x14ac:dyDescent="0.3">
      <c r="A6929" t="s">
        <v>13</v>
      </c>
      <c r="B6929" t="s">
        <v>22</v>
      </c>
      <c r="C6929" t="s">
        <v>15</v>
      </c>
      <c r="D6929" t="s">
        <v>321</v>
      </c>
      <c r="E6929" t="s">
        <v>46</v>
      </c>
      <c r="F6929">
        <v>79907</v>
      </c>
      <c r="G6929" t="s">
        <v>47</v>
      </c>
      <c r="H6929" t="s">
        <v>35</v>
      </c>
      <c r="I6929" t="s">
        <v>59</v>
      </c>
      <c r="J6929">
        <v>95.975999999999999</v>
      </c>
      <c r="K6929">
        <v>3</v>
      </c>
      <c r="L6929">
        <v>0.2</v>
      </c>
      <c r="M6929">
        <v>-10.7973</v>
      </c>
    </row>
    <row r="6930" spans="1:13" x14ac:dyDescent="0.3">
      <c r="A6930" t="s">
        <v>62</v>
      </c>
      <c r="B6930" t="s">
        <v>44</v>
      </c>
      <c r="C6930" t="s">
        <v>15</v>
      </c>
      <c r="D6930" t="s">
        <v>79</v>
      </c>
      <c r="E6930" t="s">
        <v>65</v>
      </c>
      <c r="F6930">
        <v>60653</v>
      </c>
      <c r="G6930" t="s">
        <v>47</v>
      </c>
      <c r="H6930" t="s">
        <v>19</v>
      </c>
      <c r="I6930" t="s">
        <v>33</v>
      </c>
      <c r="J6930">
        <v>84.272000000000006</v>
      </c>
      <c r="K6930">
        <v>2</v>
      </c>
      <c r="L6930">
        <v>0.6</v>
      </c>
      <c r="M6930">
        <v>-75.844800000000006</v>
      </c>
    </row>
    <row r="6931" spans="1:13" x14ac:dyDescent="0.3">
      <c r="A6931" t="s">
        <v>168</v>
      </c>
      <c r="B6931" t="s">
        <v>14</v>
      </c>
      <c r="C6931" t="s">
        <v>15</v>
      </c>
      <c r="D6931" t="s">
        <v>321</v>
      </c>
      <c r="E6931" t="s">
        <v>46</v>
      </c>
      <c r="F6931">
        <v>79907</v>
      </c>
      <c r="G6931" t="s">
        <v>47</v>
      </c>
      <c r="H6931" t="s">
        <v>26</v>
      </c>
      <c r="I6931" t="s">
        <v>41</v>
      </c>
      <c r="J6931">
        <v>36.543999999999997</v>
      </c>
      <c r="K6931">
        <v>2</v>
      </c>
      <c r="L6931">
        <v>0.2</v>
      </c>
      <c r="M6931">
        <v>11.876799999999999</v>
      </c>
    </row>
    <row r="6932" spans="1:13" x14ac:dyDescent="0.3">
      <c r="A6932" t="s">
        <v>28</v>
      </c>
      <c r="B6932" t="s">
        <v>14</v>
      </c>
      <c r="C6932" t="s">
        <v>15</v>
      </c>
      <c r="D6932" t="s">
        <v>42</v>
      </c>
      <c r="E6932" t="s">
        <v>43</v>
      </c>
      <c r="F6932">
        <v>98105</v>
      </c>
      <c r="G6932" t="s">
        <v>25</v>
      </c>
      <c r="H6932" t="s">
        <v>35</v>
      </c>
      <c r="I6932" t="s">
        <v>59</v>
      </c>
      <c r="J6932">
        <v>479.72</v>
      </c>
      <c r="K6932">
        <v>4</v>
      </c>
      <c r="L6932">
        <v>0</v>
      </c>
      <c r="M6932">
        <v>52.769199999999998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37</v>
      </c>
      <c r="J6933">
        <v>102.36799999999999</v>
      </c>
      <c r="K6933">
        <v>2</v>
      </c>
      <c r="L6933">
        <v>0.2</v>
      </c>
      <c r="M6933">
        <v>37.108400000000003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110</v>
      </c>
      <c r="J6934">
        <v>28.4</v>
      </c>
      <c r="K6934">
        <v>5</v>
      </c>
      <c r="L6934">
        <v>0</v>
      </c>
      <c r="M6934">
        <v>8.2360000000000007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32</v>
      </c>
      <c r="J6935">
        <v>713.88</v>
      </c>
      <c r="K6935">
        <v>4</v>
      </c>
      <c r="L6935">
        <v>0</v>
      </c>
      <c r="M6935">
        <v>214.16399999999999</v>
      </c>
    </row>
    <row r="6936" spans="1:13" x14ac:dyDescent="0.3">
      <c r="A6936" t="s">
        <v>28</v>
      </c>
      <c r="B6936" t="s">
        <v>22</v>
      </c>
      <c r="C6936" t="s">
        <v>15</v>
      </c>
      <c r="D6936" t="s">
        <v>75</v>
      </c>
      <c r="E6936" t="s">
        <v>76</v>
      </c>
      <c r="F6936">
        <v>10009</v>
      </c>
      <c r="G6936" t="s">
        <v>57</v>
      </c>
      <c r="H6936" t="s">
        <v>26</v>
      </c>
      <c r="I6936" t="s">
        <v>41</v>
      </c>
      <c r="J6936">
        <v>68.52</v>
      </c>
      <c r="K6936">
        <v>3</v>
      </c>
      <c r="L6936">
        <v>0</v>
      </c>
      <c r="M6936">
        <v>31.519200000000001</v>
      </c>
    </row>
    <row r="6937" spans="1:13" x14ac:dyDescent="0.3">
      <c r="A6937" t="s">
        <v>28</v>
      </c>
      <c r="B6937" t="s">
        <v>14</v>
      </c>
      <c r="C6937" t="s">
        <v>15</v>
      </c>
      <c r="D6937" t="s">
        <v>23</v>
      </c>
      <c r="E6937" t="s">
        <v>24</v>
      </c>
      <c r="F6937">
        <v>90032</v>
      </c>
      <c r="G6937" t="s">
        <v>25</v>
      </c>
      <c r="H6937" t="s">
        <v>35</v>
      </c>
      <c r="I6937" t="s">
        <v>36</v>
      </c>
      <c r="J6937">
        <v>623.96</v>
      </c>
      <c r="K6937">
        <v>5</v>
      </c>
      <c r="L6937">
        <v>0.2</v>
      </c>
      <c r="M6937">
        <v>38.997500000000002</v>
      </c>
    </row>
    <row r="6938" spans="1:13" x14ac:dyDescent="0.3">
      <c r="A6938" t="s">
        <v>28</v>
      </c>
      <c r="B6938" t="s">
        <v>22</v>
      </c>
      <c r="C6938" t="s">
        <v>15</v>
      </c>
      <c r="D6938" t="s">
        <v>114</v>
      </c>
      <c r="E6938" t="s">
        <v>72</v>
      </c>
      <c r="F6938">
        <v>19711</v>
      </c>
      <c r="G6938" t="s">
        <v>57</v>
      </c>
      <c r="H6938" t="s">
        <v>26</v>
      </c>
      <c r="I6938" t="s">
        <v>37</v>
      </c>
      <c r="J6938">
        <v>11.12</v>
      </c>
      <c r="K6938">
        <v>4</v>
      </c>
      <c r="L6938">
        <v>0</v>
      </c>
      <c r="M6938">
        <v>5.4488000000000003</v>
      </c>
    </row>
    <row r="6939" spans="1:13" x14ac:dyDescent="0.3">
      <c r="A6939" t="s">
        <v>28</v>
      </c>
      <c r="B6939" t="s">
        <v>14</v>
      </c>
      <c r="C6939" t="s">
        <v>15</v>
      </c>
      <c r="D6939" t="s">
        <v>75</v>
      </c>
      <c r="E6939" t="s">
        <v>76</v>
      </c>
      <c r="F6939">
        <v>10011</v>
      </c>
      <c r="G6939" t="s">
        <v>57</v>
      </c>
      <c r="H6939" t="s">
        <v>19</v>
      </c>
      <c r="I6939" t="s">
        <v>20</v>
      </c>
      <c r="J6939">
        <v>523.91999999999996</v>
      </c>
      <c r="K6939">
        <v>5</v>
      </c>
      <c r="L6939">
        <v>0.2</v>
      </c>
      <c r="M6939">
        <v>-26.196000000000002</v>
      </c>
    </row>
    <row r="6940" spans="1:13" x14ac:dyDescent="0.3">
      <c r="A6940" t="s">
        <v>28</v>
      </c>
      <c r="B6940" t="s">
        <v>44</v>
      </c>
      <c r="C6940" t="s">
        <v>15</v>
      </c>
      <c r="D6940" t="s">
        <v>109</v>
      </c>
      <c r="E6940" t="s">
        <v>24</v>
      </c>
      <c r="F6940">
        <v>95661</v>
      </c>
      <c r="G6940" t="s">
        <v>25</v>
      </c>
      <c r="H6940" t="s">
        <v>26</v>
      </c>
      <c r="I6940" t="s">
        <v>77</v>
      </c>
      <c r="J6940">
        <v>2.48</v>
      </c>
      <c r="K6940">
        <v>2</v>
      </c>
      <c r="L6940">
        <v>0</v>
      </c>
      <c r="M6940">
        <v>1.1656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26</v>
      </c>
      <c r="I6941" t="s">
        <v>32</v>
      </c>
      <c r="J6941">
        <v>221.024</v>
      </c>
      <c r="K6941">
        <v>2</v>
      </c>
      <c r="L6941">
        <v>0.2</v>
      </c>
      <c r="M6941">
        <v>-55.256</v>
      </c>
    </row>
    <row r="6942" spans="1:13" x14ac:dyDescent="0.3">
      <c r="A6942" t="s">
        <v>28</v>
      </c>
      <c r="B6942" t="s">
        <v>14</v>
      </c>
      <c r="C6942" t="s">
        <v>15</v>
      </c>
      <c r="D6942" t="s">
        <v>97</v>
      </c>
      <c r="E6942" t="s">
        <v>65</v>
      </c>
      <c r="F6942">
        <v>60505</v>
      </c>
      <c r="G6942" t="s">
        <v>47</v>
      </c>
      <c r="H6942" t="s">
        <v>19</v>
      </c>
      <c r="I6942" t="s">
        <v>21</v>
      </c>
      <c r="J6942">
        <v>128.05799999999999</v>
      </c>
      <c r="K6942">
        <v>3</v>
      </c>
      <c r="L6942">
        <v>0.3</v>
      </c>
      <c r="M6942">
        <v>-23.7822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26</v>
      </c>
      <c r="I6943" t="s">
        <v>37</v>
      </c>
      <c r="J6943">
        <v>58.408000000000001</v>
      </c>
      <c r="K6943">
        <v>7</v>
      </c>
      <c r="L6943">
        <v>0.2</v>
      </c>
      <c r="M6943">
        <v>18.252500000000001</v>
      </c>
    </row>
    <row r="6944" spans="1:13" x14ac:dyDescent="0.3">
      <c r="A6944" t="s">
        <v>168</v>
      </c>
      <c r="B6944" t="s">
        <v>44</v>
      </c>
      <c r="C6944" t="s">
        <v>15</v>
      </c>
      <c r="D6944" t="s">
        <v>75</v>
      </c>
      <c r="E6944" t="s">
        <v>76</v>
      </c>
      <c r="F6944">
        <v>10011</v>
      </c>
      <c r="G6944" t="s">
        <v>57</v>
      </c>
      <c r="H6944" t="s">
        <v>19</v>
      </c>
      <c r="I6944" t="s">
        <v>31</v>
      </c>
      <c r="J6944">
        <v>79.974000000000004</v>
      </c>
      <c r="K6944">
        <v>3</v>
      </c>
      <c r="L6944">
        <v>0.4</v>
      </c>
      <c r="M6944">
        <v>-29.323799999999999</v>
      </c>
    </row>
    <row r="6945" spans="1:13" x14ac:dyDescent="0.3">
      <c r="A6945" t="s">
        <v>28</v>
      </c>
      <c r="B6945" t="s">
        <v>22</v>
      </c>
      <c r="C6945" t="s">
        <v>15</v>
      </c>
      <c r="D6945" t="s">
        <v>135</v>
      </c>
      <c r="E6945" t="s">
        <v>46</v>
      </c>
      <c r="F6945">
        <v>75217</v>
      </c>
      <c r="G6945" t="s">
        <v>47</v>
      </c>
      <c r="H6945" t="s">
        <v>35</v>
      </c>
      <c r="I6945" t="s">
        <v>123</v>
      </c>
      <c r="J6945">
        <v>479.988</v>
      </c>
      <c r="K6945">
        <v>2</v>
      </c>
      <c r="L6945">
        <v>0.4</v>
      </c>
      <c r="M6945">
        <v>55.998600000000003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11.808</v>
      </c>
      <c r="K6946">
        <v>3</v>
      </c>
      <c r="L6946">
        <v>0.2</v>
      </c>
      <c r="M6946">
        <v>4.1327999999999996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26</v>
      </c>
      <c r="I6947" t="s">
        <v>37</v>
      </c>
      <c r="J6947">
        <v>53.567999999999998</v>
      </c>
      <c r="K6947">
        <v>4</v>
      </c>
      <c r="L6947">
        <v>0.2</v>
      </c>
      <c r="M6947">
        <v>19.418399999999998</v>
      </c>
    </row>
    <row r="6948" spans="1:13" x14ac:dyDescent="0.3">
      <c r="A6948" t="s">
        <v>62</v>
      </c>
      <c r="B6948" t="s">
        <v>14</v>
      </c>
      <c r="C6948" t="s">
        <v>15</v>
      </c>
      <c r="D6948" t="s">
        <v>23</v>
      </c>
      <c r="E6948" t="s">
        <v>24</v>
      </c>
      <c r="F6948">
        <v>90008</v>
      </c>
      <c r="G6948" t="s">
        <v>25</v>
      </c>
      <c r="H6948" t="s">
        <v>35</v>
      </c>
      <c r="I6948" t="s">
        <v>36</v>
      </c>
      <c r="J6948">
        <v>503.96</v>
      </c>
      <c r="K6948">
        <v>5</v>
      </c>
      <c r="L6948">
        <v>0.2</v>
      </c>
      <c r="M6948">
        <v>50.396000000000001</v>
      </c>
    </row>
    <row r="6949" spans="1:13" x14ac:dyDescent="0.3">
      <c r="A6949" t="s">
        <v>28</v>
      </c>
      <c r="B6949" t="s">
        <v>22</v>
      </c>
      <c r="C6949" t="s">
        <v>15</v>
      </c>
      <c r="D6949" t="s">
        <v>23</v>
      </c>
      <c r="E6949" t="s">
        <v>24</v>
      </c>
      <c r="F6949">
        <v>90004</v>
      </c>
      <c r="G6949" t="s">
        <v>25</v>
      </c>
      <c r="H6949" t="s">
        <v>26</v>
      </c>
      <c r="I6949" t="s">
        <v>60</v>
      </c>
      <c r="J6949">
        <v>21.34</v>
      </c>
      <c r="K6949">
        <v>2</v>
      </c>
      <c r="L6949">
        <v>0</v>
      </c>
      <c r="M6949">
        <v>9.8163999999999998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26</v>
      </c>
      <c r="I6950" t="s">
        <v>37</v>
      </c>
      <c r="J6950">
        <v>36.4</v>
      </c>
      <c r="K6950">
        <v>5</v>
      </c>
      <c r="L6950">
        <v>0</v>
      </c>
      <c r="M6950">
        <v>17.108000000000001</v>
      </c>
    </row>
    <row r="6951" spans="1:13" x14ac:dyDescent="0.3">
      <c r="A6951" t="s">
        <v>28</v>
      </c>
      <c r="B6951" t="s">
        <v>14</v>
      </c>
      <c r="C6951" t="s">
        <v>15</v>
      </c>
      <c r="D6951" t="s">
        <v>103</v>
      </c>
      <c r="E6951" t="s">
        <v>167</v>
      </c>
      <c r="F6951">
        <v>31907</v>
      </c>
      <c r="G6951" t="s">
        <v>18</v>
      </c>
      <c r="H6951" t="s">
        <v>19</v>
      </c>
      <c r="I6951" t="s">
        <v>33</v>
      </c>
      <c r="J6951">
        <v>51.75</v>
      </c>
      <c r="K6951">
        <v>1</v>
      </c>
      <c r="L6951">
        <v>0</v>
      </c>
      <c r="M6951">
        <v>15.525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32</v>
      </c>
      <c r="J6952">
        <v>15.51</v>
      </c>
      <c r="K6952">
        <v>1</v>
      </c>
      <c r="L6952">
        <v>0</v>
      </c>
      <c r="M6952">
        <v>4.3428000000000004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146.82</v>
      </c>
      <c r="K6953">
        <v>3</v>
      </c>
      <c r="L6953">
        <v>0</v>
      </c>
      <c r="M6953">
        <v>73.41</v>
      </c>
    </row>
    <row r="6954" spans="1:13" x14ac:dyDescent="0.3">
      <c r="A6954" t="s">
        <v>13</v>
      </c>
      <c r="B6954" t="s">
        <v>44</v>
      </c>
      <c r="C6954" t="s">
        <v>15</v>
      </c>
      <c r="D6954" t="s">
        <v>52</v>
      </c>
      <c r="E6954" t="s">
        <v>24</v>
      </c>
      <c r="F6954">
        <v>94110</v>
      </c>
      <c r="G6954" t="s">
        <v>25</v>
      </c>
      <c r="H6954" t="s">
        <v>26</v>
      </c>
      <c r="I6954" t="s">
        <v>41</v>
      </c>
      <c r="J6954">
        <v>12.96</v>
      </c>
      <c r="K6954">
        <v>2</v>
      </c>
      <c r="L6954">
        <v>0</v>
      </c>
      <c r="M6954">
        <v>6.2207999999999997</v>
      </c>
    </row>
    <row r="6955" spans="1:13" x14ac:dyDescent="0.3">
      <c r="A6955" t="s">
        <v>168</v>
      </c>
      <c r="B6955" t="s">
        <v>44</v>
      </c>
      <c r="C6955" t="s">
        <v>15</v>
      </c>
      <c r="D6955" t="s">
        <v>254</v>
      </c>
      <c r="E6955" t="s">
        <v>24</v>
      </c>
      <c r="F6955">
        <v>92503</v>
      </c>
      <c r="G6955" t="s">
        <v>25</v>
      </c>
      <c r="H6955" t="s">
        <v>26</v>
      </c>
      <c r="I6955" t="s">
        <v>34</v>
      </c>
      <c r="J6955">
        <v>7.8</v>
      </c>
      <c r="K6955">
        <v>3</v>
      </c>
      <c r="L6955">
        <v>0</v>
      </c>
      <c r="M6955">
        <v>2.1059999999999999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60</v>
      </c>
      <c r="J6956">
        <v>10.199999999999999</v>
      </c>
      <c r="K6956">
        <v>5</v>
      </c>
      <c r="L6956">
        <v>0</v>
      </c>
      <c r="M6956">
        <v>4.7939999999999996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34</v>
      </c>
      <c r="J6957">
        <v>22.32</v>
      </c>
      <c r="K6957">
        <v>3</v>
      </c>
      <c r="L6957">
        <v>0</v>
      </c>
      <c r="M6957">
        <v>5.58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26</v>
      </c>
      <c r="I6958" t="s">
        <v>37</v>
      </c>
      <c r="J6958">
        <v>24.1</v>
      </c>
      <c r="K6958">
        <v>5</v>
      </c>
      <c r="L6958">
        <v>0</v>
      </c>
      <c r="M6958">
        <v>11.086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35</v>
      </c>
      <c r="I6959" t="s">
        <v>59</v>
      </c>
      <c r="J6959">
        <v>75.98</v>
      </c>
      <c r="K6959">
        <v>2</v>
      </c>
      <c r="L6959">
        <v>0</v>
      </c>
      <c r="M6959">
        <v>18.235199999999999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37</v>
      </c>
      <c r="J6960">
        <v>6.46</v>
      </c>
      <c r="K6960">
        <v>2</v>
      </c>
      <c r="L6960">
        <v>0</v>
      </c>
      <c r="M6960">
        <v>3.1654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90</v>
      </c>
      <c r="E6961" t="s">
        <v>91</v>
      </c>
      <c r="F6961">
        <v>29203</v>
      </c>
      <c r="G6961" t="s">
        <v>18</v>
      </c>
      <c r="H6961" t="s">
        <v>26</v>
      </c>
      <c r="I6961" t="s">
        <v>41</v>
      </c>
      <c r="J6961">
        <v>60.12</v>
      </c>
      <c r="K6961">
        <v>9</v>
      </c>
      <c r="L6961">
        <v>0</v>
      </c>
      <c r="M6961">
        <v>28.857600000000001</v>
      </c>
    </row>
    <row r="6962" spans="1:13" x14ac:dyDescent="0.3">
      <c r="A6962" t="s">
        <v>13</v>
      </c>
      <c r="B6962" t="s">
        <v>22</v>
      </c>
      <c r="C6962" t="s">
        <v>15</v>
      </c>
      <c r="D6962" t="s">
        <v>75</v>
      </c>
      <c r="E6962" t="s">
        <v>76</v>
      </c>
      <c r="F6962">
        <v>10011</v>
      </c>
      <c r="G6962" t="s">
        <v>57</v>
      </c>
      <c r="H6962" t="s">
        <v>35</v>
      </c>
      <c r="I6962" t="s">
        <v>36</v>
      </c>
      <c r="J6962">
        <v>824.97</v>
      </c>
      <c r="K6962">
        <v>3</v>
      </c>
      <c r="L6962">
        <v>0</v>
      </c>
      <c r="M6962">
        <v>214.4922</v>
      </c>
    </row>
    <row r="6963" spans="1:13" x14ac:dyDescent="0.3">
      <c r="A6963" t="s">
        <v>13</v>
      </c>
      <c r="B6963" t="s">
        <v>14</v>
      </c>
      <c r="C6963" t="s">
        <v>15</v>
      </c>
      <c r="D6963" t="s">
        <v>560</v>
      </c>
      <c r="E6963" t="s">
        <v>43</v>
      </c>
      <c r="F6963">
        <v>98632</v>
      </c>
      <c r="G6963" t="s">
        <v>25</v>
      </c>
      <c r="H6963" t="s">
        <v>19</v>
      </c>
      <c r="I6963" t="s">
        <v>33</v>
      </c>
      <c r="J6963">
        <v>24.85</v>
      </c>
      <c r="K6963">
        <v>5</v>
      </c>
      <c r="L6963">
        <v>0</v>
      </c>
      <c r="M6963">
        <v>7.7035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26</v>
      </c>
      <c r="I6964" t="s">
        <v>32</v>
      </c>
      <c r="J6964">
        <v>12.624000000000001</v>
      </c>
      <c r="K6964">
        <v>2</v>
      </c>
      <c r="L6964">
        <v>0.2</v>
      </c>
      <c r="M6964">
        <v>-2.5247999999999999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59</v>
      </c>
      <c r="J6965">
        <v>89.584000000000003</v>
      </c>
      <c r="K6965">
        <v>2</v>
      </c>
      <c r="L6965">
        <v>0.2</v>
      </c>
      <c r="M6965">
        <v>4.4791999999999996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35</v>
      </c>
      <c r="I6966" t="s">
        <v>36</v>
      </c>
      <c r="J6966">
        <v>471.92</v>
      </c>
      <c r="K6966">
        <v>2</v>
      </c>
      <c r="L6966">
        <v>0.2</v>
      </c>
      <c r="M6966">
        <v>29.495000000000001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108</v>
      </c>
      <c r="E6967" t="s">
        <v>81</v>
      </c>
      <c r="F6967">
        <v>85023</v>
      </c>
      <c r="G6967" t="s">
        <v>25</v>
      </c>
      <c r="H6967" t="s">
        <v>26</v>
      </c>
      <c r="I6967" t="s">
        <v>37</v>
      </c>
      <c r="J6967">
        <v>18.18</v>
      </c>
      <c r="K6967">
        <v>4</v>
      </c>
      <c r="L6967">
        <v>0.7</v>
      </c>
      <c r="M6967">
        <v>-13.938000000000001</v>
      </c>
    </row>
    <row r="6968" spans="1:13" x14ac:dyDescent="0.3">
      <c r="A6968" t="s">
        <v>28</v>
      </c>
      <c r="B6968" t="s">
        <v>14</v>
      </c>
      <c r="C6968" t="s">
        <v>15</v>
      </c>
      <c r="D6968" t="s">
        <v>61</v>
      </c>
      <c r="E6968" t="s">
        <v>46</v>
      </c>
      <c r="F6968">
        <v>77095</v>
      </c>
      <c r="G6968" t="s">
        <v>47</v>
      </c>
      <c r="H6968" t="s">
        <v>26</v>
      </c>
      <c r="I6968" t="s">
        <v>34</v>
      </c>
      <c r="J6968">
        <v>31.744</v>
      </c>
      <c r="K6968">
        <v>2</v>
      </c>
      <c r="L6968">
        <v>0.2</v>
      </c>
      <c r="M6968">
        <v>8.3328000000000007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26</v>
      </c>
      <c r="I6969" t="s">
        <v>27</v>
      </c>
      <c r="J6969">
        <v>5.9039999999999999</v>
      </c>
      <c r="K6969">
        <v>2</v>
      </c>
      <c r="L6969">
        <v>0.2</v>
      </c>
      <c r="M6969">
        <v>1.9925999999999999</v>
      </c>
    </row>
    <row r="6970" spans="1:13" x14ac:dyDescent="0.3">
      <c r="A6970" t="s">
        <v>28</v>
      </c>
      <c r="B6970" t="s">
        <v>22</v>
      </c>
      <c r="C6970" t="s">
        <v>15</v>
      </c>
      <c r="D6970" t="s">
        <v>80</v>
      </c>
      <c r="E6970" t="s">
        <v>81</v>
      </c>
      <c r="F6970">
        <v>85234</v>
      </c>
      <c r="G6970" t="s">
        <v>25</v>
      </c>
      <c r="H6970" t="s">
        <v>19</v>
      </c>
      <c r="I6970" t="s">
        <v>33</v>
      </c>
      <c r="J6970">
        <v>621.76</v>
      </c>
      <c r="K6970">
        <v>4</v>
      </c>
      <c r="L6970">
        <v>0.2</v>
      </c>
      <c r="M6970">
        <v>46.631999999999998</v>
      </c>
    </row>
    <row r="6971" spans="1:13" x14ac:dyDescent="0.3">
      <c r="A6971" t="s">
        <v>62</v>
      </c>
      <c r="B6971" t="s">
        <v>14</v>
      </c>
      <c r="C6971" t="s">
        <v>15</v>
      </c>
      <c r="D6971" t="s">
        <v>271</v>
      </c>
      <c r="E6971" t="s">
        <v>197</v>
      </c>
      <c r="F6971">
        <v>72401</v>
      </c>
      <c r="G6971" t="s">
        <v>18</v>
      </c>
      <c r="H6971" t="s">
        <v>35</v>
      </c>
      <c r="I6971" t="s">
        <v>36</v>
      </c>
      <c r="J6971">
        <v>59.98</v>
      </c>
      <c r="K6971">
        <v>2</v>
      </c>
      <c r="L6971">
        <v>0</v>
      </c>
      <c r="M6971">
        <v>17.994</v>
      </c>
    </row>
    <row r="6972" spans="1:13" x14ac:dyDescent="0.3">
      <c r="A6972" t="s">
        <v>13</v>
      </c>
      <c r="B6972" t="s">
        <v>14</v>
      </c>
      <c r="C6972" t="s">
        <v>15</v>
      </c>
      <c r="D6972" t="s">
        <v>200</v>
      </c>
      <c r="E6972" t="s">
        <v>167</v>
      </c>
      <c r="F6972">
        <v>30318</v>
      </c>
      <c r="G6972" t="s">
        <v>18</v>
      </c>
      <c r="H6972" t="s">
        <v>26</v>
      </c>
      <c r="I6972" t="s">
        <v>41</v>
      </c>
      <c r="J6972">
        <v>48.87</v>
      </c>
      <c r="K6972">
        <v>9</v>
      </c>
      <c r="L6972">
        <v>0</v>
      </c>
      <c r="M6972">
        <v>23.946300000000001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23</v>
      </c>
      <c r="E6973" t="s">
        <v>24</v>
      </c>
      <c r="F6973">
        <v>90036</v>
      </c>
      <c r="G6973" t="s">
        <v>25</v>
      </c>
      <c r="H6973" t="s">
        <v>26</v>
      </c>
      <c r="I6973" t="s">
        <v>41</v>
      </c>
      <c r="J6973">
        <v>154.9</v>
      </c>
      <c r="K6973">
        <v>5</v>
      </c>
      <c r="L6973">
        <v>0</v>
      </c>
      <c r="M6973">
        <v>69.704999999999998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77</v>
      </c>
      <c r="J6974">
        <v>5.92</v>
      </c>
      <c r="K6974">
        <v>4</v>
      </c>
      <c r="L6974">
        <v>0</v>
      </c>
      <c r="M6974">
        <v>2.8416000000000001</v>
      </c>
    </row>
    <row r="6975" spans="1:13" x14ac:dyDescent="0.3">
      <c r="A6975" t="s">
        <v>62</v>
      </c>
      <c r="B6975" t="s">
        <v>22</v>
      </c>
      <c r="C6975" t="s">
        <v>15</v>
      </c>
      <c r="D6975" t="s">
        <v>75</v>
      </c>
      <c r="E6975" t="s">
        <v>76</v>
      </c>
      <c r="F6975">
        <v>10024</v>
      </c>
      <c r="G6975" t="s">
        <v>57</v>
      </c>
      <c r="H6975" t="s">
        <v>26</v>
      </c>
      <c r="I6975" t="s">
        <v>41</v>
      </c>
      <c r="J6975">
        <v>30.18</v>
      </c>
      <c r="K6975">
        <v>3</v>
      </c>
      <c r="L6975">
        <v>0</v>
      </c>
      <c r="M6975">
        <v>13.8828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26</v>
      </c>
      <c r="I6976" t="s">
        <v>37</v>
      </c>
      <c r="J6976">
        <v>24.1</v>
      </c>
      <c r="K6976">
        <v>5</v>
      </c>
      <c r="L6976">
        <v>0</v>
      </c>
      <c r="M6976">
        <v>11.086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35</v>
      </c>
      <c r="I6977" t="s">
        <v>36</v>
      </c>
      <c r="J6977">
        <v>8.7799999999999994</v>
      </c>
      <c r="K6977">
        <v>1</v>
      </c>
      <c r="L6977">
        <v>0</v>
      </c>
      <c r="M6977">
        <v>2.2827999999999999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38</v>
      </c>
      <c r="J6978">
        <v>376.74</v>
      </c>
      <c r="K6978">
        <v>4</v>
      </c>
      <c r="L6978">
        <v>0.1</v>
      </c>
      <c r="M6978">
        <v>71.162000000000006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37</v>
      </c>
      <c r="J6979">
        <v>29.52</v>
      </c>
      <c r="K6979">
        <v>4</v>
      </c>
      <c r="L6979">
        <v>0</v>
      </c>
      <c r="M6979">
        <v>14.4648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34</v>
      </c>
      <c r="J6980">
        <v>11.96</v>
      </c>
      <c r="K6980">
        <v>2</v>
      </c>
      <c r="L6980">
        <v>0</v>
      </c>
      <c r="M6980">
        <v>2.99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140</v>
      </c>
      <c r="E6981" t="s">
        <v>70</v>
      </c>
      <c r="F6981">
        <v>48227</v>
      </c>
      <c r="G6981" t="s">
        <v>47</v>
      </c>
      <c r="H6981" t="s">
        <v>26</v>
      </c>
      <c r="I6981" t="s">
        <v>37</v>
      </c>
      <c r="J6981">
        <v>26.4</v>
      </c>
      <c r="K6981">
        <v>5</v>
      </c>
      <c r="L6981">
        <v>0</v>
      </c>
      <c r="M6981">
        <v>12.672000000000001</v>
      </c>
    </row>
    <row r="6982" spans="1:13" x14ac:dyDescent="0.3">
      <c r="A6982" t="s">
        <v>13</v>
      </c>
      <c r="B6982" t="s">
        <v>22</v>
      </c>
      <c r="C6982" t="s">
        <v>15</v>
      </c>
      <c r="D6982" t="s">
        <v>29</v>
      </c>
      <c r="E6982" t="s">
        <v>30</v>
      </c>
      <c r="F6982">
        <v>33311</v>
      </c>
      <c r="G6982" t="s">
        <v>18</v>
      </c>
      <c r="H6982" t="s">
        <v>26</v>
      </c>
      <c r="I6982" t="s">
        <v>38</v>
      </c>
      <c r="J6982">
        <v>1158.1199999999999</v>
      </c>
      <c r="K6982">
        <v>5</v>
      </c>
      <c r="L6982">
        <v>0.2</v>
      </c>
      <c r="M6982">
        <v>130.2885</v>
      </c>
    </row>
    <row r="6983" spans="1:13" x14ac:dyDescent="0.3">
      <c r="A6983" t="s">
        <v>62</v>
      </c>
      <c r="B6983" t="s">
        <v>14</v>
      </c>
      <c r="C6983" t="s">
        <v>15</v>
      </c>
      <c r="D6983" t="s">
        <v>580</v>
      </c>
      <c r="E6983" t="s">
        <v>46</v>
      </c>
      <c r="F6983">
        <v>79605</v>
      </c>
      <c r="G6983" t="s">
        <v>47</v>
      </c>
      <c r="H6983" t="s">
        <v>26</v>
      </c>
      <c r="I6983" t="s">
        <v>38</v>
      </c>
      <c r="J6983">
        <v>1.3919999999999999</v>
      </c>
      <c r="K6983">
        <v>2</v>
      </c>
      <c r="L6983">
        <v>0.8</v>
      </c>
      <c r="M6983">
        <v>-3.7584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26</v>
      </c>
      <c r="I6984" t="s">
        <v>38</v>
      </c>
      <c r="J6984">
        <v>44.43</v>
      </c>
      <c r="K6984">
        <v>3</v>
      </c>
      <c r="L6984">
        <v>0</v>
      </c>
      <c r="M6984">
        <v>18.660599999999999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35</v>
      </c>
      <c r="I6985" t="s">
        <v>36</v>
      </c>
      <c r="J6985">
        <v>226.2</v>
      </c>
      <c r="K6985">
        <v>5</v>
      </c>
      <c r="L6985">
        <v>0</v>
      </c>
      <c r="M6985">
        <v>58.811999999999998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19</v>
      </c>
      <c r="I6986" t="s">
        <v>33</v>
      </c>
      <c r="J6986">
        <v>186.54</v>
      </c>
      <c r="K6986">
        <v>3</v>
      </c>
      <c r="L6986">
        <v>0</v>
      </c>
      <c r="M6986">
        <v>41.038800000000002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265.86</v>
      </c>
      <c r="K6987">
        <v>7</v>
      </c>
      <c r="L6987">
        <v>0</v>
      </c>
      <c r="M6987">
        <v>79.757999999999996</v>
      </c>
    </row>
    <row r="6988" spans="1:13" x14ac:dyDescent="0.3">
      <c r="A6988" t="s">
        <v>13</v>
      </c>
      <c r="B6988" t="s">
        <v>14</v>
      </c>
      <c r="C6988" t="s">
        <v>15</v>
      </c>
      <c r="D6988" t="s">
        <v>500</v>
      </c>
      <c r="E6988" t="s">
        <v>83</v>
      </c>
      <c r="F6988">
        <v>23666</v>
      </c>
      <c r="G6988" t="s">
        <v>18</v>
      </c>
      <c r="H6988" t="s">
        <v>26</v>
      </c>
      <c r="I6988" t="s">
        <v>34</v>
      </c>
      <c r="J6988">
        <v>27.9</v>
      </c>
      <c r="K6988">
        <v>5</v>
      </c>
      <c r="L6988">
        <v>0</v>
      </c>
      <c r="M6988">
        <v>6.9749999999999996</v>
      </c>
    </row>
    <row r="6989" spans="1:13" x14ac:dyDescent="0.3">
      <c r="A6989" t="s">
        <v>28</v>
      </c>
      <c r="B6989" t="s">
        <v>22</v>
      </c>
      <c r="C6989" t="s">
        <v>15</v>
      </c>
      <c r="D6989" t="s">
        <v>176</v>
      </c>
      <c r="E6989" t="s">
        <v>177</v>
      </c>
      <c r="F6989">
        <v>89115</v>
      </c>
      <c r="G6989" t="s">
        <v>25</v>
      </c>
      <c r="H6989" t="s">
        <v>26</v>
      </c>
      <c r="I6989" t="s">
        <v>38</v>
      </c>
      <c r="J6989">
        <v>31.08</v>
      </c>
      <c r="K6989">
        <v>4</v>
      </c>
      <c r="L6989">
        <v>0</v>
      </c>
      <c r="M6989">
        <v>8.3916000000000004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37</v>
      </c>
      <c r="J6990">
        <v>13.84</v>
      </c>
      <c r="K6990">
        <v>4</v>
      </c>
      <c r="L6990">
        <v>0.8</v>
      </c>
      <c r="M6990">
        <v>-22.143999999999998</v>
      </c>
    </row>
    <row r="6991" spans="1:13" x14ac:dyDescent="0.3">
      <c r="A6991" t="s">
        <v>13</v>
      </c>
      <c r="B6991" t="s">
        <v>22</v>
      </c>
      <c r="C6991" t="s">
        <v>15</v>
      </c>
      <c r="D6991" t="s">
        <v>264</v>
      </c>
      <c r="E6991" t="s">
        <v>65</v>
      </c>
      <c r="F6991">
        <v>61107</v>
      </c>
      <c r="G6991" t="s">
        <v>47</v>
      </c>
      <c r="H6991" t="s">
        <v>26</v>
      </c>
      <c r="I6991" t="s">
        <v>41</v>
      </c>
      <c r="J6991">
        <v>175.87200000000001</v>
      </c>
      <c r="K6991">
        <v>4</v>
      </c>
      <c r="L6991">
        <v>0.2</v>
      </c>
      <c r="M6991">
        <v>63.753599999999999</v>
      </c>
    </row>
    <row r="6992" spans="1:13" x14ac:dyDescent="0.3">
      <c r="A6992" t="s">
        <v>28</v>
      </c>
      <c r="B6992" t="s">
        <v>44</v>
      </c>
      <c r="C6992" t="s">
        <v>15</v>
      </c>
      <c r="D6992" t="s">
        <v>314</v>
      </c>
      <c r="E6992" t="s">
        <v>24</v>
      </c>
      <c r="F6992">
        <v>92677</v>
      </c>
      <c r="G6992" t="s">
        <v>25</v>
      </c>
      <c r="H6992" t="s">
        <v>26</v>
      </c>
      <c r="I6992" t="s">
        <v>41</v>
      </c>
      <c r="J6992">
        <v>12.96</v>
      </c>
      <c r="K6992">
        <v>2</v>
      </c>
      <c r="L6992">
        <v>0</v>
      </c>
      <c r="M6992">
        <v>6.3503999999999996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38</v>
      </c>
      <c r="J6993">
        <v>208.44</v>
      </c>
      <c r="K6993">
        <v>3</v>
      </c>
      <c r="L6993">
        <v>0</v>
      </c>
      <c r="M6993">
        <v>62.531999999999996</v>
      </c>
    </row>
    <row r="6994" spans="1:13" x14ac:dyDescent="0.3">
      <c r="A6994" t="s">
        <v>62</v>
      </c>
      <c r="B6994" t="s">
        <v>22</v>
      </c>
      <c r="C6994" t="s">
        <v>15</v>
      </c>
      <c r="D6994" t="s">
        <v>183</v>
      </c>
      <c r="E6994" t="s">
        <v>17</v>
      </c>
      <c r="F6994">
        <v>40214</v>
      </c>
      <c r="G6994" t="s">
        <v>18</v>
      </c>
      <c r="H6994" t="s">
        <v>26</v>
      </c>
      <c r="I6994" t="s">
        <v>110</v>
      </c>
      <c r="J6994">
        <v>25.76</v>
      </c>
      <c r="K6994">
        <v>2</v>
      </c>
      <c r="L6994">
        <v>0</v>
      </c>
      <c r="M6994">
        <v>0.77280000000000004</v>
      </c>
    </row>
    <row r="6995" spans="1:13" x14ac:dyDescent="0.3">
      <c r="A6995" t="s">
        <v>28</v>
      </c>
      <c r="B6995" t="s">
        <v>44</v>
      </c>
      <c r="C6995" t="s">
        <v>15</v>
      </c>
      <c r="D6995" t="s">
        <v>581</v>
      </c>
      <c r="E6995" t="s">
        <v>65</v>
      </c>
      <c r="F6995">
        <v>61761</v>
      </c>
      <c r="G6995" t="s">
        <v>47</v>
      </c>
      <c r="H6995" t="s">
        <v>19</v>
      </c>
      <c r="I6995" t="s">
        <v>21</v>
      </c>
      <c r="J6995">
        <v>366.74400000000003</v>
      </c>
      <c r="K6995">
        <v>4</v>
      </c>
      <c r="L6995">
        <v>0.3</v>
      </c>
      <c r="M6995">
        <v>-110.0232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19</v>
      </c>
      <c r="I6996" t="s">
        <v>33</v>
      </c>
      <c r="J6996">
        <v>289.24</v>
      </c>
      <c r="K6996">
        <v>7</v>
      </c>
      <c r="L6996">
        <v>0</v>
      </c>
      <c r="M6996">
        <v>26.031600000000001</v>
      </c>
    </row>
    <row r="6997" spans="1:13" x14ac:dyDescent="0.3">
      <c r="A6997" t="s">
        <v>13</v>
      </c>
      <c r="B6997" t="s">
        <v>22</v>
      </c>
      <c r="C6997" t="s">
        <v>15</v>
      </c>
      <c r="D6997" t="s">
        <v>23</v>
      </c>
      <c r="E6997" t="s">
        <v>24</v>
      </c>
      <c r="F6997">
        <v>90045</v>
      </c>
      <c r="G6997" t="s">
        <v>25</v>
      </c>
      <c r="H6997" t="s">
        <v>26</v>
      </c>
      <c r="I6997" t="s">
        <v>37</v>
      </c>
      <c r="J6997">
        <v>69.456000000000003</v>
      </c>
      <c r="K6997">
        <v>2</v>
      </c>
      <c r="L6997">
        <v>0.2</v>
      </c>
      <c r="M6997">
        <v>22.5732</v>
      </c>
    </row>
    <row r="6998" spans="1:13" x14ac:dyDescent="0.3">
      <c r="A6998" t="s">
        <v>28</v>
      </c>
      <c r="B6998" t="s">
        <v>22</v>
      </c>
      <c r="C6998" t="s">
        <v>15</v>
      </c>
      <c r="D6998" t="s">
        <v>486</v>
      </c>
      <c r="E6998" t="s">
        <v>46</v>
      </c>
      <c r="F6998">
        <v>77642</v>
      </c>
      <c r="G6998" t="s">
        <v>47</v>
      </c>
      <c r="H6998" t="s">
        <v>26</v>
      </c>
      <c r="I6998" t="s">
        <v>41</v>
      </c>
      <c r="J6998">
        <v>5.1840000000000002</v>
      </c>
      <c r="K6998">
        <v>1</v>
      </c>
      <c r="L6998">
        <v>0.2</v>
      </c>
      <c r="M6998">
        <v>1.8144</v>
      </c>
    </row>
    <row r="6999" spans="1:13" x14ac:dyDescent="0.3">
      <c r="A6999" t="s">
        <v>28</v>
      </c>
      <c r="B6999" t="s">
        <v>14</v>
      </c>
      <c r="C6999" t="s">
        <v>15</v>
      </c>
      <c r="D6999" t="s">
        <v>75</v>
      </c>
      <c r="E6999" t="s">
        <v>76</v>
      </c>
      <c r="F6999">
        <v>10009</v>
      </c>
      <c r="G6999" t="s">
        <v>57</v>
      </c>
      <c r="H6999" t="s">
        <v>19</v>
      </c>
      <c r="I6999" t="s">
        <v>21</v>
      </c>
      <c r="J6999">
        <v>205.16399999999999</v>
      </c>
      <c r="K6999">
        <v>2</v>
      </c>
      <c r="L6999">
        <v>0.1</v>
      </c>
      <c r="M6999">
        <v>13.6776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79</v>
      </c>
      <c r="E7000" t="s">
        <v>65</v>
      </c>
      <c r="F7000">
        <v>60623</v>
      </c>
      <c r="G7000" t="s">
        <v>47</v>
      </c>
      <c r="H7000" t="s">
        <v>19</v>
      </c>
      <c r="I7000" t="s">
        <v>33</v>
      </c>
      <c r="J7000">
        <v>8.5440000000000005</v>
      </c>
      <c r="K7000">
        <v>2</v>
      </c>
      <c r="L7000">
        <v>0.6</v>
      </c>
      <c r="M7000">
        <v>-7.476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26</v>
      </c>
      <c r="I7001" t="s">
        <v>37</v>
      </c>
      <c r="J7001">
        <v>12.827999999999999</v>
      </c>
      <c r="K7001">
        <v>2</v>
      </c>
      <c r="L7001">
        <v>0.7</v>
      </c>
      <c r="M7001">
        <v>-8.9795999999999996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21</v>
      </c>
      <c r="J7002">
        <v>598.45799999999997</v>
      </c>
      <c r="K7002">
        <v>3</v>
      </c>
      <c r="L7002">
        <v>0.3</v>
      </c>
      <c r="M7002">
        <v>-42.747</v>
      </c>
    </row>
    <row r="7003" spans="1:13" x14ac:dyDescent="0.3">
      <c r="A7003" t="s">
        <v>28</v>
      </c>
      <c r="B7003" t="s">
        <v>22</v>
      </c>
      <c r="C7003" t="s">
        <v>15</v>
      </c>
      <c r="D7003" t="s">
        <v>82</v>
      </c>
      <c r="E7003" t="s">
        <v>104</v>
      </c>
      <c r="F7003">
        <v>45503</v>
      </c>
      <c r="G7003" t="s">
        <v>57</v>
      </c>
      <c r="H7003" t="s">
        <v>19</v>
      </c>
      <c r="I7003" t="s">
        <v>33</v>
      </c>
      <c r="J7003">
        <v>25.984000000000002</v>
      </c>
      <c r="K7003">
        <v>1</v>
      </c>
      <c r="L7003">
        <v>0.2</v>
      </c>
      <c r="M7003">
        <v>-3.8976000000000002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37</v>
      </c>
      <c r="J7004">
        <v>17.96</v>
      </c>
      <c r="K7004">
        <v>5</v>
      </c>
      <c r="L7004">
        <v>0.2</v>
      </c>
      <c r="M7004">
        <v>5.8369999999999997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110</v>
      </c>
      <c r="J7005">
        <v>5.04</v>
      </c>
      <c r="K7005">
        <v>2</v>
      </c>
      <c r="L7005">
        <v>0</v>
      </c>
      <c r="M7005">
        <v>0.1512</v>
      </c>
    </row>
    <row r="7006" spans="1:13" x14ac:dyDescent="0.3">
      <c r="A7006" t="s">
        <v>28</v>
      </c>
      <c r="B7006" t="s">
        <v>14</v>
      </c>
      <c r="C7006" t="s">
        <v>15</v>
      </c>
      <c r="D7006" t="s">
        <v>75</v>
      </c>
      <c r="E7006" t="s">
        <v>76</v>
      </c>
      <c r="F7006">
        <v>10035</v>
      </c>
      <c r="G7006" t="s">
        <v>57</v>
      </c>
      <c r="H7006" t="s">
        <v>26</v>
      </c>
      <c r="I7006" t="s">
        <v>38</v>
      </c>
      <c r="J7006">
        <v>208.16</v>
      </c>
      <c r="K7006">
        <v>1</v>
      </c>
      <c r="L7006">
        <v>0</v>
      </c>
      <c r="M7006">
        <v>56.203200000000002</v>
      </c>
    </row>
    <row r="7007" spans="1:13" x14ac:dyDescent="0.3">
      <c r="A7007" t="s">
        <v>13</v>
      </c>
      <c r="B7007" t="s">
        <v>44</v>
      </c>
      <c r="C7007" t="s">
        <v>15</v>
      </c>
      <c r="D7007" t="s">
        <v>245</v>
      </c>
      <c r="E7007" t="s">
        <v>24</v>
      </c>
      <c r="F7007">
        <v>93905</v>
      </c>
      <c r="G7007" t="s">
        <v>25</v>
      </c>
      <c r="H7007" t="s">
        <v>19</v>
      </c>
      <c r="I7007" t="s">
        <v>20</v>
      </c>
      <c r="J7007">
        <v>148.25700000000001</v>
      </c>
      <c r="K7007">
        <v>3</v>
      </c>
      <c r="L7007">
        <v>0.15</v>
      </c>
      <c r="M7007">
        <v>15.697800000000001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26</v>
      </c>
      <c r="I7008" t="s">
        <v>38</v>
      </c>
      <c r="J7008">
        <v>146.76</v>
      </c>
      <c r="K7008">
        <v>3</v>
      </c>
      <c r="L7008">
        <v>0</v>
      </c>
      <c r="M7008">
        <v>38.157600000000002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59</v>
      </c>
      <c r="J7009">
        <v>32.96</v>
      </c>
      <c r="K7009">
        <v>2</v>
      </c>
      <c r="L7009">
        <v>0</v>
      </c>
      <c r="M7009">
        <v>14.172800000000001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35</v>
      </c>
      <c r="I7010" t="s">
        <v>36</v>
      </c>
      <c r="J7010">
        <v>587.97</v>
      </c>
      <c r="K7010">
        <v>3</v>
      </c>
      <c r="L7010">
        <v>0</v>
      </c>
      <c r="M7010">
        <v>164.63159999999999</v>
      </c>
    </row>
    <row r="7011" spans="1:13" x14ac:dyDescent="0.3">
      <c r="A7011" t="s">
        <v>13</v>
      </c>
      <c r="B7011" t="s">
        <v>22</v>
      </c>
      <c r="C7011" t="s">
        <v>15</v>
      </c>
      <c r="D7011" t="s">
        <v>182</v>
      </c>
      <c r="E7011" t="s">
        <v>17</v>
      </c>
      <c r="F7011">
        <v>40475</v>
      </c>
      <c r="G7011" t="s">
        <v>18</v>
      </c>
      <c r="H7011" t="s">
        <v>26</v>
      </c>
      <c r="I7011" t="s">
        <v>41</v>
      </c>
      <c r="J7011">
        <v>14.94</v>
      </c>
      <c r="K7011">
        <v>3</v>
      </c>
      <c r="L7011">
        <v>0</v>
      </c>
      <c r="M7011">
        <v>7.0217999999999998</v>
      </c>
    </row>
    <row r="7012" spans="1:13" x14ac:dyDescent="0.3">
      <c r="A7012" t="s">
        <v>13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27</v>
      </c>
      <c r="J7012">
        <v>25.83</v>
      </c>
      <c r="K7012">
        <v>7</v>
      </c>
      <c r="L7012">
        <v>0</v>
      </c>
      <c r="M7012">
        <v>12.1401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41</v>
      </c>
      <c r="J7013">
        <v>15.552</v>
      </c>
      <c r="K7013">
        <v>3</v>
      </c>
      <c r="L7013">
        <v>0.2</v>
      </c>
      <c r="M7013">
        <v>5.4432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26</v>
      </c>
      <c r="I7014" t="s">
        <v>110</v>
      </c>
      <c r="J7014">
        <v>6.8</v>
      </c>
      <c r="K7014">
        <v>1</v>
      </c>
      <c r="L7014">
        <v>0.2</v>
      </c>
      <c r="M7014">
        <v>0.51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19</v>
      </c>
      <c r="I7015" t="s">
        <v>33</v>
      </c>
      <c r="J7015">
        <v>4.2240000000000002</v>
      </c>
      <c r="K7015">
        <v>3</v>
      </c>
      <c r="L7015">
        <v>0.2</v>
      </c>
      <c r="M7015">
        <v>1.2672000000000001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35</v>
      </c>
      <c r="I7016" t="s">
        <v>36</v>
      </c>
      <c r="J7016">
        <v>143.63999999999999</v>
      </c>
      <c r="K7016">
        <v>9</v>
      </c>
      <c r="L7016">
        <v>0.2</v>
      </c>
      <c r="M7016">
        <v>10.773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31.103999999999999</v>
      </c>
      <c r="K7017">
        <v>6</v>
      </c>
      <c r="L7017">
        <v>0.2</v>
      </c>
      <c r="M7017">
        <v>10.8864</v>
      </c>
    </row>
    <row r="7018" spans="1:13" x14ac:dyDescent="0.3">
      <c r="A7018" t="s">
        <v>28</v>
      </c>
      <c r="B7018" t="s">
        <v>14</v>
      </c>
      <c r="C7018" t="s">
        <v>15</v>
      </c>
      <c r="D7018" t="s">
        <v>134</v>
      </c>
      <c r="E7018" t="s">
        <v>98</v>
      </c>
      <c r="F7018">
        <v>80219</v>
      </c>
      <c r="G7018" t="s">
        <v>25</v>
      </c>
      <c r="H7018" t="s">
        <v>26</v>
      </c>
      <c r="I7018" t="s">
        <v>41</v>
      </c>
      <c r="J7018">
        <v>223.05600000000001</v>
      </c>
      <c r="K7018">
        <v>9</v>
      </c>
      <c r="L7018">
        <v>0.2</v>
      </c>
      <c r="M7018">
        <v>69.704999999999998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35</v>
      </c>
      <c r="I7019" t="s">
        <v>36</v>
      </c>
      <c r="J7019">
        <v>227.46</v>
      </c>
      <c r="K7019">
        <v>6</v>
      </c>
      <c r="L7019">
        <v>0</v>
      </c>
      <c r="M7019">
        <v>65.963399999999993</v>
      </c>
    </row>
    <row r="7020" spans="1:13" x14ac:dyDescent="0.3">
      <c r="A7020" t="s">
        <v>28</v>
      </c>
      <c r="B7020" t="s">
        <v>22</v>
      </c>
      <c r="C7020" t="s">
        <v>15</v>
      </c>
      <c r="D7020" t="s">
        <v>75</v>
      </c>
      <c r="E7020" t="s">
        <v>76</v>
      </c>
      <c r="F7020">
        <v>10024</v>
      </c>
      <c r="G7020" t="s">
        <v>57</v>
      </c>
      <c r="H7020" t="s">
        <v>26</v>
      </c>
      <c r="I7020" t="s">
        <v>37</v>
      </c>
      <c r="J7020">
        <v>46.24</v>
      </c>
      <c r="K7020">
        <v>4</v>
      </c>
      <c r="L7020">
        <v>0.2</v>
      </c>
      <c r="M7020">
        <v>15.606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75</v>
      </c>
      <c r="E7021" t="s">
        <v>76</v>
      </c>
      <c r="F7021">
        <v>10011</v>
      </c>
      <c r="G7021" t="s">
        <v>57</v>
      </c>
      <c r="H7021" t="s">
        <v>26</v>
      </c>
      <c r="I7021" t="s">
        <v>27</v>
      </c>
      <c r="J7021">
        <v>5.22</v>
      </c>
      <c r="K7021">
        <v>2</v>
      </c>
      <c r="L7021">
        <v>0</v>
      </c>
      <c r="M7021">
        <v>2.4011999999999998</v>
      </c>
    </row>
    <row r="7022" spans="1:13" x14ac:dyDescent="0.3">
      <c r="A7022" t="s">
        <v>13</v>
      </c>
      <c r="B7022" t="s">
        <v>14</v>
      </c>
      <c r="C7022" t="s">
        <v>15</v>
      </c>
      <c r="D7022" t="s">
        <v>53</v>
      </c>
      <c r="E7022" t="s">
        <v>54</v>
      </c>
      <c r="F7022">
        <v>68025</v>
      </c>
      <c r="G7022" t="s">
        <v>47</v>
      </c>
      <c r="H7022" t="s">
        <v>26</v>
      </c>
      <c r="I7022" t="s">
        <v>41</v>
      </c>
      <c r="J7022">
        <v>33.9</v>
      </c>
      <c r="K7022">
        <v>5</v>
      </c>
      <c r="L7022">
        <v>0</v>
      </c>
      <c r="M7022">
        <v>15.593999999999999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26</v>
      </c>
      <c r="I7023" t="s">
        <v>32</v>
      </c>
      <c r="J7023">
        <v>28.14</v>
      </c>
      <c r="K7023">
        <v>3</v>
      </c>
      <c r="L7023">
        <v>0</v>
      </c>
      <c r="M7023">
        <v>7.8792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35</v>
      </c>
      <c r="I7024" t="s">
        <v>59</v>
      </c>
      <c r="J7024">
        <v>36</v>
      </c>
      <c r="K7024">
        <v>2</v>
      </c>
      <c r="L7024">
        <v>0</v>
      </c>
      <c r="M7024">
        <v>6.48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26</v>
      </c>
      <c r="I7025" t="s">
        <v>34</v>
      </c>
      <c r="J7025">
        <v>92.94</v>
      </c>
      <c r="K7025">
        <v>3</v>
      </c>
      <c r="L7025">
        <v>0</v>
      </c>
      <c r="M7025">
        <v>25.093800000000002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19</v>
      </c>
      <c r="I7026" t="s">
        <v>21</v>
      </c>
      <c r="J7026">
        <v>245.64599999999999</v>
      </c>
      <c r="K7026">
        <v>3</v>
      </c>
      <c r="L7026">
        <v>0.1</v>
      </c>
      <c r="M7026">
        <v>8.1882000000000001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55.008000000000003</v>
      </c>
      <c r="K7027">
        <v>3</v>
      </c>
      <c r="L7027">
        <v>0.2</v>
      </c>
      <c r="M7027">
        <v>17.190000000000001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10011</v>
      </c>
      <c r="G7028" t="s">
        <v>57</v>
      </c>
      <c r="H7028" t="s">
        <v>26</v>
      </c>
      <c r="I7028" t="s">
        <v>37</v>
      </c>
      <c r="J7028">
        <v>35.231999999999999</v>
      </c>
      <c r="K7028">
        <v>3</v>
      </c>
      <c r="L7028">
        <v>0.2</v>
      </c>
      <c r="M7028">
        <v>11.4504</v>
      </c>
    </row>
    <row r="7029" spans="1:13" x14ac:dyDescent="0.3">
      <c r="A7029" t="s">
        <v>28</v>
      </c>
      <c r="B7029" t="s">
        <v>22</v>
      </c>
      <c r="C7029" t="s">
        <v>15</v>
      </c>
      <c r="D7029" t="s">
        <v>144</v>
      </c>
      <c r="E7029" t="s">
        <v>24</v>
      </c>
      <c r="F7029">
        <v>92105</v>
      </c>
      <c r="G7029" t="s">
        <v>25</v>
      </c>
      <c r="H7029" t="s">
        <v>19</v>
      </c>
      <c r="I7029" t="s">
        <v>21</v>
      </c>
      <c r="J7029">
        <v>523.39200000000005</v>
      </c>
      <c r="K7029">
        <v>3</v>
      </c>
      <c r="L7029">
        <v>0.2</v>
      </c>
      <c r="M7029">
        <v>52.339199999999998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204</v>
      </c>
      <c r="E7030" t="s">
        <v>30</v>
      </c>
      <c r="F7030">
        <v>33801</v>
      </c>
      <c r="G7030" t="s">
        <v>18</v>
      </c>
      <c r="H7030" t="s">
        <v>35</v>
      </c>
      <c r="I7030" t="s">
        <v>162</v>
      </c>
      <c r="J7030">
        <v>479.98399999999998</v>
      </c>
      <c r="K7030">
        <v>2</v>
      </c>
      <c r="L7030">
        <v>0.2</v>
      </c>
      <c r="M7030">
        <v>89.997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41</v>
      </c>
      <c r="J7031">
        <v>12.96</v>
      </c>
      <c r="K7031">
        <v>2</v>
      </c>
      <c r="L7031">
        <v>0</v>
      </c>
      <c r="M7031">
        <v>6.2207999999999997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299</v>
      </c>
      <c r="E7032" t="s">
        <v>167</v>
      </c>
      <c r="F7032">
        <v>30080</v>
      </c>
      <c r="G7032" t="s">
        <v>18</v>
      </c>
      <c r="H7032" t="s">
        <v>26</v>
      </c>
      <c r="I7032" t="s">
        <v>34</v>
      </c>
      <c r="J7032">
        <v>17.940000000000001</v>
      </c>
      <c r="K7032">
        <v>3</v>
      </c>
      <c r="L7032">
        <v>0</v>
      </c>
      <c r="M7032">
        <v>6.4584000000000001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32</v>
      </c>
      <c r="J7033">
        <v>166.72</v>
      </c>
      <c r="K7033">
        <v>2</v>
      </c>
      <c r="L7033">
        <v>0</v>
      </c>
      <c r="M7033">
        <v>41.68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26</v>
      </c>
      <c r="I7034" t="s">
        <v>37</v>
      </c>
      <c r="J7034">
        <v>24.815999999999999</v>
      </c>
      <c r="K7034">
        <v>3</v>
      </c>
      <c r="L7034">
        <v>0.2</v>
      </c>
      <c r="M7034">
        <v>8.3754000000000008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75</v>
      </c>
      <c r="E7035" t="s">
        <v>76</v>
      </c>
      <c r="F7035">
        <v>10009</v>
      </c>
      <c r="G7035" t="s">
        <v>57</v>
      </c>
      <c r="H7035" t="s">
        <v>19</v>
      </c>
      <c r="I7035" t="s">
        <v>33</v>
      </c>
      <c r="J7035">
        <v>124.36</v>
      </c>
      <c r="K7035">
        <v>2</v>
      </c>
      <c r="L7035">
        <v>0</v>
      </c>
      <c r="M7035">
        <v>27.359200000000001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35</v>
      </c>
      <c r="I7036" t="s">
        <v>162</v>
      </c>
      <c r="J7036">
        <v>599.97</v>
      </c>
      <c r="K7036">
        <v>5</v>
      </c>
      <c r="L7036">
        <v>0.4</v>
      </c>
      <c r="M7036">
        <v>69.996499999999997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19</v>
      </c>
      <c r="I7037" t="s">
        <v>21</v>
      </c>
      <c r="J7037">
        <v>198.744</v>
      </c>
      <c r="K7037">
        <v>4</v>
      </c>
      <c r="L7037">
        <v>0.3</v>
      </c>
      <c r="M7037">
        <v>-14.196</v>
      </c>
    </row>
    <row r="7038" spans="1:13" x14ac:dyDescent="0.3">
      <c r="A7038" t="s">
        <v>28</v>
      </c>
      <c r="B7038" t="s">
        <v>14</v>
      </c>
      <c r="C7038" t="s">
        <v>15</v>
      </c>
      <c r="D7038" t="s">
        <v>55</v>
      </c>
      <c r="E7038" t="s">
        <v>56</v>
      </c>
      <c r="F7038">
        <v>19134</v>
      </c>
      <c r="G7038" t="s">
        <v>57</v>
      </c>
      <c r="H7038" t="s">
        <v>26</v>
      </c>
      <c r="I7038" t="s">
        <v>110</v>
      </c>
      <c r="J7038">
        <v>9.1839999999999993</v>
      </c>
      <c r="K7038">
        <v>2</v>
      </c>
      <c r="L7038">
        <v>0.2</v>
      </c>
      <c r="M7038">
        <v>1.1479999999999999</v>
      </c>
    </row>
    <row r="7039" spans="1:13" x14ac:dyDescent="0.3">
      <c r="A7039" t="s">
        <v>28</v>
      </c>
      <c r="B7039" t="s">
        <v>22</v>
      </c>
      <c r="C7039" t="s">
        <v>15</v>
      </c>
      <c r="D7039" t="s">
        <v>135</v>
      </c>
      <c r="E7039" t="s">
        <v>46</v>
      </c>
      <c r="F7039">
        <v>75217</v>
      </c>
      <c r="G7039" t="s">
        <v>47</v>
      </c>
      <c r="H7039" t="s">
        <v>26</v>
      </c>
      <c r="I7039" t="s">
        <v>41</v>
      </c>
      <c r="J7039">
        <v>9.2479999999999993</v>
      </c>
      <c r="K7039">
        <v>2</v>
      </c>
      <c r="L7039">
        <v>0.2</v>
      </c>
      <c r="M7039">
        <v>3.3523999999999998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19</v>
      </c>
      <c r="I7040" t="s">
        <v>31</v>
      </c>
      <c r="J7040">
        <v>99.591999999999999</v>
      </c>
      <c r="K7040">
        <v>1</v>
      </c>
      <c r="L7040">
        <v>0.2</v>
      </c>
      <c r="M7040">
        <v>2.4897999999999998</v>
      </c>
    </row>
    <row r="7041" spans="1:13" x14ac:dyDescent="0.3">
      <c r="A7041" t="s">
        <v>28</v>
      </c>
      <c r="B7041" t="s">
        <v>44</v>
      </c>
      <c r="C7041" t="s">
        <v>15</v>
      </c>
      <c r="D7041" t="s">
        <v>39</v>
      </c>
      <c r="E7041" t="s">
        <v>24</v>
      </c>
      <c r="F7041">
        <v>94521</v>
      </c>
      <c r="G7041" t="s">
        <v>25</v>
      </c>
      <c r="H7041" t="s">
        <v>35</v>
      </c>
      <c r="I7041" t="s">
        <v>59</v>
      </c>
      <c r="J7041">
        <v>399.96</v>
      </c>
      <c r="K7041">
        <v>4</v>
      </c>
      <c r="L7041">
        <v>0</v>
      </c>
      <c r="M7041">
        <v>139.98599999999999</v>
      </c>
    </row>
    <row r="7042" spans="1:13" x14ac:dyDescent="0.3">
      <c r="A7042" t="s">
        <v>62</v>
      </c>
      <c r="B7042" t="s">
        <v>14</v>
      </c>
      <c r="C7042" t="s">
        <v>15</v>
      </c>
      <c r="D7042" t="s">
        <v>405</v>
      </c>
      <c r="E7042" t="s">
        <v>86</v>
      </c>
      <c r="F7042">
        <v>37211</v>
      </c>
      <c r="G7042" t="s">
        <v>18</v>
      </c>
      <c r="H7042" t="s">
        <v>26</v>
      </c>
      <c r="I7042" t="s">
        <v>41</v>
      </c>
      <c r="J7042">
        <v>15.552</v>
      </c>
      <c r="K7042">
        <v>3</v>
      </c>
      <c r="L7042">
        <v>0.2</v>
      </c>
      <c r="M7042">
        <v>5.4432</v>
      </c>
    </row>
    <row r="7043" spans="1:13" x14ac:dyDescent="0.3">
      <c r="A7043" t="s">
        <v>28</v>
      </c>
      <c r="B7043" t="s">
        <v>44</v>
      </c>
      <c r="C7043" t="s">
        <v>15</v>
      </c>
      <c r="D7043" t="s">
        <v>97</v>
      </c>
      <c r="E7043" t="s">
        <v>98</v>
      </c>
      <c r="F7043">
        <v>80013</v>
      </c>
      <c r="G7043" t="s">
        <v>25</v>
      </c>
      <c r="H7043" t="s">
        <v>26</v>
      </c>
      <c r="I7043" t="s">
        <v>34</v>
      </c>
      <c r="J7043">
        <v>14.576000000000001</v>
      </c>
      <c r="K7043">
        <v>2</v>
      </c>
      <c r="L7043">
        <v>0.2</v>
      </c>
      <c r="M7043">
        <v>2.3685999999999998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37</v>
      </c>
      <c r="J7044">
        <v>209.6</v>
      </c>
      <c r="K7044">
        <v>5</v>
      </c>
      <c r="L7044">
        <v>0.2</v>
      </c>
      <c r="M7044">
        <v>68.12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34</v>
      </c>
      <c r="J7045">
        <v>23.32</v>
      </c>
      <c r="K7045">
        <v>2</v>
      </c>
      <c r="L7045">
        <v>0</v>
      </c>
      <c r="M7045">
        <v>6.0632000000000001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26</v>
      </c>
      <c r="I7046" t="s">
        <v>41</v>
      </c>
      <c r="J7046">
        <v>30.98</v>
      </c>
      <c r="K7046">
        <v>1</v>
      </c>
      <c r="L7046">
        <v>0</v>
      </c>
      <c r="M7046">
        <v>13.941000000000001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35</v>
      </c>
      <c r="I7047" t="s">
        <v>59</v>
      </c>
      <c r="J7047">
        <v>119.96</v>
      </c>
      <c r="K7047">
        <v>4</v>
      </c>
      <c r="L7047">
        <v>0</v>
      </c>
      <c r="M7047">
        <v>25.191600000000001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19</v>
      </c>
      <c r="I7048" t="s">
        <v>21</v>
      </c>
      <c r="J7048">
        <v>363.92</v>
      </c>
      <c r="K7048">
        <v>5</v>
      </c>
      <c r="L7048">
        <v>0.2</v>
      </c>
      <c r="M7048">
        <v>-31.843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35.808</v>
      </c>
      <c r="K7049">
        <v>3</v>
      </c>
      <c r="L7049">
        <v>0.2</v>
      </c>
      <c r="M7049">
        <v>11.19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26</v>
      </c>
      <c r="I7050" t="s">
        <v>37</v>
      </c>
      <c r="J7050">
        <v>122.688</v>
      </c>
      <c r="K7050">
        <v>9</v>
      </c>
      <c r="L7050">
        <v>0.2</v>
      </c>
      <c r="M7050">
        <v>39.873600000000003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19</v>
      </c>
      <c r="I7051" t="s">
        <v>31</v>
      </c>
      <c r="J7051">
        <v>892.13599999999997</v>
      </c>
      <c r="K7051">
        <v>7</v>
      </c>
      <c r="L7051">
        <v>0.2</v>
      </c>
      <c r="M7051">
        <v>111.517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32</v>
      </c>
      <c r="J7052">
        <v>50.22</v>
      </c>
      <c r="K7052">
        <v>3</v>
      </c>
      <c r="L7052">
        <v>0</v>
      </c>
      <c r="M7052">
        <v>2.0087999999999999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38</v>
      </c>
      <c r="J7053">
        <v>83.42</v>
      </c>
      <c r="K7053">
        <v>2</v>
      </c>
      <c r="L7053">
        <v>0</v>
      </c>
      <c r="M7053">
        <v>24.191800000000001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37</v>
      </c>
      <c r="J7054">
        <v>5.8719999999999999</v>
      </c>
      <c r="K7054">
        <v>2</v>
      </c>
      <c r="L7054">
        <v>0.2</v>
      </c>
      <c r="M7054">
        <v>2.1286</v>
      </c>
    </row>
    <row r="7055" spans="1:13" x14ac:dyDescent="0.3">
      <c r="A7055" t="s">
        <v>13</v>
      </c>
      <c r="B7055" t="s">
        <v>22</v>
      </c>
      <c r="C7055" t="s">
        <v>15</v>
      </c>
      <c r="D7055" t="s">
        <v>298</v>
      </c>
      <c r="E7055" t="s">
        <v>51</v>
      </c>
      <c r="F7055">
        <v>84062</v>
      </c>
      <c r="G7055" t="s">
        <v>25</v>
      </c>
      <c r="H7055" t="s">
        <v>26</v>
      </c>
      <c r="I7055" t="s">
        <v>37</v>
      </c>
      <c r="J7055">
        <v>12.144</v>
      </c>
      <c r="K7055">
        <v>3</v>
      </c>
      <c r="L7055">
        <v>0.2</v>
      </c>
      <c r="M7055">
        <v>4.0986000000000002</v>
      </c>
    </row>
    <row r="7056" spans="1:13" x14ac:dyDescent="0.3">
      <c r="A7056" t="s">
        <v>13</v>
      </c>
      <c r="B7056" t="s">
        <v>14</v>
      </c>
      <c r="C7056" t="s">
        <v>15</v>
      </c>
      <c r="D7056" t="s">
        <v>82</v>
      </c>
      <c r="E7056" t="s">
        <v>95</v>
      </c>
      <c r="F7056">
        <v>97477</v>
      </c>
      <c r="G7056" t="s">
        <v>25</v>
      </c>
      <c r="H7056" t="s">
        <v>26</v>
      </c>
      <c r="I7056" t="s">
        <v>60</v>
      </c>
      <c r="J7056">
        <v>27.792000000000002</v>
      </c>
      <c r="K7056">
        <v>3</v>
      </c>
      <c r="L7056">
        <v>0.2</v>
      </c>
      <c r="M7056">
        <v>10.422000000000001</v>
      </c>
    </row>
    <row r="7057" spans="1:13" x14ac:dyDescent="0.3">
      <c r="A7057" t="s">
        <v>28</v>
      </c>
      <c r="B7057" t="s">
        <v>44</v>
      </c>
      <c r="C7057" t="s">
        <v>15</v>
      </c>
      <c r="D7057" t="s">
        <v>210</v>
      </c>
      <c r="E7057" t="s">
        <v>95</v>
      </c>
      <c r="F7057">
        <v>97301</v>
      </c>
      <c r="G7057" t="s">
        <v>25</v>
      </c>
      <c r="H7057" t="s">
        <v>26</v>
      </c>
      <c r="I7057" t="s">
        <v>110</v>
      </c>
      <c r="J7057">
        <v>6.2080000000000002</v>
      </c>
      <c r="K7057">
        <v>2</v>
      </c>
      <c r="L7057">
        <v>0.2</v>
      </c>
      <c r="M7057">
        <v>0.69840000000000002</v>
      </c>
    </row>
    <row r="7058" spans="1:13" x14ac:dyDescent="0.3">
      <c r="A7058" t="s">
        <v>28</v>
      </c>
      <c r="B7058" t="s">
        <v>14</v>
      </c>
      <c r="C7058" t="s">
        <v>15</v>
      </c>
      <c r="D7058" t="s">
        <v>92</v>
      </c>
      <c r="E7058" t="s">
        <v>76</v>
      </c>
      <c r="F7058">
        <v>14609</v>
      </c>
      <c r="G7058" t="s">
        <v>57</v>
      </c>
      <c r="H7058" t="s">
        <v>26</v>
      </c>
      <c r="I7058" t="s">
        <v>38</v>
      </c>
      <c r="J7058">
        <v>32.67</v>
      </c>
      <c r="K7058">
        <v>3</v>
      </c>
      <c r="L7058">
        <v>0</v>
      </c>
      <c r="M7058">
        <v>8.4941999999999993</v>
      </c>
    </row>
    <row r="7059" spans="1:13" x14ac:dyDescent="0.3">
      <c r="A7059" t="s">
        <v>62</v>
      </c>
      <c r="B7059" t="s">
        <v>22</v>
      </c>
      <c r="C7059" t="s">
        <v>15</v>
      </c>
      <c r="D7059" t="s">
        <v>23</v>
      </c>
      <c r="E7059" t="s">
        <v>24</v>
      </c>
      <c r="F7059">
        <v>90008</v>
      </c>
      <c r="G7059" t="s">
        <v>25</v>
      </c>
      <c r="H7059" t="s">
        <v>26</v>
      </c>
      <c r="I7059" t="s">
        <v>32</v>
      </c>
      <c r="J7059">
        <v>1261.33</v>
      </c>
      <c r="K7059">
        <v>7</v>
      </c>
      <c r="L7059">
        <v>0</v>
      </c>
      <c r="M7059">
        <v>327.94580000000002</v>
      </c>
    </row>
    <row r="7060" spans="1:13" x14ac:dyDescent="0.3">
      <c r="A7060" t="s">
        <v>28</v>
      </c>
      <c r="B7060" t="s">
        <v>44</v>
      </c>
      <c r="C7060" t="s">
        <v>15</v>
      </c>
      <c r="D7060" t="s">
        <v>23</v>
      </c>
      <c r="E7060" t="s">
        <v>24</v>
      </c>
      <c r="F7060">
        <v>90049</v>
      </c>
      <c r="G7060" t="s">
        <v>25</v>
      </c>
      <c r="H7060" t="s">
        <v>26</v>
      </c>
      <c r="I7060" t="s">
        <v>41</v>
      </c>
      <c r="J7060">
        <v>38.880000000000003</v>
      </c>
      <c r="K7060">
        <v>6</v>
      </c>
      <c r="L7060">
        <v>0</v>
      </c>
      <c r="M7060">
        <v>18.662400000000002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37</v>
      </c>
      <c r="J7061">
        <v>1.964</v>
      </c>
      <c r="K7061">
        <v>2</v>
      </c>
      <c r="L7061">
        <v>0.8</v>
      </c>
      <c r="M7061">
        <v>-3.2406000000000001</v>
      </c>
    </row>
    <row r="7062" spans="1:13" x14ac:dyDescent="0.3">
      <c r="A7062" t="s">
        <v>28</v>
      </c>
      <c r="B7062" t="s">
        <v>22</v>
      </c>
      <c r="C7062" t="s">
        <v>15</v>
      </c>
      <c r="D7062" t="s">
        <v>135</v>
      </c>
      <c r="E7062" t="s">
        <v>46</v>
      </c>
      <c r="F7062">
        <v>75081</v>
      </c>
      <c r="G7062" t="s">
        <v>47</v>
      </c>
      <c r="H7062" t="s">
        <v>26</v>
      </c>
      <c r="I7062" t="s">
        <v>41</v>
      </c>
      <c r="J7062">
        <v>82.656000000000006</v>
      </c>
      <c r="K7062">
        <v>9</v>
      </c>
      <c r="L7062">
        <v>0.2</v>
      </c>
      <c r="M7062">
        <v>30.995999999999999</v>
      </c>
    </row>
    <row r="7063" spans="1:13" x14ac:dyDescent="0.3">
      <c r="A7063" t="s">
        <v>28</v>
      </c>
      <c r="B7063" t="s">
        <v>14</v>
      </c>
      <c r="C7063" t="s">
        <v>15</v>
      </c>
      <c r="D7063" t="s">
        <v>286</v>
      </c>
      <c r="E7063" t="s">
        <v>24</v>
      </c>
      <c r="F7063">
        <v>93727</v>
      </c>
      <c r="G7063" t="s">
        <v>25</v>
      </c>
      <c r="H7063" t="s">
        <v>26</v>
      </c>
      <c r="I7063" t="s">
        <v>41</v>
      </c>
      <c r="J7063">
        <v>5.98</v>
      </c>
      <c r="K7063">
        <v>1</v>
      </c>
      <c r="L7063">
        <v>0</v>
      </c>
      <c r="M7063">
        <v>2.6909999999999998</v>
      </c>
    </row>
    <row r="7064" spans="1:13" x14ac:dyDescent="0.3">
      <c r="A7064" t="s">
        <v>13</v>
      </c>
      <c r="B7064" t="s">
        <v>44</v>
      </c>
      <c r="C7064" t="s">
        <v>15</v>
      </c>
      <c r="D7064" t="s">
        <v>79</v>
      </c>
      <c r="E7064" t="s">
        <v>65</v>
      </c>
      <c r="F7064">
        <v>60653</v>
      </c>
      <c r="G7064" t="s">
        <v>47</v>
      </c>
      <c r="H7064" t="s">
        <v>26</v>
      </c>
      <c r="I7064" t="s">
        <v>41</v>
      </c>
      <c r="J7064">
        <v>9.2479999999999993</v>
      </c>
      <c r="K7064">
        <v>2</v>
      </c>
      <c r="L7064">
        <v>0.2</v>
      </c>
      <c r="M7064">
        <v>3.3523999999999998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34</v>
      </c>
      <c r="J7065">
        <v>4.4480000000000004</v>
      </c>
      <c r="K7065">
        <v>2</v>
      </c>
      <c r="L7065">
        <v>0.2</v>
      </c>
      <c r="M7065">
        <v>0.33360000000000001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41</v>
      </c>
      <c r="J7066">
        <v>5.1840000000000002</v>
      </c>
      <c r="K7066">
        <v>1</v>
      </c>
      <c r="L7066">
        <v>0.2</v>
      </c>
      <c r="M7066">
        <v>1.8144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34</v>
      </c>
      <c r="J7067">
        <v>175.92</v>
      </c>
      <c r="K7067">
        <v>5</v>
      </c>
      <c r="L7067">
        <v>0.2</v>
      </c>
      <c r="M7067">
        <v>15.393000000000001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37</v>
      </c>
      <c r="J7068">
        <v>4.7519999999999998</v>
      </c>
      <c r="K7068">
        <v>4</v>
      </c>
      <c r="L7068">
        <v>0.8</v>
      </c>
      <c r="M7068">
        <v>-8.3160000000000007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482</v>
      </c>
      <c r="E7069" t="s">
        <v>46</v>
      </c>
      <c r="F7069">
        <v>78501</v>
      </c>
      <c r="G7069" t="s">
        <v>47</v>
      </c>
      <c r="H7069" t="s">
        <v>26</v>
      </c>
      <c r="I7069" t="s">
        <v>110</v>
      </c>
      <c r="J7069">
        <v>13.343999999999999</v>
      </c>
      <c r="K7069">
        <v>2</v>
      </c>
      <c r="L7069">
        <v>0.2</v>
      </c>
      <c r="M7069">
        <v>1.0007999999999999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42</v>
      </c>
      <c r="E7070" t="s">
        <v>43</v>
      </c>
      <c r="F7070">
        <v>98105</v>
      </c>
      <c r="G7070" t="s">
        <v>25</v>
      </c>
      <c r="H7070" t="s">
        <v>26</v>
      </c>
      <c r="I7070" t="s">
        <v>60</v>
      </c>
      <c r="J7070">
        <v>54.9</v>
      </c>
      <c r="K7070">
        <v>5</v>
      </c>
      <c r="L7070">
        <v>0</v>
      </c>
      <c r="M7070">
        <v>26.901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37</v>
      </c>
      <c r="J7071">
        <v>22.911000000000001</v>
      </c>
      <c r="K7071">
        <v>7</v>
      </c>
      <c r="L7071">
        <v>0.7</v>
      </c>
      <c r="M7071">
        <v>-17.565100000000001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38</v>
      </c>
      <c r="J7072">
        <v>309.45600000000002</v>
      </c>
      <c r="K7072">
        <v>9</v>
      </c>
      <c r="L7072">
        <v>0.2</v>
      </c>
      <c r="M7072">
        <v>34.813800000000001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26</v>
      </c>
      <c r="I7073" t="s">
        <v>34</v>
      </c>
      <c r="J7073">
        <v>19.456</v>
      </c>
      <c r="K7073">
        <v>4</v>
      </c>
      <c r="L7073">
        <v>0.2</v>
      </c>
      <c r="M7073">
        <v>3.4047999999999998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19</v>
      </c>
      <c r="I7074" t="s">
        <v>31</v>
      </c>
      <c r="J7074">
        <v>472.51799999999997</v>
      </c>
      <c r="K7074">
        <v>3</v>
      </c>
      <c r="L7074">
        <v>0.4</v>
      </c>
      <c r="M7074">
        <v>-149.63069999999999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35</v>
      </c>
      <c r="I7075" t="s">
        <v>59</v>
      </c>
      <c r="J7075">
        <v>1012.68</v>
      </c>
      <c r="K7075">
        <v>3</v>
      </c>
      <c r="L7075">
        <v>0.2</v>
      </c>
      <c r="M7075">
        <v>303.80399999999997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99</v>
      </c>
      <c r="E7076" t="s">
        <v>40</v>
      </c>
      <c r="F7076">
        <v>28205</v>
      </c>
      <c r="G7076" t="s">
        <v>18</v>
      </c>
      <c r="H7076" t="s">
        <v>26</v>
      </c>
      <c r="I7076" t="s">
        <v>37</v>
      </c>
      <c r="J7076">
        <v>17.22</v>
      </c>
      <c r="K7076">
        <v>5</v>
      </c>
      <c r="L7076">
        <v>0.7</v>
      </c>
      <c r="M7076">
        <v>-12.628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26</v>
      </c>
      <c r="I7077" t="s">
        <v>34</v>
      </c>
      <c r="J7077">
        <v>3.52</v>
      </c>
      <c r="K7077">
        <v>2</v>
      </c>
      <c r="L7077">
        <v>0</v>
      </c>
      <c r="M7077">
        <v>1.6896</v>
      </c>
    </row>
    <row r="7078" spans="1:13" x14ac:dyDescent="0.3">
      <c r="A7078" t="s">
        <v>13</v>
      </c>
      <c r="B7078" t="s">
        <v>22</v>
      </c>
      <c r="C7078" t="s">
        <v>15</v>
      </c>
      <c r="D7078" t="s">
        <v>39</v>
      </c>
      <c r="E7078" t="s">
        <v>24</v>
      </c>
      <c r="F7078">
        <v>94521</v>
      </c>
      <c r="G7078" t="s">
        <v>25</v>
      </c>
      <c r="H7078" t="s">
        <v>35</v>
      </c>
      <c r="I7078" t="s">
        <v>36</v>
      </c>
      <c r="J7078">
        <v>1626.192</v>
      </c>
      <c r="K7078">
        <v>9</v>
      </c>
      <c r="L7078">
        <v>0.2</v>
      </c>
      <c r="M7078">
        <v>121.9644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37</v>
      </c>
      <c r="J7079">
        <v>8.5950000000000006</v>
      </c>
      <c r="K7079">
        <v>5</v>
      </c>
      <c r="L7079">
        <v>0.7</v>
      </c>
      <c r="M7079">
        <v>-6.3029999999999999</v>
      </c>
    </row>
    <row r="7080" spans="1:13" x14ac:dyDescent="0.3">
      <c r="A7080" t="s">
        <v>62</v>
      </c>
      <c r="B7080" t="s">
        <v>22</v>
      </c>
      <c r="C7080" t="s">
        <v>15</v>
      </c>
      <c r="D7080" t="s">
        <v>225</v>
      </c>
      <c r="E7080" t="s">
        <v>56</v>
      </c>
      <c r="F7080">
        <v>19013</v>
      </c>
      <c r="G7080" t="s">
        <v>57</v>
      </c>
      <c r="H7080" t="s">
        <v>26</v>
      </c>
      <c r="I7080" t="s">
        <v>110</v>
      </c>
      <c r="J7080">
        <v>190.89599999999999</v>
      </c>
      <c r="K7080">
        <v>2</v>
      </c>
      <c r="L7080">
        <v>0.2</v>
      </c>
      <c r="M7080">
        <v>-42.951599999999999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23</v>
      </c>
      <c r="E7081" t="s">
        <v>24</v>
      </c>
      <c r="F7081">
        <v>90004</v>
      </c>
      <c r="G7081" t="s">
        <v>25</v>
      </c>
      <c r="H7081" t="s">
        <v>26</v>
      </c>
      <c r="I7081" t="s">
        <v>32</v>
      </c>
      <c r="J7081">
        <v>99.87</v>
      </c>
      <c r="K7081">
        <v>3</v>
      </c>
      <c r="L7081">
        <v>0</v>
      </c>
      <c r="M7081">
        <v>23.968800000000002</v>
      </c>
    </row>
    <row r="7082" spans="1:13" x14ac:dyDescent="0.3">
      <c r="A7082" t="s">
        <v>13</v>
      </c>
      <c r="B7082" t="s">
        <v>14</v>
      </c>
      <c r="C7082" t="s">
        <v>15</v>
      </c>
      <c r="D7082" t="s">
        <v>395</v>
      </c>
      <c r="E7082" t="s">
        <v>177</v>
      </c>
      <c r="F7082">
        <v>89431</v>
      </c>
      <c r="G7082" t="s">
        <v>25</v>
      </c>
      <c r="H7082" t="s">
        <v>26</v>
      </c>
      <c r="I7082" t="s">
        <v>34</v>
      </c>
      <c r="J7082">
        <v>79.36</v>
      </c>
      <c r="K7082">
        <v>4</v>
      </c>
      <c r="L7082">
        <v>0</v>
      </c>
      <c r="M7082">
        <v>23.808</v>
      </c>
    </row>
    <row r="7083" spans="1:13" x14ac:dyDescent="0.3">
      <c r="A7083" t="s">
        <v>13</v>
      </c>
      <c r="B7083" t="s">
        <v>22</v>
      </c>
      <c r="C7083" t="s">
        <v>15</v>
      </c>
      <c r="D7083" t="s">
        <v>23</v>
      </c>
      <c r="E7083" t="s">
        <v>24</v>
      </c>
      <c r="F7083">
        <v>90032</v>
      </c>
      <c r="G7083" t="s">
        <v>25</v>
      </c>
      <c r="H7083" t="s">
        <v>35</v>
      </c>
      <c r="I7083" t="s">
        <v>36</v>
      </c>
      <c r="J7083">
        <v>119.96</v>
      </c>
      <c r="K7083">
        <v>1</v>
      </c>
      <c r="L7083">
        <v>0.2</v>
      </c>
      <c r="M7083">
        <v>7.4974999999999996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41</v>
      </c>
      <c r="J7084">
        <v>106.32</v>
      </c>
      <c r="K7084">
        <v>3</v>
      </c>
      <c r="L7084">
        <v>0</v>
      </c>
      <c r="M7084">
        <v>49.970399999999998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38</v>
      </c>
      <c r="J7085">
        <v>163.44</v>
      </c>
      <c r="K7085">
        <v>3</v>
      </c>
      <c r="L7085">
        <v>0</v>
      </c>
      <c r="M7085">
        <v>45.763199999999998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34</v>
      </c>
      <c r="J7086">
        <v>42.76</v>
      </c>
      <c r="K7086">
        <v>2</v>
      </c>
      <c r="L7086">
        <v>0</v>
      </c>
      <c r="M7086">
        <v>11.117599999999999</v>
      </c>
    </row>
    <row r="7087" spans="1:13" x14ac:dyDescent="0.3">
      <c r="A7087" t="s">
        <v>28</v>
      </c>
      <c r="B7087" t="s">
        <v>14</v>
      </c>
      <c r="C7087" t="s">
        <v>15</v>
      </c>
      <c r="D7087" t="s">
        <v>16</v>
      </c>
      <c r="E7087" t="s">
        <v>17</v>
      </c>
      <c r="F7087">
        <v>42420</v>
      </c>
      <c r="G7087" t="s">
        <v>18</v>
      </c>
      <c r="H7087" t="s">
        <v>26</v>
      </c>
      <c r="I7087" t="s">
        <v>41</v>
      </c>
      <c r="J7087">
        <v>51.55</v>
      </c>
      <c r="K7087">
        <v>5</v>
      </c>
      <c r="L7087">
        <v>0</v>
      </c>
      <c r="M7087">
        <v>24.2285</v>
      </c>
    </row>
    <row r="7088" spans="1:13" x14ac:dyDescent="0.3">
      <c r="A7088" t="s">
        <v>13</v>
      </c>
      <c r="B7088" t="s">
        <v>14</v>
      </c>
      <c r="C7088" t="s">
        <v>15</v>
      </c>
      <c r="D7088" t="s">
        <v>87</v>
      </c>
      <c r="E7088" t="s">
        <v>65</v>
      </c>
      <c r="F7088">
        <v>62521</v>
      </c>
      <c r="G7088" t="s">
        <v>47</v>
      </c>
      <c r="H7088" t="s">
        <v>35</v>
      </c>
      <c r="I7088" t="s">
        <v>59</v>
      </c>
      <c r="J7088">
        <v>479.952</v>
      </c>
      <c r="K7088">
        <v>6</v>
      </c>
      <c r="L7088">
        <v>0.2</v>
      </c>
      <c r="M7088">
        <v>89.991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146.68799999999999</v>
      </c>
      <c r="K7089">
        <v>6</v>
      </c>
      <c r="L7089">
        <v>0.2</v>
      </c>
      <c r="M7089">
        <v>55.008000000000003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276.78399999999999</v>
      </c>
      <c r="K7090">
        <v>2</v>
      </c>
      <c r="L7090">
        <v>0.2</v>
      </c>
      <c r="M7090">
        <v>89.954800000000006</v>
      </c>
    </row>
    <row r="7091" spans="1:13" x14ac:dyDescent="0.3">
      <c r="A7091" t="s">
        <v>62</v>
      </c>
      <c r="B7091" t="s">
        <v>14</v>
      </c>
      <c r="C7091" t="s">
        <v>15</v>
      </c>
      <c r="D7091" t="s">
        <v>75</v>
      </c>
      <c r="E7091" t="s">
        <v>76</v>
      </c>
      <c r="F7091">
        <v>10009</v>
      </c>
      <c r="G7091" t="s">
        <v>57</v>
      </c>
      <c r="H7091" t="s">
        <v>26</v>
      </c>
      <c r="I7091" t="s">
        <v>37</v>
      </c>
      <c r="J7091">
        <v>25.32</v>
      </c>
      <c r="K7091">
        <v>5</v>
      </c>
      <c r="L7091">
        <v>0.2</v>
      </c>
      <c r="M7091">
        <v>9.1784999999999997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75</v>
      </c>
      <c r="E7092" t="s">
        <v>76</v>
      </c>
      <c r="F7092">
        <v>10011</v>
      </c>
      <c r="G7092" t="s">
        <v>57</v>
      </c>
      <c r="H7092" t="s">
        <v>26</v>
      </c>
      <c r="I7092" t="s">
        <v>41</v>
      </c>
      <c r="J7092">
        <v>318.95999999999998</v>
      </c>
      <c r="K7092">
        <v>9</v>
      </c>
      <c r="L7092">
        <v>0</v>
      </c>
      <c r="M7092">
        <v>149.91120000000001</v>
      </c>
    </row>
    <row r="7093" spans="1:13" x14ac:dyDescent="0.3">
      <c r="A7093" t="s">
        <v>13</v>
      </c>
      <c r="B7093" t="s">
        <v>14</v>
      </c>
      <c r="C7093" t="s">
        <v>15</v>
      </c>
      <c r="D7093" t="s">
        <v>75</v>
      </c>
      <c r="E7093" t="s">
        <v>76</v>
      </c>
      <c r="F7093">
        <v>10009</v>
      </c>
      <c r="G7093" t="s">
        <v>57</v>
      </c>
      <c r="H7093" t="s">
        <v>26</v>
      </c>
      <c r="I7093" t="s">
        <v>41</v>
      </c>
      <c r="J7093">
        <v>212.64</v>
      </c>
      <c r="K7093">
        <v>6</v>
      </c>
      <c r="L7093">
        <v>0</v>
      </c>
      <c r="M7093">
        <v>99.940799999999996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116</v>
      </c>
      <c r="E7094" t="s">
        <v>81</v>
      </c>
      <c r="F7094">
        <v>85254</v>
      </c>
      <c r="G7094" t="s">
        <v>25</v>
      </c>
      <c r="H7094" t="s">
        <v>26</v>
      </c>
      <c r="I7094" t="s">
        <v>60</v>
      </c>
      <c r="J7094">
        <v>23.472000000000001</v>
      </c>
      <c r="K7094">
        <v>3</v>
      </c>
      <c r="L7094">
        <v>0.2</v>
      </c>
      <c r="M7094">
        <v>8.8019999999999996</v>
      </c>
    </row>
    <row r="7095" spans="1:13" x14ac:dyDescent="0.3">
      <c r="A7095" t="s">
        <v>13</v>
      </c>
      <c r="B7095" t="s">
        <v>22</v>
      </c>
      <c r="C7095" t="s">
        <v>15</v>
      </c>
      <c r="D7095" t="s">
        <v>193</v>
      </c>
      <c r="E7095" t="s">
        <v>46</v>
      </c>
      <c r="F7095">
        <v>79109</v>
      </c>
      <c r="G7095" t="s">
        <v>47</v>
      </c>
      <c r="H7095" t="s">
        <v>26</v>
      </c>
      <c r="I7095" t="s">
        <v>41</v>
      </c>
      <c r="J7095">
        <v>19.648</v>
      </c>
      <c r="K7095">
        <v>2</v>
      </c>
      <c r="L7095">
        <v>0.2</v>
      </c>
      <c r="M7095">
        <v>6.6311999999999998</v>
      </c>
    </row>
    <row r="7096" spans="1:13" x14ac:dyDescent="0.3">
      <c r="A7096" t="s">
        <v>62</v>
      </c>
      <c r="B7096" t="s">
        <v>14</v>
      </c>
      <c r="C7096" t="s">
        <v>15</v>
      </c>
      <c r="D7096" t="s">
        <v>55</v>
      </c>
      <c r="E7096" t="s">
        <v>56</v>
      </c>
      <c r="F7096">
        <v>19140</v>
      </c>
      <c r="G7096" t="s">
        <v>57</v>
      </c>
      <c r="H7096" t="s">
        <v>26</v>
      </c>
      <c r="I7096" t="s">
        <v>37</v>
      </c>
      <c r="J7096">
        <v>6.57</v>
      </c>
      <c r="K7096">
        <v>3</v>
      </c>
      <c r="L7096">
        <v>0.7</v>
      </c>
      <c r="M7096">
        <v>-5.0369999999999999</v>
      </c>
    </row>
    <row r="7097" spans="1:13" x14ac:dyDescent="0.3">
      <c r="A7097" t="s">
        <v>28</v>
      </c>
      <c r="B7097" t="s">
        <v>14</v>
      </c>
      <c r="C7097" t="s">
        <v>15</v>
      </c>
      <c r="D7097" t="s">
        <v>240</v>
      </c>
      <c r="E7097" t="s">
        <v>24</v>
      </c>
      <c r="F7097">
        <v>92704</v>
      </c>
      <c r="G7097" t="s">
        <v>25</v>
      </c>
      <c r="H7097" t="s">
        <v>26</v>
      </c>
      <c r="I7097" t="s">
        <v>32</v>
      </c>
      <c r="J7097">
        <v>421.1</v>
      </c>
      <c r="K7097">
        <v>2</v>
      </c>
      <c r="L7097">
        <v>0</v>
      </c>
      <c r="M7097">
        <v>105.27500000000001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21</v>
      </c>
      <c r="J7098">
        <v>760.11599999999999</v>
      </c>
      <c r="K7098">
        <v>6</v>
      </c>
      <c r="L7098">
        <v>0.3</v>
      </c>
      <c r="M7098">
        <v>-43.435200000000002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19</v>
      </c>
      <c r="I7099" t="s">
        <v>33</v>
      </c>
      <c r="J7099">
        <v>38.783999999999999</v>
      </c>
      <c r="K7099">
        <v>3</v>
      </c>
      <c r="L7099">
        <v>0.2</v>
      </c>
      <c r="M7099">
        <v>7.2720000000000002</v>
      </c>
    </row>
    <row r="7100" spans="1:13" x14ac:dyDescent="0.3">
      <c r="A7100" t="s">
        <v>13</v>
      </c>
      <c r="B7100" t="s">
        <v>22</v>
      </c>
      <c r="C7100" t="s">
        <v>15</v>
      </c>
      <c r="D7100" t="s">
        <v>114</v>
      </c>
      <c r="E7100" t="s">
        <v>104</v>
      </c>
      <c r="F7100">
        <v>43055</v>
      </c>
      <c r="G7100" t="s">
        <v>57</v>
      </c>
      <c r="H7100" t="s">
        <v>35</v>
      </c>
      <c r="I7100" t="s">
        <v>59</v>
      </c>
      <c r="J7100">
        <v>122.328</v>
      </c>
      <c r="K7100">
        <v>9</v>
      </c>
      <c r="L7100">
        <v>0.2</v>
      </c>
      <c r="M7100">
        <v>1.5290999999999999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35</v>
      </c>
      <c r="I7101" t="s">
        <v>36</v>
      </c>
      <c r="J7101">
        <v>25.98</v>
      </c>
      <c r="K7101">
        <v>2</v>
      </c>
      <c r="L7101">
        <v>0</v>
      </c>
      <c r="M7101">
        <v>0.77939999999999998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34</v>
      </c>
      <c r="J7102">
        <v>3.28</v>
      </c>
      <c r="K7102">
        <v>2</v>
      </c>
      <c r="L7102">
        <v>0</v>
      </c>
      <c r="M7102">
        <v>1.476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32</v>
      </c>
      <c r="J7103">
        <v>459.88</v>
      </c>
      <c r="K7103">
        <v>4</v>
      </c>
      <c r="L7103">
        <v>0</v>
      </c>
      <c r="M7103">
        <v>13.7964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110</v>
      </c>
      <c r="J7104">
        <v>7.76</v>
      </c>
      <c r="K7104">
        <v>2</v>
      </c>
      <c r="L7104">
        <v>0</v>
      </c>
      <c r="M7104">
        <v>2.2504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34</v>
      </c>
      <c r="J7105">
        <v>71.959999999999994</v>
      </c>
      <c r="K7105">
        <v>2</v>
      </c>
      <c r="L7105">
        <v>0</v>
      </c>
      <c r="M7105">
        <v>17.989999999999998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110</v>
      </c>
      <c r="J7106">
        <v>54.9</v>
      </c>
      <c r="K7106">
        <v>5</v>
      </c>
      <c r="L7106">
        <v>0</v>
      </c>
      <c r="M7106">
        <v>15.372</v>
      </c>
    </row>
    <row r="7107" spans="1:13" x14ac:dyDescent="0.3">
      <c r="A7107" t="s">
        <v>28</v>
      </c>
      <c r="B7107" t="s">
        <v>14</v>
      </c>
      <c r="C7107" t="s">
        <v>15</v>
      </c>
      <c r="D7107" t="s">
        <v>75</v>
      </c>
      <c r="E7107" t="s">
        <v>76</v>
      </c>
      <c r="F7107">
        <v>10035</v>
      </c>
      <c r="G7107" t="s">
        <v>57</v>
      </c>
      <c r="H7107" t="s">
        <v>26</v>
      </c>
      <c r="I7107" t="s">
        <v>37</v>
      </c>
      <c r="J7107">
        <v>9.2799999999999994</v>
      </c>
      <c r="K7107">
        <v>2</v>
      </c>
      <c r="L7107">
        <v>0.2</v>
      </c>
      <c r="M7107">
        <v>3.2480000000000002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19</v>
      </c>
      <c r="I7108" t="s">
        <v>31</v>
      </c>
      <c r="J7108">
        <v>1685.88</v>
      </c>
      <c r="K7108">
        <v>6</v>
      </c>
      <c r="L7108">
        <v>0</v>
      </c>
      <c r="M7108">
        <v>320.31720000000001</v>
      </c>
    </row>
    <row r="7109" spans="1:13" x14ac:dyDescent="0.3">
      <c r="A7109" t="s">
        <v>62</v>
      </c>
      <c r="B7109" t="s">
        <v>22</v>
      </c>
      <c r="C7109" t="s">
        <v>15</v>
      </c>
      <c r="D7109" t="s">
        <v>16</v>
      </c>
      <c r="E7109" t="s">
        <v>177</v>
      </c>
      <c r="F7109">
        <v>89015</v>
      </c>
      <c r="G7109" t="s">
        <v>25</v>
      </c>
      <c r="H7109" t="s">
        <v>26</v>
      </c>
      <c r="I7109" t="s">
        <v>37</v>
      </c>
      <c r="J7109">
        <v>5.7279999999999998</v>
      </c>
      <c r="K7109">
        <v>2</v>
      </c>
      <c r="L7109">
        <v>0.2</v>
      </c>
      <c r="M7109">
        <v>2.0047999999999999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41</v>
      </c>
      <c r="J7110">
        <v>61.96</v>
      </c>
      <c r="K7110">
        <v>2</v>
      </c>
      <c r="L7110">
        <v>0</v>
      </c>
      <c r="M7110">
        <v>27.882000000000001</v>
      </c>
    </row>
    <row r="7111" spans="1:13" x14ac:dyDescent="0.3">
      <c r="A7111" t="s">
        <v>13</v>
      </c>
      <c r="B7111" t="s">
        <v>14</v>
      </c>
      <c r="C7111" t="s">
        <v>15</v>
      </c>
      <c r="D7111" t="s">
        <v>42</v>
      </c>
      <c r="E7111" t="s">
        <v>43</v>
      </c>
      <c r="F7111">
        <v>98103</v>
      </c>
      <c r="G7111" t="s">
        <v>25</v>
      </c>
      <c r="H7111" t="s">
        <v>26</v>
      </c>
      <c r="I7111" t="s">
        <v>37</v>
      </c>
      <c r="J7111">
        <v>1.3440000000000001</v>
      </c>
      <c r="K7111">
        <v>1</v>
      </c>
      <c r="L7111">
        <v>0.2</v>
      </c>
      <c r="M7111">
        <v>0.47039999999999998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75</v>
      </c>
      <c r="E7112" t="s">
        <v>76</v>
      </c>
      <c r="F7112">
        <v>10009</v>
      </c>
      <c r="G7112" t="s">
        <v>57</v>
      </c>
      <c r="H7112" t="s">
        <v>26</v>
      </c>
      <c r="I7112" t="s">
        <v>41</v>
      </c>
      <c r="J7112">
        <v>17.940000000000001</v>
      </c>
      <c r="K7112">
        <v>3</v>
      </c>
      <c r="L7112">
        <v>0</v>
      </c>
      <c r="M7112">
        <v>8.7905999999999995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42</v>
      </c>
      <c r="E7113" t="s">
        <v>43</v>
      </c>
      <c r="F7113">
        <v>98103</v>
      </c>
      <c r="G7113" t="s">
        <v>25</v>
      </c>
      <c r="H7113" t="s">
        <v>26</v>
      </c>
      <c r="I7113" t="s">
        <v>37</v>
      </c>
      <c r="J7113">
        <v>13.904</v>
      </c>
      <c r="K7113">
        <v>2</v>
      </c>
      <c r="L7113">
        <v>0.2</v>
      </c>
      <c r="M7113">
        <v>4.5187999999999997</v>
      </c>
    </row>
    <row r="7114" spans="1:13" x14ac:dyDescent="0.3">
      <c r="A7114" t="s">
        <v>28</v>
      </c>
      <c r="B7114" t="s">
        <v>22</v>
      </c>
      <c r="C7114" t="s">
        <v>15</v>
      </c>
      <c r="D7114" t="s">
        <v>299</v>
      </c>
      <c r="E7114" t="s">
        <v>86</v>
      </c>
      <c r="F7114">
        <v>37167</v>
      </c>
      <c r="G7114" t="s">
        <v>18</v>
      </c>
      <c r="H7114" t="s">
        <v>26</v>
      </c>
      <c r="I7114" t="s">
        <v>37</v>
      </c>
      <c r="J7114">
        <v>67.194000000000003</v>
      </c>
      <c r="K7114">
        <v>1</v>
      </c>
      <c r="L7114">
        <v>0.7</v>
      </c>
      <c r="M7114">
        <v>-51.5154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26</v>
      </c>
      <c r="I7115" t="s">
        <v>41</v>
      </c>
      <c r="J7115">
        <v>41.86</v>
      </c>
      <c r="K7115">
        <v>7</v>
      </c>
      <c r="L7115">
        <v>0</v>
      </c>
      <c r="M7115">
        <v>18.837</v>
      </c>
    </row>
    <row r="7116" spans="1:13" x14ac:dyDescent="0.3">
      <c r="A7116" t="s">
        <v>28</v>
      </c>
      <c r="B7116" t="s">
        <v>14</v>
      </c>
      <c r="C7116" t="s">
        <v>15</v>
      </c>
      <c r="D7116" t="s">
        <v>42</v>
      </c>
      <c r="E7116" t="s">
        <v>43</v>
      </c>
      <c r="F7116">
        <v>98105</v>
      </c>
      <c r="G7116" t="s">
        <v>25</v>
      </c>
      <c r="H7116" t="s">
        <v>19</v>
      </c>
      <c r="I7116" t="s">
        <v>20</v>
      </c>
      <c r="J7116">
        <v>141.96</v>
      </c>
      <c r="K7116">
        <v>2</v>
      </c>
      <c r="L7116">
        <v>0</v>
      </c>
      <c r="M7116">
        <v>41.168399999999998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19</v>
      </c>
      <c r="I7117" t="s">
        <v>33</v>
      </c>
      <c r="J7117">
        <v>10.02</v>
      </c>
      <c r="K7117">
        <v>3</v>
      </c>
      <c r="L7117">
        <v>0</v>
      </c>
      <c r="M7117">
        <v>4.4088000000000003</v>
      </c>
    </row>
    <row r="7118" spans="1:13" x14ac:dyDescent="0.3">
      <c r="A7118" t="s">
        <v>28</v>
      </c>
      <c r="B7118" t="s">
        <v>22</v>
      </c>
      <c r="C7118" t="s">
        <v>15</v>
      </c>
      <c r="D7118" t="s">
        <v>75</v>
      </c>
      <c r="E7118" t="s">
        <v>76</v>
      </c>
      <c r="F7118">
        <v>10035</v>
      </c>
      <c r="G7118" t="s">
        <v>57</v>
      </c>
      <c r="H7118" t="s">
        <v>26</v>
      </c>
      <c r="I7118" t="s">
        <v>41</v>
      </c>
      <c r="J7118">
        <v>144.12</v>
      </c>
      <c r="K7118">
        <v>3</v>
      </c>
      <c r="L7118">
        <v>0</v>
      </c>
      <c r="M7118">
        <v>69.177599999999998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41</v>
      </c>
      <c r="J7119">
        <v>17.940000000000001</v>
      </c>
      <c r="K7119">
        <v>3</v>
      </c>
      <c r="L7119">
        <v>0</v>
      </c>
      <c r="M7119">
        <v>8.7905999999999995</v>
      </c>
    </row>
    <row r="7120" spans="1:13" x14ac:dyDescent="0.3">
      <c r="A7120" t="s">
        <v>13</v>
      </c>
      <c r="B7120" t="s">
        <v>14</v>
      </c>
      <c r="C7120" t="s">
        <v>15</v>
      </c>
      <c r="D7120" t="s">
        <v>200</v>
      </c>
      <c r="E7120" t="s">
        <v>167</v>
      </c>
      <c r="F7120">
        <v>30318</v>
      </c>
      <c r="G7120" t="s">
        <v>18</v>
      </c>
      <c r="H7120" t="s">
        <v>26</v>
      </c>
      <c r="I7120" t="s">
        <v>34</v>
      </c>
      <c r="J7120">
        <v>13.89</v>
      </c>
      <c r="K7120">
        <v>3</v>
      </c>
      <c r="L7120">
        <v>0</v>
      </c>
      <c r="M7120">
        <v>4.5837000000000003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26</v>
      </c>
      <c r="I7121" t="s">
        <v>41</v>
      </c>
      <c r="J7121">
        <v>16.45</v>
      </c>
      <c r="K7121">
        <v>5</v>
      </c>
      <c r="L7121">
        <v>0</v>
      </c>
      <c r="M7121">
        <v>7.5670000000000002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114</v>
      </c>
      <c r="E7122" t="s">
        <v>72</v>
      </c>
      <c r="F7122">
        <v>19711</v>
      </c>
      <c r="G7122" t="s">
        <v>57</v>
      </c>
      <c r="H7122" t="s">
        <v>19</v>
      </c>
      <c r="I7122" t="s">
        <v>33</v>
      </c>
      <c r="J7122">
        <v>19.920000000000002</v>
      </c>
      <c r="K7122">
        <v>4</v>
      </c>
      <c r="L7122">
        <v>0</v>
      </c>
      <c r="M7122">
        <v>6.5735999999999999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35</v>
      </c>
      <c r="I7123" t="s">
        <v>59</v>
      </c>
      <c r="J7123">
        <v>35.167999999999999</v>
      </c>
      <c r="K7123">
        <v>4</v>
      </c>
      <c r="L7123">
        <v>0.2</v>
      </c>
      <c r="M7123">
        <v>8.3523999999999994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405</v>
      </c>
      <c r="E7124" t="s">
        <v>86</v>
      </c>
      <c r="F7124">
        <v>37211</v>
      </c>
      <c r="G7124" t="s">
        <v>18</v>
      </c>
      <c r="H7124" t="s">
        <v>26</v>
      </c>
      <c r="I7124" t="s">
        <v>41</v>
      </c>
      <c r="J7124">
        <v>123.08799999999999</v>
      </c>
      <c r="K7124">
        <v>7</v>
      </c>
      <c r="L7124">
        <v>0.2</v>
      </c>
      <c r="M7124">
        <v>40.003599999999999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19</v>
      </c>
      <c r="I7125" t="s">
        <v>31</v>
      </c>
      <c r="J7125">
        <v>257.94</v>
      </c>
      <c r="K7125">
        <v>3</v>
      </c>
      <c r="L7125">
        <v>0</v>
      </c>
      <c r="M7125">
        <v>67.064400000000006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35</v>
      </c>
      <c r="I7126" t="s">
        <v>36</v>
      </c>
      <c r="J7126">
        <v>1879.96</v>
      </c>
      <c r="K7126">
        <v>4</v>
      </c>
      <c r="L7126">
        <v>0</v>
      </c>
      <c r="M7126">
        <v>545.1884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19</v>
      </c>
      <c r="I7127" t="s">
        <v>33</v>
      </c>
      <c r="J7127">
        <v>27.46</v>
      </c>
      <c r="K7127">
        <v>2</v>
      </c>
      <c r="L7127">
        <v>0</v>
      </c>
      <c r="M7127">
        <v>9.8856000000000002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35</v>
      </c>
      <c r="I7128" t="s">
        <v>36</v>
      </c>
      <c r="J7128">
        <v>89.98</v>
      </c>
      <c r="K7128">
        <v>2</v>
      </c>
      <c r="L7128">
        <v>0</v>
      </c>
      <c r="M7128">
        <v>43.190399999999997</v>
      </c>
    </row>
    <row r="7129" spans="1:13" x14ac:dyDescent="0.3">
      <c r="A7129" t="s">
        <v>28</v>
      </c>
      <c r="B7129" t="s">
        <v>44</v>
      </c>
      <c r="C7129" t="s">
        <v>15</v>
      </c>
      <c r="D7129" t="s">
        <v>182</v>
      </c>
      <c r="E7129" t="s">
        <v>74</v>
      </c>
      <c r="F7129">
        <v>47374</v>
      </c>
      <c r="G7129" t="s">
        <v>47</v>
      </c>
      <c r="H7129" t="s">
        <v>19</v>
      </c>
      <c r="I7129" t="s">
        <v>21</v>
      </c>
      <c r="J7129">
        <v>828.6</v>
      </c>
      <c r="K7129">
        <v>3</v>
      </c>
      <c r="L7129">
        <v>0</v>
      </c>
      <c r="M7129">
        <v>240.29400000000001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37</v>
      </c>
      <c r="J7130">
        <v>7.23</v>
      </c>
      <c r="K7130">
        <v>5</v>
      </c>
      <c r="L7130">
        <v>0.7</v>
      </c>
      <c r="M7130">
        <v>-5.7839999999999998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32</v>
      </c>
      <c r="J7131">
        <v>17.440000000000001</v>
      </c>
      <c r="K7131">
        <v>2</v>
      </c>
      <c r="L7131">
        <v>0.2</v>
      </c>
      <c r="M7131">
        <v>1.3080000000000001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26</v>
      </c>
      <c r="I7132" t="s">
        <v>37</v>
      </c>
      <c r="J7132">
        <v>62.88</v>
      </c>
      <c r="K7132">
        <v>4</v>
      </c>
      <c r="L7132">
        <v>0.7</v>
      </c>
      <c r="M7132">
        <v>-50.304000000000002</v>
      </c>
    </row>
    <row r="7133" spans="1:13" x14ac:dyDescent="0.3">
      <c r="A7133" t="s">
        <v>28</v>
      </c>
      <c r="B7133" t="s">
        <v>14</v>
      </c>
      <c r="C7133" t="s">
        <v>15</v>
      </c>
      <c r="D7133" t="s">
        <v>180</v>
      </c>
      <c r="E7133" t="s">
        <v>30</v>
      </c>
      <c r="F7133">
        <v>33180</v>
      </c>
      <c r="G7133" t="s">
        <v>18</v>
      </c>
      <c r="H7133" t="s">
        <v>19</v>
      </c>
      <c r="I7133" t="s">
        <v>20</v>
      </c>
      <c r="J7133">
        <v>290.35199999999998</v>
      </c>
      <c r="K7133">
        <v>3</v>
      </c>
      <c r="L7133">
        <v>0.2</v>
      </c>
      <c r="M7133">
        <v>-36.293999999999997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35</v>
      </c>
      <c r="I7134" t="s">
        <v>59</v>
      </c>
      <c r="J7134">
        <v>113.52</v>
      </c>
      <c r="K7134">
        <v>4</v>
      </c>
      <c r="L7134">
        <v>0</v>
      </c>
      <c r="M7134">
        <v>46.543199999999999</v>
      </c>
    </row>
    <row r="7135" spans="1:13" x14ac:dyDescent="0.3">
      <c r="A7135" t="s">
        <v>168</v>
      </c>
      <c r="B7135" t="s">
        <v>14</v>
      </c>
      <c r="C7135" t="s">
        <v>15</v>
      </c>
      <c r="D7135" t="s">
        <v>582</v>
      </c>
      <c r="E7135" t="s">
        <v>112</v>
      </c>
      <c r="F7135">
        <v>63301</v>
      </c>
      <c r="G7135" t="s">
        <v>47</v>
      </c>
      <c r="H7135" t="s">
        <v>19</v>
      </c>
      <c r="I7135" t="s">
        <v>33</v>
      </c>
      <c r="J7135">
        <v>135.30000000000001</v>
      </c>
      <c r="K7135">
        <v>5</v>
      </c>
      <c r="L7135">
        <v>0</v>
      </c>
      <c r="M7135">
        <v>37.884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258</v>
      </c>
      <c r="E7136" t="s">
        <v>83</v>
      </c>
      <c r="F7136">
        <v>23464</v>
      </c>
      <c r="G7136" t="s">
        <v>18</v>
      </c>
      <c r="H7136" t="s">
        <v>19</v>
      </c>
      <c r="I7136" t="s">
        <v>33</v>
      </c>
      <c r="J7136">
        <v>111.15</v>
      </c>
      <c r="K7136">
        <v>5</v>
      </c>
      <c r="L7136">
        <v>0</v>
      </c>
      <c r="M7136">
        <v>48.905999999999999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35</v>
      </c>
      <c r="I7137" t="s">
        <v>36</v>
      </c>
      <c r="J7137">
        <v>776.85</v>
      </c>
      <c r="K7137">
        <v>5</v>
      </c>
      <c r="L7137">
        <v>0.4</v>
      </c>
      <c r="M7137">
        <v>-181.26499999999999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26</v>
      </c>
      <c r="I7138" t="s">
        <v>37</v>
      </c>
      <c r="J7138">
        <v>12.294</v>
      </c>
      <c r="K7138">
        <v>1</v>
      </c>
      <c r="L7138">
        <v>0.7</v>
      </c>
      <c r="M7138">
        <v>-8.6058000000000003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19</v>
      </c>
      <c r="I7139" t="s">
        <v>31</v>
      </c>
      <c r="J7139">
        <v>154.76400000000001</v>
      </c>
      <c r="K7139">
        <v>3</v>
      </c>
      <c r="L7139">
        <v>0.4</v>
      </c>
      <c r="M7139">
        <v>-46.429200000000002</v>
      </c>
    </row>
    <row r="7140" spans="1:13" x14ac:dyDescent="0.3">
      <c r="A7140" t="s">
        <v>28</v>
      </c>
      <c r="B7140" t="s">
        <v>44</v>
      </c>
      <c r="C7140" t="s">
        <v>15</v>
      </c>
      <c r="D7140" t="s">
        <v>55</v>
      </c>
      <c r="E7140" t="s">
        <v>56</v>
      </c>
      <c r="F7140">
        <v>19140</v>
      </c>
      <c r="G7140" t="s">
        <v>57</v>
      </c>
      <c r="H7140" t="s">
        <v>26</v>
      </c>
      <c r="I7140" t="s">
        <v>32</v>
      </c>
      <c r="J7140">
        <v>43.28</v>
      </c>
      <c r="K7140">
        <v>1</v>
      </c>
      <c r="L7140">
        <v>0.2</v>
      </c>
      <c r="M7140">
        <v>3.246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41</v>
      </c>
      <c r="J7141">
        <v>92.94</v>
      </c>
      <c r="K7141">
        <v>3</v>
      </c>
      <c r="L7141">
        <v>0</v>
      </c>
      <c r="M7141">
        <v>41.823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159</v>
      </c>
      <c r="E7142" t="s">
        <v>76</v>
      </c>
      <c r="F7142">
        <v>11561</v>
      </c>
      <c r="G7142" t="s">
        <v>57</v>
      </c>
      <c r="H7142" t="s">
        <v>26</v>
      </c>
      <c r="I7142" t="s">
        <v>38</v>
      </c>
      <c r="J7142">
        <v>52.56</v>
      </c>
      <c r="K7142">
        <v>3</v>
      </c>
      <c r="L7142">
        <v>0</v>
      </c>
      <c r="M7142">
        <v>18.396000000000001</v>
      </c>
    </row>
    <row r="7143" spans="1:13" x14ac:dyDescent="0.3">
      <c r="A7143" t="s">
        <v>28</v>
      </c>
      <c r="B7143" t="s">
        <v>14</v>
      </c>
      <c r="C7143" t="s">
        <v>15</v>
      </c>
      <c r="D7143" t="s">
        <v>61</v>
      </c>
      <c r="E7143" t="s">
        <v>46</v>
      </c>
      <c r="F7143">
        <v>77070</v>
      </c>
      <c r="G7143" t="s">
        <v>47</v>
      </c>
      <c r="H7143" t="s">
        <v>35</v>
      </c>
      <c r="I7143" t="s">
        <v>36</v>
      </c>
      <c r="J7143">
        <v>971.88</v>
      </c>
      <c r="K7143">
        <v>3</v>
      </c>
      <c r="L7143">
        <v>0.2</v>
      </c>
      <c r="M7143">
        <v>109.3365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519</v>
      </c>
      <c r="E7144" t="s">
        <v>88</v>
      </c>
      <c r="F7144">
        <v>35401</v>
      </c>
      <c r="G7144" t="s">
        <v>18</v>
      </c>
      <c r="H7144" t="s">
        <v>19</v>
      </c>
      <c r="I7144" t="s">
        <v>21</v>
      </c>
      <c r="J7144">
        <v>141.96</v>
      </c>
      <c r="K7144">
        <v>2</v>
      </c>
      <c r="L7144">
        <v>0</v>
      </c>
      <c r="M7144">
        <v>35.49</v>
      </c>
    </row>
    <row r="7145" spans="1:13" x14ac:dyDescent="0.3">
      <c r="A7145" t="s">
        <v>13</v>
      </c>
      <c r="B7145" t="s">
        <v>14</v>
      </c>
      <c r="C7145" t="s">
        <v>15</v>
      </c>
      <c r="D7145" t="s">
        <v>206</v>
      </c>
      <c r="E7145" t="s">
        <v>81</v>
      </c>
      <c r="F7145">
        <v>85204</v>
      </c>
      <c r="G7145" t="s">
        <v>25</v>
      </c>
      <c r="H7145" t="s">
        <v>19</v>
      </c>
      <c r="I7145" t="s">
        <v>31</v>
      </c>
      <c r="J7145">
        <v>182.55</v>
      </c>
      <c r="K7145">
        <v>2</v>
      </c>
      <c r="L7145">
        <v>0.5</v>
      </c>
      <c r="M7145">
        <v>-135.08699999999999</v>
      </c>
    </row>
    <row r="7146" spans="1:13" x14ac:dyDescent="0.3">
      <c r="A7146" t="s">
        <v>28</v>
      </c>
      <c r="B7146" t="s">
        <v>22</v>
      </c>
      <c r="C7146" t="s">
        <v>15</v>
      </c>
      <c r="D7146" t="s">
        <v>189</v>
      </c>
      <c r="E7146" t="s">
        <v>40</v>
      </c>
      <c r="F7146">
        <v>28540</v>
      </c>
      <c r="G7146" t="s">
        <v>18</v>
      </c>
      <c r="H7146" t="s">
        <v>26</v>
      </c>
      <c r="I7146" t="s">
        <v>41</v>
      </c>
      <c r="J7146">
        <v>88.768000000000001</v>
      </c>
      <c r="K7146">
        <v>2</v>
      </c>
      <c r="L7146">
        <v>0.2</v>
      </c>
      <c r="M7146">
        <v>31.0688</v>
      </c>
    </row>
    <row r="7147" spans="1:13" x14ac:dyDescent="0.3">
      <c r="A7147" t="s">
        <v>28</v>
      </c>
      <c r="B7147" t="s">
        <v>14</v>
      </c>
      <c r="C7147" t="s">
        <v>15</v>
      </c>
      <c r="D7147" t="s">
        <v>79</v>
      </c>
      <c r="E7147" t="s">
        <v>65</v>
      </c>
      <c r="F7147">
        <v>60610</v>
      </c>
      <c r="G7147" t="s">
        <v>47</v>
      </c>
      <c r="H7147" t="s">
        <v>26</v>
      </c>
      <c r="I7147" t="s">
        <v>38</v>
      </c>
      <c r="J7147">
        <v>53.088000000000001</v>
      </c>
      <c r="K7147">
        <v>7</v>
      </c>
      <c r="L7147">
        <v>0.8</v>
      </c>
      <c r="M7147">
        <v>-108.8304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19</v>
      </c>
      <c r="I7148" t="s">
        <v>33</v>
      </c>
      <c r="J7148">
        <v>275.88</v>
      </c>
      <c r="K7148">
        <v>6</v>
      </c>
      <c r="L7148">
        <v>0</v>
      </c>
      <c r="M7148">
        <v>46.8996</v>
      </c>
    </row>
    <row r="7149" spans="1:13" x14ac:dyDescent="0.3">
      <c r="A7149" t="s">
        <v>13</v>
      </c>
      <c r="B7149" t="s">
        <v>14</v>
      </c>
      <c r="C7149" t="s">
        <v>15</v>
      </c>
      <c r="D7149" t="s">
        <v>103</v>
      </c>
      <c r="E7149" t="s">
        <v>167</v>
      </c>
      <c r="F7149">
        <v>31907</v>
      </c>
      <c r="G7149" t="s">
        <v>18</v>
      </c>
      <c r="H7149" t="s">
        <v>26</v>
      </c>
      <c r="I7149" t="s">
        <v>37</v>
      </c>
      <c r="J7149">
        <v>157.9</v>
      </c>
      <c r="K7149">
        <v>5</v>
      </c>
      <c r="L7149">
        <v>0</v>
      </c>
      <c r="M7149">
        <v>74.212999999999994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423</v>
      </c>
      <c r="E7150" t="s">
        <v>132</v>
      </c>
      <c r="F7150">
        <v>7050</v>
      </c>
      <c r="G7150" t="s">
        <v>57</v>
      </c>
      <c r="H7150" t="s">
        <v>26</v>
      </c>
      <c r="I7150" t="s">
        <v>27</v>
      </c>
      <c r="J7150">
        <v>4.91</v>
      </c>
      <c r="K7150">
        <v>1</v>
      </c>
      <c r="L7150">
        <v>0</v>
      </c>
      <c r="M7150">
        <v>2.4058999999999999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32</v>
      </c>
      <c r="J7151">
        <v>87.92</v>
      </c>
      <c r="K7151">
        <v>4</v>
      </c>
      <c r="L7151">
        <v>0</v>
      </c>
      <c r="M7151">
        <v>0.87919999999999998</v>
      </c>
    </row>
    <row r="7152" spans="1:13" x14ac:dyDescent="0.3">
      <c r="A7152" t="s">
        <v>13</v>
      </c>
      <c r="B7152" t="s">
        <v>14</v>
      </c>
      <c r="C7152" t="s">
        <v>15</v>
      </c>
      <c r="D7152" t="s">
        <v>23</v>
      </c>
      <c r="E7152" t="s">
        <v>24</v>
      </c>
      <c r="F7152">
        <v>90032</v>
      </c>
      <c r="G7152" t="s">
        <v>25</v>
      </c>
      <c r="H7152" t="s">
        <v>26</v>
      </c>
      <c r="I7152" t="s">
        <v>41</v>
      </c>
      <c r="J7152">
        <v>5.98</v>
      </c>
      <c r="K7152">
        <v>1</v>
      </c>
      <c r="L7152">
        <v>0</v>
      </c>
      <c r="M7152">
        <v>2.9302000000000001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35</v>
      </c>
      <c r="I7153" t="s">
        <v>36</v>
      </c>
      <c r="J7153">
        <v>222.38399999999999</v>
      </c>
      <c r="K7153">
        <v>2</v>
      </c>
      <c r="L7153">
        <v>0.2</v>
      </c>
      <c r="M7153">
        <v>16.678799999999999</v>
      </c>
    </row>
    <row r="7154" spans="1:13" x14ac:dyDescent="0.3">
      <c r="A7154" t="s">
        <v>13</v>
      </c>
      <c r="B7154" t="s">
        <v>44</v>
      </c>
      <c r="C7154" t="s">
        <v>15</v>
      </c>
      <c r="D7154" t="s">
        <v>79</v>
      </c>
      <c r="E7154" t="s">
        <v>65</v>
      </c>
      <c r="F7154">
        <v>60623</v>
      </c>
      <c r="G7154" t="s">
        <v>47</v>
      </c>
      <c r="H7154" t="s">
        <v>26</v>
      </c>
      <c r="I7154" t="s">
        <v>77</v>
      </c>
      <c r="J7154">
        <v>16</v>
      </c>
      <c r="K7154">
        <v>4</v>
      </c>
      <c r="L7154">
        <v>0.2</v>
      </c>
      <c r="M7154">
        <v>5.6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41</v>
      </c>
      <c r="J7155">
        <v>21.84</v>
      </c>
      <c r="K7155">
        <v>3</v>
      </c>
      <c r="L7155">
        <v>0</v>
      </c>
      <c r="M7155">
        <v>10.92</v>
      </c>
    </row>
    <row r="7156" spans="1:13" x14ac:dyDescent="0.3">
      <c r="A7156" t="s">
        <v>28</v>
      </c>
      <c r="B7156" t="s">
        <v>14</v>
      </c>
      <c r="C7156" t="s">
        <v>15</v>
      </c>
      <c r="D7156" t="s">
        <v>182</v>
      </c>
      <c r="E7156" t="s">
        <v>83</v>
      </c>
      <c r="F7156">
        <v>23223</v>
      </c>
      <c r="G7156" t="s">
        <v>18</v>
      </c>
      <c r="H7156" t="s">
        <v>26</v>
      </c>
      <c r="I7156" t="s">
        <v>37</v>
      </c>
      <c r="J7156">
        <v>15.6</v>
      </c>
      <c r="K7156">
        <v>5</v>
      </c>
      <c r="L7156">
        <v>0</v>
      </c>
      <c r="M7156">
        <v>7.6440000000000001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60</v>
      </c>
      <c r="J7157">
        <v>247.84</v>
      </c>
      <c r="K7157">
        <v>8</v>
      </c>
      <c r="L7157">
        <v>0</v>
      </c>
      <c r="M7157">
        <v>121.44159999999999</v>
      </c>
    </row>
    <row r="7158" spans="1:13" x14ac:dyDescent="0.3">
      <c r="A7158" t="s">
        <v>13</v>
      </c>
      <c r="B7158" t="s">
        <v>22</v>
      </c>
      <c r="C7158" t="s">
        <v>15</v>
      </c>
      <c r="D7158" t="s">
        <v>78</v>
      </c>
      <c r="E7158" t="s">
        <v>76</v>
      </c>
      <c r="F7158">
        <v>12180</v>
      </c>
      <c r="G7158" t="s">
        <v>57</v>
      </c>
      <c r="H7158" t="s">
        <v>26</v>
      </c>
      <c r="I7158" t="s">
        <v>37</v>
      </c>
      <c r="J7158">
        <v>9.9120000000000008</v>
      </c>
      <c r="K7158">
        <v>3</v>
      </c>
      <c r="L7158">
        <v>0.2</v>
      </c>
      <c r="M7158">
        <v>3.3452999999999999</v>
      </c>
    </row>
    <row r="7159" spans="1:13" x14ac:dyDescent="0.3">
      <c r="A7159" t="s">
        <v>62</v>
      </c>
      <c r="B7159" t="s">
        <v>14</v>
      </c>
      <c r="C7159" t="s">
        <v>15</v>
      </c>
      <c r="D7159" t="s">
        <v>290</v>
      </c>
      <c r="E7159" t="s">
        <v>179</v>
      </c>
      <c r="F7159">
        <v>2908</v>
      </c>
      <c r="G7159" t="s">
        <v>57</v>
      </c>
      <c r="H7159" t="s">
        <v>26</v>
      </c>
      <c r="I7159" t="s">
        <v>32</v>
      </c>
      <c r="J7159">
        <v>69.52</v>
      </c>
      <c r="K7159">
        <v>2</v>
      </c>
      <c r="L7159">
        <v>0</v>
      </c>
      <c r="M7159">
        <v>17.38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26</v>
      </c>
      <c r="I7160" t="s">
        <v>34</v>
      </c>
      <c r="J7160">
        <v>11.52</v>
      </c>
      <c r="K7160">
        <v>4</v>
      </c>
      <c r="L7160">
        <v>0</v>
      </c>
      <c r="M7160">
        <v>3.2256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19</v>
      </c>
      <c r="I7161" t="s">
        <v>21</v>
      </c>
      <c r="J7161">
        <v>717.72</v>
      </c>
      <c r="K7161">
        <v>3</v>
      </c>
      <c r="L7161">
        <v>0.2</v>
      </c>
      <c r="M7161">
        <v>71.772000000000006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26</v>
      </c>
      <c r="I7162" t="s">
        <v>32</v>
      </c>
      <c r="J7162">
        <v>236.5</v>
      </c>
      <c r="K7162">
        <v>10</v>
      </c>
      <c r="L7162">
        <v>0</v>
      </c>
      <c r="M7162">
        <v>68.584999999999994</v>
      </c>
    </row>
    <row r="7163" spans="1:13" x14ac:dyDescent="0.3">
      <c r="A7163" t="s">
        <v>13</v>
      </c>
      <c r="B7163" t="s">
        <v>14</v>
      </c>
      <c r="C7163" t="s">
        <v>15</v>
      </c>
      <c r="D7163" t="s">
        <v>52</v>
      </c>
      <c r="E7163" t="s">
        <v>24</v>
      </c>
      <c r="F7163">
        <v>94122</v>
      </c>
      <c r="G7163" t="s">
        <v>25</v>
      </c>
      <c r="H7163" t="s">
        <v>19</v>
      </c>
      <c r="I7163" t="s">
        <v>31</v>
      </c>
      <c r="J7163">
        <v>170.352</v>
      </c>
      <c r="K7163">
        <v>3</v>
      </c>
      <c r="L7163">
        <v>0.2</v>
      </c>
      <c r="M7163">
        <v>19.1646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75</v>
      </c>
      <c r="E7164" t="s">
        <v>76</v>
      </c>
      <c r="F7164">
        <v>10009</v>
      </c>
      <c r="G7164" t="s">
        <v>57</v>
      </c>
      <c r="H7164" t="s">
        <v>19</v>
      </c>
      <c r="I7164" t="s">
        <v>21</v>
      </c>
      <c r="J7164">
        <v>145.76400000000001</v>
      </c>
      <c r="K7164">
        <v>2</v>
      </c>
      <c r="L7164">
        <v>0.1</v>
      </c>
      <c r="M7164">
        <v>3.2391999999999999</v>
      </c>
    </row>
    <row r="7165" spans="1:13" x14ac:dyDescent="0.3">
      <c r="A7165" t="s">
        <v>13</v>
      </c>
      <c r="B7165" t="s">
        <v>14</v>
      </c>
      <c r="C7165" t="s">
        <v>15</v>
      </c>
      <c r="D7165" t="s">
        <v>52</v>
      </c>
      <c r="E7165" t="s">
        <v>24</v>
      </c>
      <c r="F7165">
        <v>94109</v>
      </c>
      <c r="G7165" t="s">
        <v>25</v>
      </c>
      <c r="H7165" t="s">
        <v>35</v>
      </c>
      <c r="I7165" t="s">
        <v>59</v>
      </c>
      <c r="J7165">
        <v>107.97</v>
      </c>
      <c r="K7165">
        <v>3</v>
      </c>
      <c r="L7165">
        <v>0</v>
      </c>
      <c r="M7165">
        <v>22.6737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59</v>
      </c>
      <c r="J7166">
        <v>143.96</v>
      </c>
      <c r="K7166">
        <v>5</v>
      </c>
      <c r="L7166">
        <v>0.2</v>
      </c>
      <c r="M7166">
        <v>1.7995000000000001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35</v>
      </c>
      <c r="I7167" t="s">
        <v>162</v>
      </c>
      <c r="J7167">
        <v>2399.96</v>
      </c>
      <c r="K7167">
        <v>5</v>
      </c>
      <c r="L7167">
        <v>0.2</v>
      </c>
      <c r="M7167">
        <v>569.9905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41</v>
      </c>
      <c r="J7168">
        <v>74.352000000000004</v>
      </c>
      <c r="K7168">
        <v>3</v>
      </c>
      <c r="L7168">
        <v>0.2</v>
      </c>
      <c r="M7168">
        <v>23.234999999999999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38</v>
      </c>
      <c r="J7169">
        <v>87.168000000000006</v>
      </c>
      <c r="K7169">
        <v>8</v>
      </c>
      <c r="L7169">
        <v>0.8</v>
      </c>
      <c r="M7169">
        <v>-226.63679999999999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61</v>
      </c>
      <c r="E7170" t="s">
        <v>46</v>
      </c>
      <c r="F7170">
        <v>77070</v>
      </c>
      <c r="G7170" t="s">
        <v>47</v>
      </c>
      <c r="H7170" t="s">
        <v>26</v>
      </c>
      <c r="I7170" t="s">
        <v>32</v>
      </c>
      <c r="J7170">
        <v>32.231999999999999</v>
      </c>
      <c r="K7170">
        <v>3</v>
      </c>
      <c r="L7170">
        <v>0.2</v>
      </c>
      <c r="M7170">
        <v>2.4174000000000002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2.202</v>
      </c>
      <c r="K7171">
        <v>2</v>
      </c>
      <c r="L7171">
        <v>0.7</v>
      </c>
      <c r="M7171">
        <v>-1.5414000000000001</v>
      </c>
    </row>
    <row r="7172" spans="1:13" x14ac:dyDescent="0.3">
      <c r="A7172" t="s">
        <v>28</v>
      </c>
      <c r="B7172" t="s">
        <v>22</v>
      </c>
      <c r="C7172" t="s">
        <v>15</v>
      </c>
      <c r="D7172" t="s">
        <v>55</v>
      </c>
      <c r="E7172" t="s">
        <v>56</v>
      </c>
      <c r="F7172">
        <v>19140</v>
      </c>
      <c r="G7172" t="s">
        <v>57</v>
      </c>
      <c r="H7172" t="s">
        <v>26</v>
      </c>
      <c r="I7172" t="s">
        <v>37</v>
      </c>
      <c r="J7172">
        <v>9.3960000000000008</v>
      </c>
      <c r="K7172">
        <v>3</v>
      </c>
      <c r="L7172">
        <v>0.7</v>
      </c>
      <c r="M7172">
        <v>-7.5167999999999999</v>
      </c>
    </row>
    <row r="7173" spans="1:13" x14ac:dyDescent="0.3">
      <c r="A7173" t="s">
        <v>28</v>
      </c>
      <c r="B7173" t="s">
        <v>14</v>
      </c>
      <c r="C7173" t="s">
        <v>15</v>
      </c>
      <c r="D7173" t="s">
        <v>333</v>
      </c>
      <c r="E7173" t="s">
        <v>248</v>
      </c>
      <c r="F7173">
        <v>21215</v>
      </c>
      <c r="G7173" t="s">
        <v>57</v>
      </c>
      <c r="H7173" t="s">
        <v>35</v>
      </c>
      <c r="I7173" t="s">
        <v>36</v>
      </c>
      <c r="J7173">
        <v>89.97</v>
      </c>
      <c r="K7173">
        <v>3</v>
      </c>
      <c r="L7173">
        <v>0</v>
      </c>
      <c r="M7173">
        <v>25.191600000000001</v>
      </c>
    </row>
    <row r="7174" spans="1:13" x14ac:dyDescent="0.3">
      <c r="A7174" t="s">
        <v>62</v>
      </c>
      <c r="B7174" t="s">
        <v>22</v>
      </c>
      <c r="C7174" t="s">
        <v>15</v>
      </c>
      <c r="D7174" t="s">
        <v>508</v>
      </c>
      <c r="E7174" t="s">
        <v>167</v>
      </c>
      <c r="F7174">
        <v>30605</v>
      </c>
      <c r="G7174" t="s">
        <v>18</v>
      </c>
      <c r="H7174" t="s">
        <v>26</v>
      </c>
      <c r="I7174" t="s">
        <v>34</v>
      </c>
      <c r="J7174">
        <v>12.78</v>
      </c>
      <c r="K7174">
        <v>3</v>
      </c>
      <c r="L7174">
        <v>0</v>
      </c>
      <c r="M7174">
        <v>5.2397999999999998</v>
      </c>
    </row>
    <row r="7175" spans="1:13" x14ac:dyDescent="0.3">
      <c r="A7175" t="s">
        <v>13</v>
      </c>
      <c r="B7175" t="s">
        <v>14</v>
      </c>
      <c r="C7175" t="s">
        <v>15</v>
      </c>
      <c r="D7175" t="s">
        <v>235</v>
      </c>
      <c r="E7175" t="s">
        <v>104</v>
      </c>
      <c r="F7175">
        <v>43130</v>
      </c>
      <c r="G7175" t="s">
        <v>57</v>
      </c>
      <c r="H7175" t="s">
        <v>35</v>
      </c>
      <c r="I7175" t="s">
        <v>59</v>
      </c>
      <c r="J7175">
        <v>40</v>
      </c>
      <c r="K7175">
        <v>2</v>
      </c>
      <c r="L7175">
        <v>0.2</v>
      </c>
      <c r="M7175">
        <v>0.5</v>
      </c>
    </row>
    <row r="7176" spans="1:13" x14ac:dyDescent="0.3">
      <c r="A7176" t="s">
        <v>28</v>
      </c>
      <c r="B7176" t="s">
        <v>44</v>
      </c>
      <c r="C7176" t="s">
        <v>15</v>
      </c>
      <c r="D7176" t="s">
        <v>23</v>
      </c>
      <c r="E7176" t="s">
        <v>24</v>
      </c>
      <c r="F7176">
        <v>90032</v>
      </c>
      <c r="G7176" t="s">
        <v>25</v>
      </c>
      <c r="H7176" t="s">
        <v>26</v>
      </c>
      <c r="I7176" t="s">
        <v>37</v>
      </c>
      <c r="J7176">
        <v>23.24</v>
      </c>
      <c r="K7176">
        <v>5</v>
      </c>
      <c r="L7176">
        <v>0.2</v>
      </c>
      <c r="M7176">
        <v>7.5529999999999999</v>
      </c>
    </row>
    <row r="7177" spans="1:13" x14ac:dyDescent="0.3">
      <c r="A7177" t="s">
        <v>62</v>
      </c>
      <c r="B7177" t="s">
        <v>14</v>
      </c>
      <c r="C7177" t="s">
        <v>15</v>
      </c>
      <c r="D7177" t="s">
        <v>333</v>
      </c>
      <c r="E7177" t="s">
        <v>248</v>
      </c>
      <c r="F7177">
        <v>21215</v>
      </c>
      <c r="G7177" t="s">
        <v>57</v>
      </c>
      <c r="H7177" t="s">
        <v>19</v>
      </c>
      <c r="I7177" t="s">
        <v>21</v>
      </c>
      <c r="J7177">
        <v>908.82</v>
      </c>
      <c r="K7177">
        <v>9</v>
      </c>
      <c r="L7177">
        <v>0</v>
      </c>
      <c r="M7177">
        <v>227.20500000000001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110</v>
      </c>
      <c r="J7178">
        <v>5.5519999999999996</v>
      </c>
      <c r="K7178">
        <v>2</v>
      </c>
      <c r="L7178">
        <v>0.2</v>
      </c>
      <c r="M7178">
        <v>-1.0409999999999999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26</v>
      </c>
      <c r="I7179" t="s">
        <v>34</v>
      </c>
      <c r="J7179">
        <v>8.016</v>
      </c>
      <c r="K7179">
        <v>3</v>
      </c>
      <c r="L7179">
        <v>0.2</v>
      </c>
      <c r="M7179">
        <v>1.002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21</v>
      </c>
      <c r="J7180">
        <v>74.591999999999999</v>
      </c>
      <c r="K7180">
        <v>4</v>
      </c>
      <c r="L7180">
        <v>0.3</v>
      </c>
      <c r="M7180">
        <v>-2.1312000000000002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19</v>
      </c>
      <c r="I7181" t="s">
        <v>33</v>
      </c>
      <c r="J7181">
        <v>16.783999999999999</v>
      </c>
      <c r="K7181">
        <v>2</v>
      </c>
      <c r="L7181">
        <v>0.6</v>
      </c>
      <c r="M7181">
        <v>-22.238800000000001</v>
      </c>
    </row>
    <row r="7182" spans="1:13" x14ac:dyDescent="0.3">
      <c r="A7182" t="s">
        <v>28</v>
      </c>
      <c r="B7182" t="s">
        <v>44</v>
      </c>
      <c r="C7182" t="s">
        <v>15</v>
      </c>
      <c r="D7182" t="s">
        <v>61</v>
      </c>
      <c r="E7182" t="s">
        <v>46</v>
      </c>
      <c r="F7182">
        <v>77095</v>
      </c>
      <c r="G7182" t="s">
        <v>47</v>
      </c>
      <c r="H7182" t="s">
        <v>26</v>
      </c>
      <c r="I7182" t="s">
        <v>38</v>
      </c>
      <c r="J7182">
        <v>38.863999999999997</v>
      </c>
      <c r="K7182">
        <v>4</v>
      </c>
      <c r="L7182">
        <v>0.8</v>
      </c>
      <c r="M7182">
        <v>-99.103200000000001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35</v>
      </c>
      <c r="I7183" t="s">
        <v>36</v>
      </c>
      <c r="J7183">
        <v>203.976</v>
      </c>
      <c r="K7183">
        <v>3</v>
      </c>
      <c r="L7183">
        <v>0.2</v>
      </c>
      <c r="M7183">
        <v>25.497</v>
      </c>
    </row>
    <row r="7184" spans="1:13" x14ac:dyDescent="0.3">
      <c r="A7184" t="s">
        <v>62</v>
      </c>
      <c r="B7184" t="s">
        <v>44</v>
      </c>
      <c r="C7184" t="s">
        <v>15</v>
      </c>
      <c r="D7184" t="s">
        <v>144</v>
      </c>
      <c r="E7184" t="s">
        <v>24</v>
      </c>
      <c r="F7184">
        <v>92024</v>
      </c>
      <c r="G7184" t="s">
        <v>25</v>
      </c>
      <c r="H7184" t="s">
        <v>19</v>
      </c>
      <c r="I7184" t="s">
        <v>31</v>
      </c>
      <c r="J7184">
        <v>674.35199999999998</v>
      </c>
      <c r="K7184">
        <v>3</v>
      </c>
      <c r="L7184">
        <v>0.2</v>
      </c>
      <c r="M7184">
        <v>-8.4293999999999993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37</v>
      </c>
      <c r="J7185">
        <v>5.3879999999999999</v>
      </c>
      <c r="K7185">
        <v>4</v>
      </c>
      <c r="L7185">
        <v>0.7</v>
      </c>
      <c r="M7185">
        <v>-4.49</v>
      </c>
    </row>
    <row r="7186" spans="1:13" x14ac:dyDescent="0.3">
      <c r="A7186" t="s">
        <v>13</v>
      </c>
      <c r="B7186" t="s">
        <v>14</v>
      </c>
      <c r="C7186" t="s">
        <v>15</v>
      </c>
      <c r="D7186" t="s">
        <v>229</v>
      </c>
      <c r="E7186" t="s">
        <v>30</v>
      </c>
      <c r="F7186">
        <v>33012</v>
      </c>
      <c r="G7186" t="s">
        <v>18</v>
      </c>
      <c r="H7186" t="s">
        <v>26</v>
      </c>
      <c r="I7186" t="s">
        <v>34</v>
      </c>
      <c r="J7186">
        <v>30.975999999999999</v>
      </c>
      <c r="K7186">
        <v>8</v>
      </c>
      <c r="L7186">
        <v>0.2</v>
      </c>
      <c r="M7186">
        <v>5.0335999999999999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32</v>
      </c>
      <c r="J7187">
        <v>1350.12</v>
      </c>
      <c r="K7187">
        <v>6</v>
      </c>
      <c r="L7187">
        <v>0</v>
      </c>
      <c r="M7187">
        <v>175.51560000000001</v>
      </c>
    </row>
    <row r="7188" spans="1:13" x14ac:dyDescent="0.3">
      <c r="A7188" t="s">
        <v>62</v>
      </c>
      <c r="B7188" t="s">
        <v>14</v>
      </c>
      <c r="C7188" t="s">
        <v>15</v>
      </c>
      <c r="D7188" t="s">
        <v>200</v>
      </c>
      <c r="E7188" t="s">
        <v>167</v>
      </c>
      <c r="F7188">
        <v>30318</v>
      </c>
      <c r="G7188" t="s">
        <v>18</v>
      </c>
      <c r="H7188" t="s">
        <v>26</v>
      </c>
      <c r="I7188" t="s">
        <v>37</v>
      </c>
      <c r="J7188">
        <v>15.92</v>
      </c>
      <c r="K7188">
        <v>4</v>
      </c>
      <c r="L7188">
        <v>0</v>
      </c>
      <c r="M7188">
        <v>7.4824000000000002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42</v>
      </c>
      <c r="E7189" t="s">
        <v>43</v>
      </c>
      <c r="F7189">
        <v>98103</v>
      </c>
      <c r="G7189" t="s">
        <v>25</v>
      </c>
      <c r="H7189" t="s">
        <v>19</v>
      </c>
      <c r="I7189" t="s">
        <v>33</v>
      </c>
      <c r="J7189">
        <v>19.54</v>
      </c>
      <c r="K7189">
        <v>2</v>
      </c>
      <c r="L7189">
        <v>0</v>
      </c>
      <c r="M7189">
        <v>7.2298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34</v>
      </c>
      <c r="J7190">
        <v>21.4</v>
      </c>
      <c r="K7190">
        <v>5</v>
      </c>
      <c r="L7190">
        <v>0</v>
      </c>
      <c r="M7190">
        <v>6.2060000000000004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23</v>
      </c>
      <c r="E7191" t="s">
        <v>24</v>
      </c>
      <c r="F7191">
        <v>90036</v>
      </c>
      <c r="G7191" t="s">
        <v>25</v>
      </c>
      <c r="H7191" t="s">
        <v>26</v>
      </c>
      <c r="I7191" t="s">
        <v>27</v>
      </c>
      <c r="J7191">
        <v>12.6</v>
      </c>
      <c r="K7191">
        <v>2</v>
      </c>
      <c r="L7191">
        <v>0</v>
      </c>
      <c r="M7191">
        <v>5.7960000000000003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26</v>
      </c>
      <c r="I7192" t="s">
        <v>34</v>
      </c>
      <c r="J7192">
        <v>11.96</v>
      </c>
      <c r="K7192">
        <v>2</v>
      </c>
      <c r="L7192">
        <v>0</v>
      </c>
      <c r="M7192">
        <v>3.1095999999999999</v>
      </c>
    </row>
    <row r="7193" spans="1:13" x14ac:dyDescent="0.3">
      <c r="A7193" t="s">
        <v>28</v>
      </c>
      <c r="B7193" t="s">
        <v>44</v>
      </c>
      <c r="C7193" t="s">
        <v>15</v>
      </c>
      <c r="D7193" t="s">
        <v>75</v>
      </c>
      <c r="E7193" t="s">
        <v>76</v>
      </c>
      <c r="F7193">
        <v>10035</v>
      </c>
      <c r="G7193" t="s">
        <v>57</v>
      </c>
      <c r="H7193" t="s">
        <v>35</v>
      </c>
      <c r="I7193" t="s">
        <v>36</v>
      </c>
      <c r="J7193">
        <v>138</v>
      </c>
      <c r="K7193">
        <v>2</v>
      </c>
      <c r="L7193">
        <v>0</v>
      </c>
      <c r="M7193">
        <v>34.5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35</v>
      </c>
      <c r="I7194" t="s">
        <v>36</v>
      </c>
      <c r="J7194">
        <v>116.76</v>
      </c>
      <c r="K7194">
        <v>1</v>
      </c>
      <c r="L7194">
        <v>0.2</v>
      </c>
      <c r="M7194">
        <v>14.595000000000001</v>
      </c>
    </row>
    <row r="7195" spans="1:13" x14ac:dyDescent="0.3">
      <c r="A7195" t="s">
        <v>28</v>
      </c>
      <c r="B7195" t="s">
        <v>14</v>
      </c>
      <c r="C7195" t="s">
        <v>15</v>
      </c>
      <c r="D7195" t="s">
        <v>29</v>
      </c>
      <c r="E7195" t="s">
        <v>30</v>
      </c>
      <c r="F7195">
        <v>33311</v>
      </c>
      <c r="G7195" t="s">
        <v>18</v>
      </c>
      <c r="H7195" t="s">
        <v>19</v>
      </c>
      <c r="I7195" t="s">
        <v>31</v>
      </c>
      <c r="J7195">
        <v>331.02300000000002</v>
      </c>
      <c r="K7195">
        <v>7</v>
      </c>
      <c r="L7195">
        <v>0.45</v>
      </c>
      <c r="M7195">
        <v>-114.35339999999999</v>
      </c>
    </row>
    <row r="7196" spans="1:13" x14ac:dyDescent="0.3">
      <c r="A7196" t="s">
        <v>168</v>
      </c>
      <c r="B7196" t="s">
        <v>22</v>
      </c>
      <c r="C7196" t="s">
        <v>15</v>
      </c>
      <c r="D7196" t="s">
        <v>92</v>
      </c>
      <c r="E7196" t="s">
        <v>76</v>
      </c>
      <c r="F7196">
        <v>14609</v>
      </c>
      <c r="G7196" t="s">
        <v>57</v>
      </c>
      <c r="H7196" t="s">
        <v>19</v>
      </c>
      <c r="I7196" t="s">
        <v>33</v>
      </c>
      <c r="J7196">
        <v>756.8</v>
      </c>
      <c r="K7196">
        <v>5</v>
      </c>
      <c r="L7196">
        <v>0</v>
      </c>
      <c r="M7196">
        <v>75.680000000000007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582</v>
      </c>
      <c r="E7197" t="s">
        <v>65</v>
      </c>
      <c r="F7197">
        <v>60174</v>
      </c>
      <c r="G7197" t="s">
        <v>47</v>
      </c>
      <c r="H7197" t="s">
        <v>19</v>
      </c>
      <c r="I7197" t="s">
        <v>33</v>
      </c>
      <c r="J7197">
        <v>8.7360000000000007</v>
      </c>
      <c r="K7197">
        <v>3</v>
      </c>
      <c r="L7197">
        <v>0.6</v>
      </c>
      <c r="M7197">
        <v>-4.8048000000000002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75</v>
      </c>
      <c r="E7198" t="s">
        <v>76</v>
      </c>
      <c r="F7198">
        <v>10024</v>
      </c>
      <c r="G7198" t="s">
        <v>57</v>
      </c>
      <c r="H7198" t="s">
        <v>26</v>
      </c>
      <c r="I7198" t="s">
        <v>34</v>
      </c>
      <c r="J7198">
        <v>6.08</v>
      </c>
      <c r="K7198">
        <v>2</v>
      </c>
      <c r="L7198">
        <v>0</v>
      </c>
      <c r="M7198">
        <v>2.0672000000000001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19</v>
      </c>
      <c r="I7199" t="s">
        <v>33</v>
      </c>
      <c r="J7199">
        <v>17.46</v>
      </c>
      <c r="K7199">
        <v>2</v>
      </c>
      <c r="L7199">
        <v>0</v>
      </c>
      <c r="M7199">
        <v>5.9363999999999999</v>
      </c>
    </row>
    <row r="7200" spans="1:13" x14ac:dyDescent="0.3">
      <c r="A7200" t="s">
        <v>28</v>
      </c>
      <c r="B7200" t="s">
        <v>14</v>
      </c>
      <c r="C7200" t="s">
        <v>15</v>
      </c>
      <c r="D7200" t="s">
        <v>52</v>
      </c>
      <c r="E7200" t="s">
        <v>24</v>
      </c>
      <c r="F7200">
        <v>94109</v>
      </c>
      <c r="G7200" t="s">
        <v>25</v>
      </c>
      <c r="H7200" t="s">
        <v>35</v>
      </c>
      <c r="I7200" t="s">
        <v>123</v>
      </c>
      <c r="J7200">
        <v>369.16</v>
      </c>
      <c r="K7200">
        <v>11</v>
      </c>
      <c r="L7200">
        <v>0.2</v>
      </c>
      <c r="M7200">
        <v>32.301499999999997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34</v>
      </c>
      <c r="J7201">
        <v>2.9119999999999999</v>
      </c>
      <c r="K7201">
        <v>2</v>
      </c>
      <c r="L7201">
        <v>0.2</v>
      </c>
      <c r="M7201">
        <v>0.91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20.736000000000001</v>
      </c>
      <c r="K7202">
        <v>4</v>
      </c>
      <c r="L7202">
        <v>0.2</v>
      </c>
      <c r="M7202">
        <v>7.2576000000000001</v>
      </c>
    </row>
    <row r="7203" spans="1:13" x14ac:dyDescent="0.3">
      <c r="A7203" t="s">
        <v>62</v>
      </c>
      <c r="B7203" t="s">
        <v>22</v>
      </c>
      <c r="C7203" t="s">
        <v>15</v>
      </c>
      <c r="D7203" t="s">
        <v>108</v>
      </c>
      <c r="E7203" t="s">
        <v>81</v>
      </c>
      <c r="F7203">
        <v>85023</v>
      </c>
      <c r="G7203" t="s">
        <v>25</v>
      </c>
      <c r="H7203" t="s">
        <v>26</v>
      </c>
      <c r="I7203" t="s">
        <v>41</v>
      </c>
      <c r="J7203">
        <v>9.5679999999999996</v>
      </c>
      <c r="K7203">
        <v>2</v>
      </c>
      <c r="L7203">
        <v>0.2</v>
      </c>
      <c r="M7203">
        <v>2.99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41</v>
      </c>
      <c r="J7204">
        <v>30.18</v>
      </c>
      <c r="K7204">
        <v>3</v>
      </c>
      <c r="L7204">
        <v>0</v>
      </c>
      <c r="M7204">
        <v>13.8828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51.648000000000003</v>
      </c>
      <c r="K7205">
        <v>12</v>
      </c>
      <c r="L7205">
        <v>0.2</v>
      </c>
      <c r="M7205">
        <v>18.7224</v>
      </c>
    </row>
    <row r="7206" spans="1:13" x14ac:dyDescent="0.3">
      <c r="A7206" t="s">
        <v>28</v>
      </c>
      <c r="B7206" t="s">
        <v>22</v>
      </c>
      <c r="C7206" t="s">
        <v>15</v>
      </c>
      <c r="D7206" t="s">
        <v>42</v>
      </c>
      <c r="E7206" t="s">
        <v>43</v>
      </c>
      <c r="F7206">
        <v>98115</v>
      </c>
      <c r="G7206" t="s">
        <v>25</v>
      </c>
      <c r="H7206" t="s">
        <v>26</v>
      </c>
      <c r="I7206" t="s">
        <v>37</v>
      </c>
      <c r="J7206">
        <v>11.231999999999999</v>
      </c>
      <c r="K7206">
        <v>3</v>
      </c>
      <c r="L7206">
        <v>0.2</v>
      </c>
      <c r="M7206">
        <v>3.9312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583</v>
      </c>
      <c r="E7207" t="s">
        <v>24</v>
      </c>
      <c r="F7207">
        <v>93010</v>
      </c>
      <c r="G7207" t="s">
        <v>25</v>
      </c>
      <c r="H7207" t="s">
        <v>26</v>
      </c>
      <c r="I7207" t="s">
        <v>27</v>
      </c>
      <c r="J7207">
        <v>14.73</v>
      </c>
      <c r="K7207">
        <v>3</v>
      </c>
      <c r="L7207">
        <v>0</v>
      </c>
      <c r="M7207">
        <v>7.2176999999999998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34</v>
      </c>
      <c r="J7208">
        <v>16.399999999999999</v>
      </c>
      <c r="K7208">
        <v>5</v>
      </c>
      <c r="L7208">
        <v>0</v>
      </c>
      <c r="M7208">
        <v>4.7560000000000002</v>
      </c>
    </row>
    <row r="7209" spans="1:13" x14ac:dyDescent="0.3">
      <c r="A7209" t="s">
        <v>13</v>
      </c>
      <c r="B7209" t="s">
        <v>22</v>
      </c>
      <c r="C7209" t="s">
        <v>15</v>
      </c>
      <c r="D7209" t="s">
        <v>140</v>
      </c>
      <c r="E7209" t="s">
        <v>70</v>
      </c>
      <c r="F7209">
        <v>48205</v>
      </c>
      <c r="G7209" t="s">
        <v>47</v>
      </c>
      <c r="H7209" t="s">
        <v>26</v>
      </c>
      <c r="I7209" t="s">
        <v>41</v>
      </c>
      <c r="J7209">
        <v>25.92</v>
      </c>
      <c r="K7209">
        <v>4</v>
      </c>
      <c r="L7209">
        <v>0</v>
      </c>
      <c r="M7209">
        <v>12.441599999999999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34</v>
      </c>
      <c r="J7210">
        <v>8.82</v>
      </c>
      <c r="K7210">
        <v>3</v>
      </c>
      <c r="L7210">
        <v>0</v>
      </c>
      <c r="M7210">
        <v>2.5577999999999999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26</v>
      </c>
      <c r="I7211" t="s">
        <v>37</v>
      </c>
      <c r="J7211">
        <v>62.496000000000002</v>
      </c>
      <c r="K7211">
        <v>2</v>
      </c>
      <c r="L7211">
        <v>0.2</v>
      </c>
      <c r="M7211">
        <v>21.8736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35</v>
      </c>
      <c r="I7212" t="s">
        <v>59</v>
      </c>
      <c r="J7212">
        <v>339.96</v>
      </c>
      <c r="K7212">
        <v>4</v>
      </c>
      <c r="L7212">
        <v>0</v>
      </c>
      <c r="M7212">
        <v>122.3856</v>
      </c>
    </row>
    <row r="7213" spans="1:13" x14ac:dyDescent="0.3">
      <c r="A7213" t="s">
        <v>62</v>
      </c>
      <c r="B7213" t="s">
        <v>14</v>
      </c>
      <c r="C7213" t="s">
        <v>15</v>
      </c>
      <c r="D7213" t="s">
        <v>52</v>
      </c>
      <c r="E7213" t="s">
        <v>24</v>
      </c>
      <c r="F7213">
        <v>94109</v>
      </c>
      <c r="G7213" t="s">
        <v>25</v>
      </c>
      <c r="H7213" t="s">
        <v>26</v>
      </c>
      <c r="I7213" t="s">
        <v>37</v>
      </c>
      <c r="J7213">
        <v>49.567999999999998</v>
      </c>
      <c r="K7213">
        <v>2</v>
      </c>
      <c r="L7213">
        <v>0.2</v>
      </c>
      <c r="M7213">
        <v>17.348800000000001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55</v>
      </c>
      <c r="E7214" t="s">
        <v>56</v>
      </c>
      <c r="F7214">
        <v>19140</v>
      </c>
      <c r="G7214" t="s">
        <v>57</v>
      </c>
      <c r="H7214" t="s">
        <v>26</v>
      </c>
      <c r="I7214" t="s">
        <v>37</v>
      </c>
      <c r="J7214">
        <v>274.49099999999999</v>
      </c>
      <c r="K7214">
        <v>3</v>
      </c>
      <c r="L7214">
        <v>0.7</v>
      </c>
      <c r="M7214">
        <v>-228.74250000000001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75</v>
      </c>
      <c r="E7215" t="s">
        <v>76</v>
      </c>
      <c r="F7215">
        <v>10035</v>
      </c>
      <c r="G7215" t="s">
        <v>57</v>
      </c>
      <c r="H7215" t="s">
        <v>35</v>
      </c>
      <c r="I7215" t="s">
        <v>36</v>
      </c>
      <c r="J7215">
        <v>137.94</v>
      </c>
      <c r="K7215">
        <v>3</v>
      </c>
      <c r="L7215">
        <v>0</v>
      </c>
      <c r="M7215">
        <v>35.864400000000003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79</v>
      </c>
      <c r="E7216" t="s">
        <v>65</v>
      </c>
      <c r="F7216">
        <v>60623</v>
      </c>
      <c r="G7216" t="s">
        <v>47</v>
      </c>
      <c r="H7216" t="s">
        <v>35</v>
      </c>
      <c r="I7216" t="s">
        <v>59</v>
      </c>
      <c r="J7216">
        <v>40.68</v>
      </c>
      <c r="K7216">
        <v>3</v>
      </c>
      <c r="L7216">
        <v>0.2</v>
      </c>
      <c r="M7216">
        <v>-7.1189999999999998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35</v>
      </c>
      <c r="I7217" t="s">
        <v>36</v>
      </c>
      <c r="J7217">
        <v>110.376</v>
      </c>
      <c r="K7217">
        <v>3</v>
      </c>
      <c r="L7217">
        <v>0.2</v>
      </c>
      <c r="M7217">
        <v>12.417299999999999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26</v>
      </c>
      <c r="I7218" t="s">
        <v>38</v>
      </c>
      <c r="J7218">
        <v>151.62</v>
      </c>
      <c r="K7218">
        <v>7</v>
      </c>
      <c r="L7218">
        <v>0</v>
      </c>
      <c r="M7218">
        <v>50.034599999999998</v>
      </c>
    </row>
    <row r="7219" spans="1:13" x14ac:dyDescent="0.3">
      <c r="A7219" t="s">
        <v>28</v>
      </c>
      <c r="B7219" t="s">
        <v>14</v>
      </c>
      <c r="C7219" t="s">
        <v>15</v>
      </c>
      <c r="D7219" t="s">
        <v>52</v>
      </c>
      <c r="E7219" t="s">
        <v>24</v>
      </c>
      <c r="F7219">
        <v>94122</v>
      </c>
      <c r="G7219" t="s">
        <v>25</v>
      </c>
      <c r="H7219" t="s">
        <v>19</v>
      </c>
      <c r="I7219" t="s">
        <v>33</v>
      </c>
      <c r="J7219">
        <v>30.8</v>
      </c>
      <c r="K7219">
        <v>4</v>
      </c>
      <c r="L7219">
        <v>0</v>
      </c>
      <c r="M7219">
        <v>10.164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26</v>
      </c>
      <c r="I7220" t="s">
        <v>41</v>
      </c>
      <c r="J7220">
        <v>123.92</v>
      </c>
      <c r="K7220">
        <v>5</v>
      </c>
      <c r="L7220">
        <v>0.2</v>
      </c>
      <c r="M7220">
        <v>38.725000000000001</v>
      </c>
    </row>
    <row r="7221" spans="1:13" x14ac:dyDescent="0.3">
      <c r="A7221" t="s">
        <v>28</v>
      </c>
      <c r="B7221" t="s">
        <v>22</v>
      </c>
      <c r="C7221" t="s">
        <v>15</v>
      </c>
      <c r="D7221" t="s">
        <v>55</v>
      </c>
      <c r="E7221" t="s">
        <v>56</v>
      </c>
      <c r="F7221">
        <v>19134</v>
      </c>
      <c r="G7221" t="s">
        <v>57</v>
      </c>
      <c r="H7221" t="s">
        <v>35</v>
      </c>
      <c r="I7221" t="s">
        <v>59</v>
      </c>
      <c r="J7221">
        <v>1319.8</v>
      </c>
      <c r="K7221">
        <v>5</v>
      </c>
      <c r="L7221">
        <v>0.2</v>
      </c>
      <c r="M7221">
        <v>214.4675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37</v>
      </c>
      <c r="J7222">
        <v>89.712000000000003</v>
      </c>
      <c r="K7222">
        <v>6</v>
      </c>
      <c r="L7222">
        <v>0.2</v>
      </c>
      <c r="M7222">
        <v>30.277799999999999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52</v>
      </c>
      <c r="E7223" t="s">
        <v>24</v>
      </c>
      <c r="F7223">
        <v>94122</v>
      </c>
      <c r="G7223" t="s">
        <v>25</v>
      </c>
      <c r="H7223" t="s">
        <v>26</v>
      </c>
      <c r="I7223" t="s">
        <v>41</v>
      </c>
      <c r="J7223">
        <v>22.83</v>
      </c>
      <c r="K7223">
        <v>3</v>
      </c>
      <c r="L7223">
        <v>0</v>
      </c>
      <c r="M7223">
        <v>10.7301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37</v>
      </c>
      <c r="J7224">
        <v>30.88</v>
      </c>
      <c r="K7224">
        <v>2</v>
      </c>
      <c r="L7224">
        <v>0</v>
      </c>
      <c r="M7224">
        <v>15.44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38</v>
      </c>
      <c r="J7225">
        <v>465.16</v>
      </c>
      <c r="K7225">
        <v>2</v>
      </c>
      <c r="L7225">
        <v>0</v>
      </c>
      <c r="M7225">
        <v>120.94159999999999</v>
      </c>
    </row>
    <row r="7226" spans="1:13" x14ac:dyDescent="0.3">
      <c r="A7226" t="s">
        <v>62</v>
      </c>
      <c r="B7226" t="s">
        <v>14</v>
      </c>
      <c r="C7226" t="s">
        <v>15</v>
      </c>
      <c r="D7226" t="s">
        <v>126</v>
      </c>
      <c r="E7226" t="s">
        <v>127</v>
      </c>
      <c r="F7226">
        <v>6824</v>
      </c>
      <c r="G7226" t="s">
        <v>57</v>
      </c>
      <c r="H7226" t="s">
        <v>26</v>
      </c>
      <c r="I7226" t="s">
        <v>41</v>
      </c>
      <c r="J7226">
        <v>27.12</v>
      </c>
      <c r="K7226">
        <v>4</v>
      </c>
      <c r="L7226">
        <v>0</v>
      </c>
      <c r="M7226">
        <v>12.475199999999999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19</v>
      </c>
      <c r="I7227" t="s">
        <v>33</v>
      </c>
      <c r="J7227">
        <v>113.6</v>
      </c>
      <c r="K7227">
        <v>8</v>
      </c>
      <c r="L7227">
        <v>0</v>
      </c>
      <c r="M7227">
        <v>44.304000000000002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41</v>
      </c>
      <c r="J7228">
        <v>12.96</v>
      </c>
      <c r="K7228">
        <v>2</v>
      </c>
      <c r="L7228">
        <v>0</v>
      </c>
      <c r="M7228">
        <v>6.3503999999999996</v>
      </c>
    </row>
    <row r="7229" spans="1:13" x14ac:dyDescent="0.3">
      <c r="A7229" t="s">
        <v>28</v>
      </c>
      <c r="B7229" t="s">
        <v>14</v>
      </c>
      <c r="C7229" t="s">
        <v>15</v>
      </c>
      <c r="D7229" t="s">
        <v>75</v>
      </c>
      <c r="E7229" t="s">
        <v>76</v>
      </c>
      <c r="F7229">
        <v>10011</v>
      </c>
      <c r="G7229" t="s">
        <v>57</v>
      </c>
      <c r="H7229" t="s">
        <v>26</v>
      </c>
      <c r="I7229" t="s">
        <v>37</v>
      </c>
      <c r="J7229">
        <v>69.456000000000003</v>
      </c>
      <c r="K7229">
        <v>2</v>
      </c>
      <c r="L7229">
        <v>0.2</v>
      </c>
      <c r="M7229">
        <v>22.5732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23</v>
      </c>
      <c r="E7230" t="s">
        <v>24</v>
      </c>
      <c r="F7230">
        <v>90049</v>
      </c>
      <c r="G7230" t="s">
        <v>25</v>
      </c>
      <c r="H7230" t="s">
        <v>26</v>
      </c>
      <c r="I7230" t="s">
        <v>34</v>
      </c>
      <c r="J7230">
        <v>8.64</v>
      </c>
      <c r="K7230">
        <v>3</v>
      </c>
      <c r="L7230">
        <v>0</v>
      </c>
      <c r="M7230">
        <v>2.4192</v>
      </c>
    </row>
    <row r="7231" spans="1:13" x14ac:dyDescent="0.3">
      <c r="A7231" t="s">
        <v>168</v>
      </c>
      <c r="B7231" t="s">
        <v>22</v>
      </c>
      <c r="C7231" t="s">
        <v>15</v>
      </c>
      <c r="D7231" t="s">
        <v>55</v>
      </c>
      <c r="E7231" t="s">
        <v>56</v>
      </c>
      <c r="F7231">
        <v>19143</v>
      </c>
      <c r="G7231" t="s">
        <v>57</v>
      </c>
      <c r="H7231" t="s">
        <v>35</v>
      </c>
      <c r="I7231" t="s">
        <v>123</v>
      </c>
      <c r="J7231">
        <v>341.99099999999999</v>
      </c>
      <c r="K7231">
        <v>3</v>
      </c>
      <c r="L7231">
        <v>0.7</v>
      </c>
      <c r="M7231">
        <v>-319.19159999999999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19</v>
      </c>
      <c r="I7232" t="s">
        <v>33</v>
      </c>
      <c r="J7232">
        <v>43.96</v>
      </c>
      <c r="K7232">
        <v>7</v>
      </c>
      <c r="L7232">
        <v>0</v>
      </c>
      <c r="M7232">
        <v>18.463200000000001</v>
      </c>
    </row>
    <row r="7233" spans="1:13" x14ac:dyDescent="0.3">
      <c r="A7233" t="s">
        <v>28</v>
      </c>
      <c r="B7233" t="s">
        <v>14</v>
      </c>
      <c r="C7233" t="s">
        <v>15</v>
      </c>
      <c r="D7233" t="s">
        <v>117</v>
      </c>
      <c r="E7233" t="s">
        <v>24</v>
      </c>
      <c r="F7233">
        <v>95123</v>
      </c>
      <c r="G7233" t="s">
        <v>25</v>
      </c>
      <c r="H7233" t="s">
        <v>26</v>
      </c>
      <c r="I7233" t="s">
        <v>60</v>
      </c>
      <c r="J7233">
        <v>39.76</v>
      </c>
      <c r="K7233">
        <v>7</v>
      </c>
      <c r="L7233">
        <v>0</v>
      </c>
      <c r="M7233">
        <v>18.687200000000001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19</v>
      </c>
      <c r="I7234" t="s">
        <v>33</v>
      </c>
      <c r="J7234">
        <v>66.36</v>
      </c>
      <c r="K7234">
        <v>7</v>
      </c>
      <c r="L7234">
        <v>0</v>
      </c>
      <c r="M7234">
        <v>26.544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26</v>
      </c>
      <c r="I7235" t="s">
        <v>37</v>
      </c>
      <c r="J7235">
        <v>92.88</v>
      </c>
      <c r="K7235">
        <v>6</v>
      </c>
      <c r="L7235">
        <v>0.2</v>
      </c>
      <c r="M7235">
        <v>30.186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113</v>
      </c>
      <c r="E7236" t="s">
        <v>24</v>
      </c>
      <c r="F7236">
        <v>91104</v>
      </c>
      <c r="G7236" t="s">
        <v>25</v>
      </c>
      <c r="H7236" t="s">
        <v>19</v>
      </c>
      <c r="I7236" t="s">
        <v>33</v>
      </c>
      <c r="J7236">
        <v>24.14</v>
      </c>
      <c r="K7236">
        <v>2</v>
      </c>
      <c r="L7236">
        <v>0</v>
      </c>
      <c r="M7236">
        <v>7.9661999999999997</v>
      </c>
    </row>
    <row r="7237" spans="1:13" x14ac:dyDescent="0.3">
      <c r="A7237" t="s">
        <v>13</v>
      </c>
      <c r="B7237" t="s">
        <v>14</v>
      </c>
      <c r="C7237" t="s">
        <v>15</v>
      </c>
      <c r="D7237" t="s">
        <v>55</v>
      </c>
      <c r="E7237" t="s">
        <v>56</v>
      </c>
      <c r="F7237">
        <v>19134</v>
      </c>
      <c r="G7237" t="s">
        <v>57</v>
      </c>
      <c r="H7237" t="s">
        <v>19</v>
      </c>
      <c r="I7237" t="s">
        <v>21</v>
      </c>
      <c r="J7237">
        <v>4416.174</v>
      </c>
      <c r="K7237">
        <v>9</v>
      </c>
      <c r="L7237">
        <v>0.3</v>
      </c>
      <c r="M7237">
        <v>-630.88199999999995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49.56</v>
      </c>
      <c r="K7238">
        <v>7</v>
      </c>
      <c r="L7238">
        <v>0</v>
      </c>
      <c r="M7238">
        <v>18.832799999999999</v>
      </c>
    </row>
    <row r="7239" spans="1:13" x14ac:dyDescent="0.3">
      <c r="A7239" t="s">
        <v>28</v>
      </c>
      <c r="B7239" t="s">
        <v>14</v>
      </c>
      <c r="C7239" t="s">
        <v>15</v>
      </c>
      <c r="D7239" t="s">
        <v>23</v>
      </c>
      <c r="E7239" t="s">
        <v>24</v>
      </c>
      <c r="F7239">
        <v>90032</v>
      </c>
      <c r="G7239" t="s">
        <v>25</v>
      </c>
      <c r="H7239" t="s">
        <v>26</v>
      </c>
      <c r="I7239" t="s">
        <v>32</v>
      </c>
      <c r="J7239">
        <v>354.9</v>
      </c>
      <c r="K7239">
        <v>5</v>
      </c>
      <c r="L7239">
        <v>0</v>
      </c>
      <c r="M7239">
        <v>17.745000000000001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26</v>
      </c>
      <c r="I7240" t="s">
        <v>27</v>
      </c>
      <c r="J7240">
        <v>15.12</v>
      </c>
      <c r="K7240">
        <v>3</v>
      </c>
      <c r="L7240">
        <v>0.2</v>
      </c>
      <c r="M7240">
        <v>4.9139999999999997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19</v>
      </c>
      <c r="I7241" t="s">
        <v>20</v>
      </c>
      <c r="J7241">
        <v>302.45</v>
      </c>
      <c r="K7241">
        <v>5</v>
      </c>
      <c r="L7241">
        <v>0.5</v>
      </c>
      <c r="M7241">
        <v>-199.61699999999999</v>
      </c>
    </row>
    <row r="7242" spans="1:13" x14ac:dyDescent="0.3">
      <c r="A7242" t="s">
        <v>28</v>
      </c>
      <c r="B7242" t="s">
        <v>22</v>
      </c>
      <c r="C7242" t="s">
        <v>15</v>
      </c>
      <c r="D7242" t="s">
        <v>103</v>
      </c>
      <c r="E7242" t="s">
        <v>104</v>
      </c>
      <c r="F7242">
        <v>43229</v>
      </c>
      <c r="G7242" t="s">
        <v>57</v>
      </c>
      <c r="H7242" t="s">
        <v>26</v>
      </c>
      <c r="I7242" t="s">
        <v>32</v>
      </c>
      <c r="J7242">
        <v>44.671999999999997</v>
      </c>
      <c r="K7242">
        <v>8</v>
      </c>
      <c r="L7242">
        <v>0.2</v>
      </c>
      <c r="M7242">
        <v>-10.0512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119.98</v>
      </c>
      <c r="K7243">
        <v>2</v>
      </c>
      <c r="L7243">
        <v>0</v>
      </c>
      <c r="M7243">
        <v>35.994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23</v>
      </c>
      <c r="E7244" t="s">
        <v>24</v>
      </c>
      <c r="F7244">
        <v>90008</v>
      </c>
      <c r="G7244" t="s">
        <v>25</v>
      </c>
      <c r="H7244" t="s">
        <v>35</v>
      </c>
      <c r="I7244" t="s">
        <v>59</v>
      </c>
      <c r="J7244">
        <v>989.97</v>
      </c>
      <c r="K7244">
        <v>3</v>
      </c>
      <c r="L7244">
        <v>0</v>
      </c>
      <c r="M7244">
        <v>395.988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479</v>
      </c>
      <c r="E7245" t="s">
        <v>30</v>
      </c>
      <c r="F7245">
        <v>33021</v>
      </c>
      <c r="G7245" t="s">
        <v>18</v>
      </c>
      <c r="H7245" t="s">
        <v>26</v>
      </c>
      <c r="I7245" t="s">
        <v>27</v>
      </c>
      <c r="J7245">
        <v>9.2159999999999993</v>
      </c>
      <c r="K7245">
        <v>4</v>
      </c>
      <c r="L7245">
        <v>0.2</v>
      </c>
      <c r="M7245">
        <v>3.3408000000000002</v>
      </c>
    </row>
    <row r="7246" spans="1:13" x14ac:dyDescent="0.3">
      <c r="A7246" t="s">
        <v>28</v>
      </c>
      <c r="B7246" t="s">
        <v>22</v>
      </c>
      <c r="C7246" t="s">
        <v>15</v>
      </c>
      <c r="D7246" t="s">
        <v>109</v>
      </c>
      <c r="E7246" t="s">
        <v>70</v>
      </c>
      <c r="F7246">
        <v>48066</v>
      </c>
      <c r="G7246" t="s">
        <v>47</v>
      </c>
      <c r="H7246" t="s">
        <v>26</v>
      </c>
      <c r="I7246" t="s">
        <v>41</v>
      </c>
      <c r="J7246">
        <v>68.52</v>
      </c>
      <c r="K7246">
        <v>3</v>
      </c>
      <c r="L7246">
        <v>0</v>
      </c>
      <c r="M7246">
        <v>31.519200000000001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26</v>
      </c>
      <c r="I7247" t="s">
        <v>38</v>
      </c>
      <c r="J7247">
        <v>364.74</v>
      </c>
      <c r="K7247">
        <v>3</v>
      </c>
      <c r="L7247">
        <v>0</v>
      </c>
      <c r="M7247">
        <v>109.422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19</v>
      </c>
      <c r="I7248" t="s">
        <v>33</v>
      </c>
      <c r="J7248">
        <v>47.4</v>
      </c>
      <c r="K7248">
        <v>5</v>
      </c>
      <c r="L7248">
        <v>0</v>
      </c>
      <c r="M7248">
        <v>21.33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32</v>
      </c>
      <c r="J7249">
        <v>49.76</v>
      </c>
      <c r="K7249">
        <v>4</v>
      </c>
      <c r="L7249">
        <v>0</v>
      </c>
      <c r="M7249">
        <v>13.9328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34</v>
      </c>
      <c r="J7250">
        <v>5.56</v>
      </c>
      <c r="K7250">
        <v>2</v>
      </c>
      <c r="L7250">
        <v>0</v>
      </c>
      <c r="M7250">
        <v>1.4456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41</v>
      </c>
      <c r="J7251">
        <v>629.1</v>
      </c>
      <c r="K7251">
        <v>6</v>
      </c>
      <c r="L7251">
        <v>0</v>
      </c>
      <c r="M7251">
        <v>301.96800000000002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34</v>
      </c>
      <c r="J7252">
        <v>14.7</v>
      </c>
      <c r="K7252">
        <v>5</v>
      </c>
      <c r="L7252">
        <v>0</v>
      </c>
      <c r="M7252">
        <v>3.9689999999999999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26</v>
      </c>
      <c r="I7253" t="s">
        <v>41</v>
      </c>
      <c r="J7253">
        <v>45.36</v>
      </c>
      <c r="K7253">
        <v>7</v>
      </c>
      <c r="L7253">
        <v>0</v>
      </c>
      <c r="M7253">
        <v>21.7728</v>
      </c>
    </row>
    <row r="7254" spans="1:13" x14ac:dyDescent="0.3">
      <c r="A7254" t="s">
        <v>28</v>
      </c>
      <c r="B7254" t="s">
        <v>44</v>
      </c>
      <c r="C7254" t="s">
        <v>15</v>
      </c>
      <c r="D7254" t="s">
        <v>474</v>
      </c>
      <c r="E7254" t="s">
        <v>49</v>
      </c>
      <c r="F7254">
        <v>54880</v>
      </c>
      <c r="G7254" t="s">
        <v>47</v>
      </c>
      <c r="H7254" t="s">
        <v>35</v>
      </c>
      <c r="I7254" t="s">
        <v>36</v>
      </c>
      <c r="J7254">
        <v>125.99</v>
      </c>
      <c r="K7254">
        <v>1</v>
      </c>
      <c r="L7254">
        <v>0</v>
      </c>
      <c r="M7254">
        <v>35.277200000000001</v>
      </c>
    </row>
    <row r="7255" spans="1:13" x14ac:dyDescent="0.3">
      <c r="A7255" t="s">
        <v>13</v>
      </c>
      <c r="B7255" t="s">
        <v>22</v>
      </c>
      <c r="C7255" t="s">
        <v>15</v>
      </c>
      <c r="D7255" t="s">
        <v>391</v>
      </c>
      <c r="E7255" t="s">
        <v>24</v>
      </c>
      <c r="F7255">
        <v>91360</v>
      </c>
      <c r="G7255" t="s">
        <v>25</v>
      </c>
      <c r="H7255" t="s">
        <v>26</v>
      </c>
      <c r="I7255" t="s">
        <v>34</v>
      </c>
      <c r="J7255">
        <v>14.7</v>
      </c>
      <c r="K7255">
        <v>7</v>
      </c>
      <c r="L7255">
        <v>0</v>
      </c>
      <c r="M7255">
        <v>4.1159999999999997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35</v>
      </c>
      <c r="I7256" t="s">
        <v>36</v>
      </c>
      <c r="J7256">
        <v>32.700000000000003</v>
      </c>
      <c r="K7256">
        <v>5</v>
      </c>
      <c r="L7256">
        <v>0.4</v>
      </c>
      <c r="M7256">
        <v>-6.54</v>
      </c>
    </row>
    <row r="7257" spans="1:13" x14ac:dyDescent="0.3">
      <c r="A7257" t="s">
        <v>28</v>
      </c>
      <c r="B7257" t="s">
        <v>22</v>
      </c>
      <c r="C7257" t="s">
        <v>15</v>
      </c>
      <c r="D7257" t="s">
        <v>55</v>
      </c>
      <c r="E7257" t="s">
        <v>56</v>
      </c>
      <c r="F7257">
        <v>19134</v>
      </c>
      <c r="G7257" t="s">
        <v>57</v>
      </c>
      <c r="H7257" t="s">
        <v>26</v>
      </c>
      <c r="I7257" t="s">
        <v>60</v>
      </c>
      <c r="J7257">
        <v>31.68</v>
      </c>
      <c r="K7257">
        <v>4</v>
      </c>
      <c r="L7257">
        <v>0.2</v>
      </c>
      <c r="M7257">
        <v>11.087999999999999</v>
      </c>
    </row>
    <row r="7258" spans="1:13" x14ac:dyDescent="0.3">
      <c r="A7258" t="s">
        <v>28</v>
      </c>
      <c r="B7258" t="s">
        <v>14</v>
      </c>
      <c r="C7258" t="s">
        <v>15</v>
      </c>
      <c r="D7258" t="s">
        <v>82</v>
      </c>
      <c r="E7258" t="s">
        <v>83</v>
      </c>
      <c r="F7258">
        <v>22153</v>
      </c>
      <c r="G7258" t="s">
        <v>18</v>
      </c>
      <c r="H7258" t="s">
        <v>26</v>
      </c>
      <c r="I7258" t="s">
        <v>34</v>
      </c>
      <c r="J7258">
        <v>181.86</v>
      </c>
      <c r="K7258">
        <v>7</v>
      </c>
      <c r="L7258">
        <v>0</v>
      </c>
      <c r="M7258">
        <v>50.9208</v>
      </c>
    </row>
    <row r="7259" spans="1:13" x14ac:dyDescent="0.3">
      <c r="A7259" t="s">
        <v>13</v>
      </c>
      <c r="B7259" t="s">
        <v>22</v>
      </c>
      <c r="C7259" t="s">
        <v>15</v>
      </c>
      <c r="D7259" t="s">
        <v>61</v>
      </c>
      <c r="E7259" t="s">
        <v>46</v>
      </c>
      <c r="F7259">
        <v>77095</v>
      </c>
      <c r="G7259" t="s">
        <v>47</v>
      </c>
      <c r="H7259" t="s">
        <v>19</v>
      </c>
      <c r="I7259" t="s">
        <v>21</v>
      </c>
      <c r="J7259">
        <v>155.37200000000001</v>
      </c>
      <c r="K7259">
        <v>2</v>
      </c>
      <c r="L7259">
        <v>0.3</v>
      </c>
      <c r="M7259">
        <v>-35.513599999999997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37</v>
      </c>
      <c r="J7260">
        <v>13.428000000000001</v>
      </c>
      <c r="K7260">
        <v>3</v>
      </c>
      <c r="L7260">
        <v>0.7</v>
      </c>
      <c r="M7260">
        <v>-11.19</v>
      </c>
    </row>
    <row r="7261" spans="1:13" x14ac:dyDescent="0.3">
      <c r="A7261" t="s">
        <v>168</v>
      </c>
      <c r="B7261" t="s">
        <v>14</v>
      </c>
      <c r="C7261" t="s">
        <v>15</v>
      </c>
      <c r="D7261" t="s">
        <v>90</v>
      </c>
      <c r="E7261" t="s">
        <v>86</v>
      </c>
      <c r="F7261">
        <v>38401</v>
      </c>
      <c r="G7261" t="s">
        <v>18</v>
      </c>
      <c r="H7261" t="s">
        <v>26</v>
      </c>
      <c r="I7261" t="s">
        <v>32</v>
      </c>
      <c r="J7261">
        <v>67.135999999999996</v>
      </c>
      <c r="K7261">
        <v>4</v>
      </c>
      <c r="L7261">
        <v>0.2</v>
      </c>
      <c r="M7261">
        <v>-0.83919999999999995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26</v>
      </c>
      <c r="I7262" t="s">
        <v>41</v>
      </c>
      <c r="J7262">
        <v>89.567999999999998</v>
      </c>
      <c r="K7262">
        <v>2</v>
      </c>
      <c r="L7262">
        <v>0.2</v>
      </c>
      <c r="M7262">
        <v>32.468400000000003</v>
      </c>
    </row>
    <row r="7263" spans="1:13" x14ac:dyDescent="0.3">
      <c r="A7263" t="s">
        <v>28</v>
      </c>
      <c r="B7263" t="s">
        <v>14</v>
      </c>
      <c r="C7263" t="s">
        <v>15</v>
      </c>
      <c r="D7263" t="s">
        <v>39</v>
      </c>
      <c r="E7263" t="s">
        <v>40</v>
      </c>
      <c r="F7263">
        <v>28027</v>
      </c>
      <c r="G7263" t="s">
        <v>18</v>
      </c>
      <c r="H7263" t="s">
        <v>19</v>
      </c>
      <c r="I7263" t="s">
        <v>33</v>
      </c>
      <c r="J7263">
        <v>315.77600000000001</v>
      </c>
      <c r="K7263">
        <v>8</v>
      </c>
      <c r="L7263">
        <v>0.2</v>
      </c>
      <c r="M7263">
        <v>31.5776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19</v>
      </c>
      <c r="I7264" t="s">
        <v>20</v>
      </c>
      <c r="J7264">
        <v>273.666</v>
      </c>
      <c r="K7264">
        <v>2</v>
      </c>
      <c r="L7264">
        <v>0.15</v>
      </c>
      <c r="M7264">
        <v>-12.878399999999999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117</v>
      </c>
      <c r="E7265" t="s">
        <v>24</v>
      </c>
      <c r="F7265">
        <v>95123</v>
      </c>
      <c r="G7265" t="s">
        <v>25</v>
      </c>
      <c r="H7265" t="s">
        <v>26</v>
      </c>
      <c r="I7265" t="s">
        <v>38</v>
      </c>
      <c r="J7265">
        <v>17.48</v>
      </c>
      <c r="K7265">
        <v>4</v>
      </c>
      <c r="L7265">
        <v>0</v>
      </c>
      <c r="M7265">
        <v>4.5448000000000004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110</v>
      </c>
      <c r="J7266">
        <v>20.608000000000001</v>
      </c>
      <c r="K7266">
        <v>2</v>
      </c>
      <c r="L7266">
        <v>0.2</v>
      </c>
      <c r="M7266">
        <v>-4.3792</v>
      </c>
    </row>
    <row r="7267" spans="1:13" x14ac:dyDescent="0.3">
      <c r="A7267" t="s">
        <v>28</v>
      </c>
      <c r="B7267" t="s">
        <v>22</v>
      </c>
      <c r="C7267" t="s">
        <v>15</v>
      </c>
      <c r="D7267" t="s">
        <v>332</v>
      </c>
      <c r="E7267" t="s">
        <v>40</v>
      </c>
      <c r="F7267">
        <v>27405</v>
      </c>
      <c r="G7267" t="s">
        <v>18</v>
      </c>
      <c r="H7267" t="s">
        <v>26</v>
      </c>
      <c r="I7267" t="s">
        <v>37</v>
      </c>
      <c r="J7267">
        <v>4.0949999999999998</v>
      </c>
      <c r="K7267">
        <v>3</v>
      </c>
      <c r="L7267">
        <v>0.7</v>
      </c>
      <c r="M7267">
        <v>-2.73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35</v>
      </c>
      <c r="I7268" t="s">
        <v>36</v>
      </c>
      <c r="J7268">
        <v>339.96</v>
      </c>
      <c r="K7268">
        <v>5</v>
      </c>
      <c r="L7268">
        <v>0.2</v>
      </c>
      <c r="M7268">
        <v>42.494999999999997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524</v>
      </c>
      <c r="E7269" t="s">
        <v>203</v>
      </c>
      <c r="F7269">
        <v>59601</v>
      </c>
      <c r="G7269" t="s">
        <v>25</v>
      </c>
      <c r="H7269" t="s">
        <v>19</v>
      </c>
      <c r="I7269" t="s">
        <v>33</v>
      </c>
      <c r="J7269">
        <v>63.98</v>
      </c>
      <c r="K7269">
        <v>7</v>
      </c>
      <c r="L7269">
        <v>0</v>
      </c>
      <c r="M7269">
        <v>21.7532</v>
      </c>
    </row>
    <row r="7270" spans="1:13" x14ac:dyDescent="0.3">
      <c r="A7270" t="s">
        <v>28</v>
      </c>
      <c r="B7270" t="s">
        <v>44</v>
      </c>
      <c r="C7270" t="s">
        <v>15</v>
      </c>
      <c r="D7270" t="s">
        <v>29</v>
      </c>
      <c r="E7270" t="s">
        <v>30</v>
      </c>
      <c r="F7270">
        <v>33311</v>
      </c>
      <c r="G7270" t="s">
        <v>18</v>
      </c>
      <c r="H7270" t="s">
        <v>35</v>
      </c>
      <c r="I7270" t="s">
        <v>59</v>
      </c>
      <c r="J7270">
        <v>799.92</v>
      </c>
      <c r="K7270">
        <v>10</v>
      </c>
      <c r="L7270">
        <v>0.2</v>
      </c>
      <c r="M7270">
        <v>239.976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36</v>
      </c>
      <c r="J7271">
        <v>35.984000000000002</v>
      </c>
      <c r="K7271">
        <v>2</v>
      </c>
      <c r="L7271">
        <v>0.2</v>
      </c>
      <c r="M7271">
        <v>4.4980000000000002</v>
      </c>
    </row>
    <row r="7272" spans="1:13" x14ac:dyDescent="0.3">
      <c r="A7272" t="s">
        <v>62</v>
      </c>
      <c r="B7272" t="s">
        <v>44</v>
      </c>
      <c r="C7272" t="s">
        <v>15</v>
      </c>
      <c r="D7272" t="s">
        <v>52</v>
      </c>
      <c r="E7272" t="s">
        <v>24</v>
      </c>
      <c r="F7272">
        <v>94110</v>
      </c>
      <c r="G7272" t="s">
        <v>25</v>
      </c>
      <c r="H7272" t="s">
        <v>35</v>
      </c>
      <c r="I7272" t="s">
        <v>59</v>
      </c>
      <c r="J7272">
        <v>389.97</v>
      </c>
      <c r="K7272">
        <v>3</v>
      </c>
      <c r="L7272">
        <v>0</v>
      </c>
      <c r="M7272">
        <v>132.5898</v>
      </c>
    </row>
    <row r="7273" spans="1:13" x14ac:dyDescent="0.3">
      <c r="A7273" t="s">
        <v>168</v>
      </c>
      <c r="B7273" t="s">
        <v>22</v>
      </c>
      <c r="C7273" t="s">
        <v>15</v>
      </c>
      <c r="D7273" t="s">
        <v>511</v>
      </c>
      <c r="E7273" t="s">
        <v>81</v>
      </c>
      <c r="F7273">
        <v>85364</v>
      </c>
      <c r="G7273" t="s">
        <v>25</v>
      </c>
      <c r="H7273" t="s">
        <v>35</v>
      </c>
      <c r="I7273" t="s">
        <v>59</v>
      </c>
      <c r="J7273">
        <v>185.52799999999999</v>
      </c>
      <c r="K7273">
        <v>7</v>
      </c>
      <c r="L7273">
        <v>0.2</v>
      </c>
      <c r="M7273">
        <v>48.701099999999997</v>
      </c>
    </row>
    <row r="7274" spans="1:13" x14ac:dyDescent="0.3">
      <c r="A7274" t="s">
        <v>28</v>
      </c>
      <c r="B7274" t="s">
        <v>14</v>
      </c>
      <c r="C7274" t="s">
        <v>15</v>
      </c>
      <c r="D7274" t="s">
        <v>90</v>
      </c>
      <c r="E7274" t="s">
        <v>248</v>
      </c>
      <c r="F7274">
        <v>21044</v>
      </c>
      <c r="G7274" t="s">
        <v>57</v>
      </c>
      <c r="H7274" t="s">
        <v>26</v>
      </c>
      <c r="I7274" t="s">
        <v>37</v>
      </c>
      <c r="J7274">
        <v>2541.98</v>
      </c>
      <c r="K7274">
        <v>2</v>
      </c>
      <c r="L7274">
        <v>0</v>
      </c>
      <c r="M7274">
        <v>1270.99</v>
      </c>
    </row>
    <row r="7275" spans="1:13" x14ac:dyDescent="0.3">
      <c r="A7275" t="s">
        <v>28</v>
      </c>
      <c r="B7275" t="s">
        <v>44</v>
      </c>
      <c r="C7275" t="s">
        <v>15</v>
      </c>
      <c r="D7275" t="s">
        <v>511</v>
      </c>
      <c r="E7275" t="s">
        <v>81</v>
      </c>
      <c r="F7275">
        <v>85364</v>
      </c>
      <c r="G7275" t="s">
        <v>25</v>
      </c>
      <c r="H7275" t="s">
        <v>35</v>
      </c>
      <c r="I7275" t="s">
        <v>123</v>
      </c>
      <c r="J7275">
        <v>599.98500000000001</v>
      </c>
      <c r="K7275">
        <v>5</v>
      </c>
      <c r="L7275">
        <v>0.7</v>
      </c>
      <c r="M7275">
        <v>-479.988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79</v>
      </c>
      <c r="E7276" t="s">
        <v>65</v>
      </c>
      <c r="F7276">
        <v>60653</v>
      </c>
      <c r="G7276" t="s">
        <v>47</v>
      </c>
      <c r="H7276" t="s">
        <v>26</v>
      </c>
      <c r="I7276" t="s">
        <v>37</v>
      </c>
      <c r="J7276">
        <v>3.036</v>
      </c>
      <c r="K7276">
        <v>3</v>
      </c>
      <c r="L7276">
        <v>0.8</v>
      </c>
      <c r="M7276">
        <v>-5.0094000000000003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26</v>
      </c>
      <c r="I7277" t="s">
        <v>34</v>
      </c>
      <c r="J7277">
        <v>25.92</v>
      </c>
      <c r="K7277">
        <v>5</v>
      </c>
      <c r="L7277">
        <v>0.2</v>
      </c>
      <c r="M7277">
        <v>3.8879999999999999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221</v>
      </c>
      <c r="E7278" t="s">
        <v>104</v>
      </c>
      <c r="F7278">
        <v>44105</v>
      </c>
      <c r="G7278" t="s">
        <v>57</v>
      </c>
      <c r="H7278" t="s">
        <v>19</v>
      </c>
      <c r="I7278" t="s">
        <v>33</v>
      </c>
      <c r="J7278">
        <v>66.111999999999995</v>
      </c>
      <c r="K7278">
        <v>2</v>
      </c>
      <c r="L7278">
        <v>0.2</v>
      </c>
      <c r="M7278">
        <v>-9.0904000000000007</v>
      </c>
    </row>
    <row r="7279" spans="1:13" x14ac:dyDescent="0.3">
      <c r="A7279" t="s">
        <v>28</v>
      </c>
      <c r="B7279" t="s">
        <v>14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59</v>
      </c>
      <c r="J7279">
        <v>46.36</v>
      </c>
      <c r="K7279">
        <v>4</v>
      </c>
      <c r="L7279">
        <v>0</v>
      </c>
      <c r="M7279">
        <v>15.2988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35</v>
      </c>
      <c r="I7280" t="s">
        <v>59</v>
      </c>
      <c r="J7280">
        <v>6.9</v>
      </c>
      <c r="K7280">
        <v>1</v>
      </c>
      <c r="L7280">
        <v>0</v>
      </c>
      <c r="M7280">
        <v>0.55200000000000005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354</v>
      </c>
      <c r="E7281" t="s">
        <v>119</v>
      </c>
      <c r="F7281">
        <v>73120</v>
      </c>
      <c r="G7281" t="s">
        <v>47</v>
      </c>
      <c r="H7281" t="s">
        <v>19</v>
      </c>
      <c r="I7281" t="s">
        <v>33</v>
      </c>
      <c r="J7281">
        <v>57.69</v>
      </c>
      <c r="K7281">
        <v>3</v>
      </c>
      <c r="L7281">
        <v>0</v>
      </c>
      <c r="M7281">
        <v>23.652899999999999</v>
      </c>
    </row>
    <row r="7282" spans="1:13" x14ac:dyDescent="0.3">
      <c r="A7282" t="s">
        <v>28</v>
      </c>
      <c r="B7282" t="s">
        <v>22</v>
      </c>
      <c r="C7282" t="s">
        <v>15</v>
      </c>
      <c r="D7282" t="s">
        <v>61</v>
      </c>
      <c r="E7282" t="s">
        <v>46</v>
      </c>
      <c r="F7282">
        <v>77095</v>
      </c>
      <c r="G7282" t="s">
        <v>47</v>
      </c>
      <c r="H7282" t="s">
        <v>35</v>
      </c>
      <c r="I7282" t="s">
        <v>123</v>
      </c>
      <c r="J7282">
        <v>559.71</v>
      </c>
      <c r="K7282">
        <v>3</v>
      </c>
      <c r="L7282">
        <v>0.4</v>
      </c>
      <c r="M7282">
        <v>-121.2705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32</v>
      </c>
      <c r="J7283">
        <v>305.01</v>
      </c>
      <c r="K7283">
        <v>9</v>
      </c>
      <c r="L7283">
        <v>0</v>
      </c>
      <c r="M7283">
        <v>76.252499999999998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37</v>
      </c>
      <c r="J7284">
        <v>50.783999999999999</v>
      </c>
      <c r="K7284">
        <v>2</v>
      </c>
      <c r="L7284">
        <v>0.2</v>
      </c>
      <c r="M7284">
        <v>17.7744</v>
      </c>
    </row>
    <row r="7285" spans="1:13" x14ac:dyDescent="0.3">
      <c r="A7285" t="s">
        <v>62</v>
      </c>
      <c r="B7285" t="s">
        <v>14</v>
      </c>
      <c r="C7285" t="s">
        <v>15</v>
      </c>
      <c r="D7285" t="s">
        <v>52</v>
      </c>
      <c r="E7285" t="s">
        <v>24</v>
      </c>
      <c r="F7285">
        <v>94122</v>
      </c>
      <c r="G7285" t="s">
        <v>25</v>
      </c>
      <c r="H7285" t="s">
        <v>26</v>
      </c>
      <c r="I7285" t="s">
        <v>27</v>
      </c>
      <c r="J7285">
        <v>26.01</v>
      </c>
      <c r="K7285">
        <v>9</v>
      </c>
      <c r="L7285">
        <v>0</v>
      </c>
      <c r="M7285">
        <v>12.2247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405</v>
      </c>
      <c r="E7286" t="s">
        <v>86</v>
      </c>
      <c r="F7286">
        <v>37211</v>
      </c>
      <c r="G7286" t="s">
        <v>18</v>
      </c>
      <c r="H7286" t="s">
        <v>35</v>
      </c>
      <c r="I7286" t="s">
        <v>123</v>
      </c>
      <c r="J7286">
        <v>649</v>
      </c>
      <c r="K7286">
        <v>2</v>
      </c>
      <c r="L7286">
        <v>0.5</v>
      </c>
      <c r="M7286">
        <v>-272.58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23</v>
      </c>
      <c r="E7287" t="s">
        <v>24</v>
      </c>
      <c r="F7287">
        <v>90036</v>
      </c>
      <c r="G7287" t="s">
        <v>25</v>
      </c>
      <c r="H7287" t="s">
        <v>19</v>
      </c>
      <c r="I7287" t="s">
        <v>33</v>
      </c>
      <c r="J7287">
        <v>59.99</v>
      </c>
      <c r="K7287">
        <v>7</v>
      </c>
      <c r="L7287">
        <v>0</v>
      </c>
      <c r="M7287">
        <v>21.596399999999999</v>
      </c>
    </row>
    <row r="7288" spans="1:13" x14ac:dyDescent="0.3">
      <c r="A7288" t="s">
        <v>28</v>
      </c>
      <c r="B7288" t="s">
        <v>14</v>
      </c>
      <c r="C7288" t="s">
        <v>15</v>
      </c>
      <c r="D7288" t="s">
        <v>319</v>
      </c>
      <c r="E7288" t="s">
        <v>43</v>
      </c>
      <c r="F7288">
        <v>98006</v>
      </c>
      <c r="G7288" t="s">
        <v>25</v>
      </c>
      <c r="H7288" t="s">
        <v>19</v>
      </c>
      <c r="I7288" t="s">
        <v>33</v>
      </c>
      <c r="J7288">
        <v>20.239999999999998</v>
      </c>
      <c r="K7288">
        <v>1</v>
      </c>
      <c r="L7288">
        <v>0</v>
      </c>
      <c r="M7288">
        <v>7.8936000000000002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34</v>
      </c>
      <c r="J7289">
        <v>37.840000000000003</v>
      </c>
      <c r="K7289">
        <v>2</v>
      </c>
      <c r="L7289">
        <v>0.2</v>
      </c>
      <c r="M7289">
        <v>2.8380000000000001</v>
      </c>
    </row>
    <row r="7290" spans="1:13" x14ac:dyDescent="0.3">
      <c r="A7290" t="s">
        <v>62</v>
      </c>
      <c r="B7290" t="s">
        <v>14</v>
      </c>
      <c r="C7290" t="s">
        <v>15</v>
      </c>
      <c r="D7290" t="s">
        <v>61</v>
      </c>
      <c r="E7290" t="s">
        <v>46</v>
      </c>
      <c r="F7290">
        <v>77036</v>
      </c>
      <c r="G7290" t="s">
        <v>47</v>
      </c>
      <c r="H7290" t="s">
        <v>26</v>
      </c>
      <c r="I7290" t="s">
        <v>77</v>
      </c>
      <c r="J7290">
        <v>5.4720000000000004</v>
      </c>
      <c r="K7290">
        <v>6</v>
      </c>
      <c r="L7290">
        <v>0.2</v>
      </c>
      <c r="M7290">
        <v>1.8468</v>
      </c>
    </row>
    <row r="7291" spans="1:13" x14ac:dyDescent="0.3">
      <c r="A7291" t="s">
        <v>13</v>
      </c>
      <c r="B7291" t="s">
        <v>22</v>
      </c>
      <c r="C7291" t="s">
        <v>15</v>
      </c>
      <c r="D7291" t="s">
        <v>55</v>
      </c>
      <c r="E7291" t="s">
        <v>56</v>
      </c>
      <c r="F7291">
        <v>19143</v>
      </c>
      <c r="G7291" t="s">
        <v>57</v>
      </c>
      <c r="H7291" t="s">
        <v>26</v>
      </c>
      <c r="I7291" t="s">
        <v>32</v>
      </c>
      <c r="J7291">
        <v>77.239999999999995</v>
      </c>
      <c r="K7291">
        <v>5</v>
      </c>
      <c r="L7291">
        <v>0.2</v>
      </c>
      <c r="M7291">
        <v>7.7240000000000002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31</v>
      </c>
      <c r="J7292">
        <v>292.10000000000002</v>
      </c>
      <c r="K7292">
        <v>4</v>
      </c>
      <c r="L7292">
        <v>0.5</v>
      </c>
      <c r="M7292">
        <v>-175.26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33</v>
      </c>
      <c r="J7293">
        <v>8.5440000000000005</v>
      </c>
      <c r="K7293">
        <v>2</v>
      </c>
      <c r="L7293">
        <v>0.6</v>
      </c>
      <c r="M7293">
        <v>-7.476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19</v>
      </c>
      <c r="I7294" t="s">
        <v>20</v>
      </c>
      <c r="J7294">
        <v>424.11599999999999</v>
      </c>
      <c r="K7294">
        <v>6</v>
      </c>
      <c r="L7294">
        <v>0.3</v>
      </c>
      <c r="M7294">
        <v>-30.294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37</v>
      </c>
      <c r="J7295">
        <v>2.8919999999999999</v>
      </c>
      <c r="K7295">
        <v>3</v>
      </c>
      <c r="L7295">
        <v>0.8</v>
      </c>
      <c r="M7295">
        <v>-4.9164000000000003</v>
      </c>
    </row>
    <row r="7296" spans="1:13" x14ac:dyDescent="0.3">
      <c r="A7296" t="s">
        <v>62</v>
      </c>
      <c r="B7296" t="s">
        <v>14</v>
      </c>
      <c r="C7296" t="s">
        <v>15</v>
      </c>
      <c r="D7296" t="s">
        <v>559</v>
      </c>
      <c r="E7296" t="s">
        <v>65</v>
      </c>
      <c r="F7296">
        <v>60016</v>
      </c>
      <c r="G7296" t="s">
        <v>47</v>
      </c>
      <c r="H7296" t="s">
        <v>26</v>
      </c>
      <c r="I7296" t="s">
        <v>32</v>
      </c>
      <c r="J7296">
        <v>381.72</v>
      </c>
      <c r="K7296">
        <v>5</v>
      </c>
      <c r="L7296">
        <v>0.2</v>
      </c>
      <c r="M7296">
        <v>-66.801000000000002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19</v>
      </c>
      <c r="I7297" t="s">
        <v>21</v>
      </c>
      <c r="J7297">
        <v>97.183999999999997</v>
      </c>
      <c r="K7297">
        <v>2</v>
      </c>
      <c r="L7297">
        <v>0.2</v>
      </c>
      <c r="M7297">
        <v>6.0739999999999998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284</v>
      </c>
      <c r="E7298" t="s">
        <v>30</v>
      </c>
      <c r="F7298">
        <v>33437</v>
      </c>
      <c r="G7298" t="s">
        <v>18</v>
      </c>
      <c r="H7298" t="s">
        <v>26</v>
      </c>
      <c r="I7298" t="s">
        <v>41</v>
      </c>
      <c r="J7298">
        <v>10.368</v>
      </c>
      <c r="K7298">
        <v>2</v>
      </c>
      <c r="L7298">
        <v>0.2</v>
      </c>
      <c r="M7298">
        <v>3.6288</v>
      </c>
    </row>
    <row r="7299" spans="1:13" x14ac:dyDescent="0.3">
      <c r="A7299" t="s">
        <v>28</v>
      </c>
      <c r="B7299" t="s">
        <v>14</v>
      </c>
      <c r="C7299" t="s">
        <v>15</v>
      </c>
      <c r="D7299" t="s">
        <v>328</v>
      </c>
      <c r="E7299" t="s">
        <v>46</v>
      </c>
      <c r="F7299">
        <v>75023</v>
      </c>
      <c r="G7299" t="s">
        <v>47</v>
      </c>
      <c r="H7299" t="s">
        <v>19</v>
      </c>
      <c r="I7299" t="s">
        <v>31</v>
      </c>
      <c r="J7299">
        <v>890.84100000000001</v>
      </c>
      <c r="K7299">
        <v>3</v>
      </c>
      <c r="L7299">
        <v>0.3</v>
      </c>
      <c r="M7299">
        <v>-152.71559999999999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35</v>
      </c>
      <c r="I7300" t="s">
        <v>59</v>
      </c>
      <c r="J7300">
        <v>72</v>
      </c>
      <c r="K7300">
        <v>4</v>
      </c>
      <c r="L7300">
        <v>0</v>
      </c>
      <c r="M7300">
        <v>12.96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19</v>
      </c>
      <c r="I7301" t="s">
        <v>21</v>
      </c>
      <c r="J7301">
        <v>113.88800000000001</v>
      </c>
      <c r="K7301">
        <v>2</v>
      </c>
      <c r="L7301">
        <v>0.2</v>
      </c>
      <c r="M7301">
        <v>9.9651999999999994</v>
      </c>
    </row>
    <row r="7302" spans="1:13" x14ac:dyDescent="0.3">
      <c r="A7302" t="s">
        <v>13</v>
      </c>
      <c r="B7302" t="s">
        <v>14</v>
      </c>
      <c r="C7302" t="s">
        <v>15</v>
      </c>
      <c r="D7302" t="s">
        <v>117</v>
      </c>
      <c r="E7302" t="s">
        <v>24</v>
      </c>
      <c r="F7302">
        <v>95123</v>
      </c>
      <c r="G7302" t="s">
        <v>25</v>
      </c>
      <c r="H7302" t="s">
        <v>26</v>
      </c>
      <c r="I7302" t="s">
        <v>60</v>
      </c>
      <c r="J7302">
        <v>158.13</v>
      </c>
      <c r="K7302">
        <v>3</v>
      </c>
      <c r="L7302">
        <v>0</v>
      </c>
      <c r="M7302">
        <v>77.483699999999999</v>
      </c>
    </row>
    <row r="7303" spans="1:13" x14ac:dyDescent="0.3">
      <c r="A7303" t="s">
        <v>13</v>
      </c>
      <c r="B7303" t="s">
        <v>22</v>
      </c>
      <c r="C7303" t="s">
        <v>15</v>
      </c>
      <c r="D7303" t="s">
        <v>75</v>
      </c>
      <c r="E7303" t="s">
        <v>76</v>
      </c>
      <c r="F7303">
        <v>10024</v>
      </c>
      <c r="G7303" t="s">
        <v>57</v>
      </c>
      <c r="H7303" t="s">
        <v>26</v>
      </c>
      <c r="I7303" t="s">
        <v>77</v>
      </c>
      <c r="J7303">
        <v>14.13</v>
      </c>
      <c r="K7303">
        <v>3</v>
      </c>
      <c r="L7303">
        <v>0</v>
      </c>
      <c r="M7303">
        <v>0.70650000000000002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140</v>
      </c>
      <c r="E7304" t="s">
        <v>70</v>
      </c>
      <c r="F7304">
        <v>48227</v>
      </c>
      <c r="G7304" t="s">
        <v>47</v>
      </c>
      <c r="H7304" t="s">
        <v>26</v>
      </c>
      <c r="I7304" t="s">
        <v>37</v>
      </c>
      <c r="J7304">
        <v>64.75</v>
      </c>
      <c r="K7304">
        <v>5</v>
      </c>
      <c r="L7304">
        <v>0</v>
      </c>
      <c r="M7304">
        <v>29.137499999999999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1.8720000000000001</v>
      </c>
      <c r="K7305">
        <v>2</v>
      </c>
      <c r="L7305">
        <v>0.7</v>
      </c>
      <c r="M7305">
        <v>-1.3104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37</v>
      </c>
      <c r="J7306">
        <v>11.214</v>
      </c>
      <c r="K7306">
        <v>2</v>
      </c>
      <c r="L7306">
        <v>0.7</v>
      </c>
      <c r="M7306">
        <v>-8.5974000000000004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180</v>
      </c>
      <c r="E7307" t="s">
        <v>30</v>
      </c>
      <c r="F7307">
        <v>33178</v>
      </c>
      <c r="G7307" t="s">
        <v>18</v>
      </c>
      <c r="H7307" t="s">
        <v>26</v>
      </c>
      <c r="I7307" t="s">
        <v>34</v>
      </c>
      <c r="J7307">
        <v>37.375999999999998</v>
      </c>
      <c r="K7307">
        <v>8</v>
      </c>
      <c r="L7307">
        <v>0.2</v>
      </c>
      <c r="M7307">
        <v>7.4752000000000001</v>
      </c>
    </row>
    <row r="7308" spans="1:13" x14ac:dyDescent="0.3">
      <c r="A7308" t="s">
        <v>28</v>
      </c>
      <c r="B7308" t="s">
        <v>44</v>
      </c>
      <c r="C7308" t="s">
        <v>15</v>
      </c>
      <c r="D7308" t="s">
        <v>192</v>
      </c>
      <c r="E7308" t="s">
        <v>65</v>
      </c>
      <c r="F7308">
        <v>60068</v>
      </c>
      <c r="G7308" t="s">
        <v>47</v>
      </c>
      <c r="H7308" t="s">
        <v>35</v>
      </c>
      <c r="I7308" t="s">
        <v>36</v>
      </c>
      <c r="J7308">
        <v>286.39999999999998</v>
      </c>
      <c r="K7308">
        <v>1</v>
      </c>
      <c r="L7308">
        <v>0.2</v>
      </c>
      <c r="M7308">
        <v>25.06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75</v>
      </c>
      <c r="E7309" t="s">
        <v>76</v>
      </c>
      <c r="F7309">
        <v>10024</v>
      </c>
      <c r="G7309" t="s">
        <v>57</v>
      </c>
      <c r="H7309" t="s">
        <v>26</v>
      </c>
      <c r="I7309" t="s">
        <v>34</v>
      </c>
      <c r="J7309">
        <v>43.92</v>
      </c>
      <c r="K7309">
        <v>3</v>
      </c>
      <c r="L7309">
        <v>0</v>
      </c>
      <c r="M7309">
        <v>12.736800000000001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75</v>
      </c>
      <c r="E7310" t="s">
        <v>76</v>
      </c>
      <c r="F7310">
        <v>10011</v>
      </c>
      <c r="G7310" t="s">
        <v>57</v>
      </c>
      <c r="H7310" t="s">
        <v>19</v>
      </c>
      <c r="I7310" t="s">
        <v>31</v>
      </c>
      <c r="J7310">
        <v>142.18199999999999</v>
      </c>
      <c r="K7310">
        <v>1</v>
      </c>
      <c r="L7310">
        <v>0.4</v>
      </c>
      <c r="M7310">
        <v>-37.915199999999999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41</v>
      </c>
      <c r="J7311">
        <v>19.608000000000001</v>
      </c>
      <c r="K7311">
        <v>3</v>
      </c>
      <c r="L7311">
        <v>0.2</v>
      </c>
      <c r="M7311">
        <v>6.6177000000000001</v>
      </c>
    </row>
    <row r="7312" spans="1:13" x14ac:dyDescent="0.3">
      <c r="A7312" t="s">
        <v>28</v>
      </c>
      <c r="B7312" t="s">
        <v>22</v>
      </c>
      <c r="C7312" t="s">
        <v>15</v>
      </c>
      <c r="D7312" t="s">
        <v>584</v>
      </c>
      <c r="E7312" t="s">
        <v>95</v>
      </c>
      <c r="F7312">
        <v>97123</v>
      </c>
      <c r="G7312" t="s">
        <v>25</v>
      </c>
      <c r="H7312" t="s">
        <v>26</v>
      </c>
      <c r="I7312" t="s">
        <v>37</v>
      </c>
      <c r="J7312">
        <v>4.1580000000000004</v>
      </c>
      <c r="K7312">
        <v>7</v>
      </c>
      <c r="L7312">
        <v>0.7</v>
      </c>
      <c r="M7312">
        <v>-3.4649999999999999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35</v>
      </c>
      <c r="I7313" t="s">
        <v>36</v>
      </c>
      <c r="J7313">
        <v>979.95</v>
      </c>
      <c r="K7313">
        <v>5</v>
      </c>
      <c r="L7313">
        <v>0</v>
      </c>
      <c r="M7313">
        <v>264.5865</v>
      </c>
    </row>
    <row r="7314" spans="1:13" x14ac:dyDescent="0.3">
      <c r="A7314" t="s">
        <v>13</v>
      </c>
      <c r="B7314" t="s">
        <v>14</v>
      </c>
      <c r="C7314" t="s">
        <v>15</v>
      </c>
      <c r="D7314" t="s">
        <v>75</v>
      </c>
      <c r="E7314" t="s">
        <v>76</v>
      </c>
      <c r="F7314">
        <v>10009</v>
      </c>
      <c r="G7314" t="s">
        <v>57</v>
      </c>
      <c r="H7314" t="s">
        <v>19</v>
      </c>
      <c r="I7314" t="s">
        <v>33</v>
      </c>
      <c r="J7314">
        <v>135.30000000000001</v>
      </c>
      <c r="K7314">
        <v>5</v>
      </c>
      <c r="L7314">
        <v>0</v>
      </c>
      <c r="M7314">
        <v>37.884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26</v>
      </c>
      <c r="I7315" t="s">
        <v>41</v>
      </c>
      <c r="J7315">
        <v>8.9039999999999999</v>
      </c>
      <c r="K7315">
        <v>3</v>
      </c>
      <c r="L7315">
        <v>0.2</v>
      </c>
      <c r="M7315">
        <v>3.339</v>
      </c>
    </row>
    <row r="7316" spans="1:13" x14ac:dyDescent="0.3">
      <c r="A7316" t="s">
        <v>28</v>
      </c>
      <c r="B7316" t="s">
        <v>22</v>
      </c>
      <c r="C7316" t="s">
        <v>15</v>
      </c>
      <c r="D7316" t="s">
        <v>79</v>
      </c>
      <c r="E7316" t="s">
        <v>65</v>
      </c>
      <c r="F7316">
        <v>60623</v>
      </c>
      <c r="G7316" t="s">
        <v>47</v>
      </c>
      <c r="H7316" t="s">
        <v>35</v>
      </c>
      <c r="I7316" t="s">
        <v>59</v>
      </c>
      <c r="J7316">
        <v>100.8</v>
      </c>
      <c r="K7316">
        <v>2</v>
      </c>
      <c r="L7316">
        <v>0.2</v>
      </c>
      <c r="M7316">
        <v>21.42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19</v>
      </c>
      <c r="I7317" t="s">
        <v>33</v>
      </c>
      <c r="J7317">
        <v>41.96</v>
      </c>
      <c r="K7317">
        <v>2</v>
      </c>
      <c r="L7317">
        <v>0</v>
      </c>
      <c r="M7317">
        <v>10.909599999999999</v>
      </c>
    </row>
    <row r="7318" spans="1:13" x14ac:dyDescent="0.3">
      <c r="A7318" t="s">
        <v>62</v>
      </c>
      <c r="B7318" t="s">
        <v>14</v>
      </c>
      <c r="C7318" t="s">
        <v>15</v>
      </c>
      <c r="D7318" t="s">
        <v>75</v>
      </c>
      <c r="E7318" t="s">
        <v>76</v>
      </c>
      <c r="F7318">
        <v>10024</v>
      </c>
      <c r="G7318" t="s">
        <v>57</v>
      </c>
      <c r="H7318" t="s">
        <v>26</v>
      </c>
      <c r="I7318" t="s">
        <v>27</v>
      </c>
      <c r="J7318">
        <v>9.4499999999999993</v>
      </c>
      <c r="K7318">
        <v>3</v>
      </c>
      <c r="L7318">
        <v>0</v>
      </c>
      <c r="M7318">
        <v>4.5359999999999996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38</v>
      </c>
      <c r="J7319">
        <v>400.8</v>
      </c>
      <c r="K7319">
        <v>5</v>
      </c>
      <c r="L7319">
        <v>0</v>
      </c>
      <c r="M7319">
        <v>112.224</v>
      </c>
    </row>
    <row r="7320" spans="1:13" x14ac:dyDescent="0.3">
      <c r="A7320" t="s">
        <v>28</v>
      </c>
      <c r="B7320" t="s">
        <v>14</v>
      </c>
      <c r="C7320" t="s">
        <v>15</v>
      </c>
      <c r="D7320" t="s">
        <v>513</v>
      </c>
      <c r="E7320" t="s">
        <v>43</v>
      </c>
      <c r="F7320">
        <v>99301</v>
      </c>
      <c r="G7320" t="s">
        <v>25</v>
      </c>
      <c r="H7320" t="s">
        <v>26</v>
      </c>
      <c r="I7320" t="s">
        <v>37</v>
      </c>
      <c r="J7320">
        <v>28.792000000000002</v>
      </c>
      <c r="K7320">
        <v>1</v>
      </c>
      <c r="L7320">
        <v>0.2</v>
      </c>
      <c r="M7320">
        <v>10.077199999999999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19</v>
      </c>
      <c r="I7321" t="s">
        <v>33</v>
      </c>
      <c r="J7321">
        <v>111</v>
      </c>
      <c r="K7321">
        <v>2</v>
      </c>
      <c r="L7321">
        <v>0</v>
      </c>
      <c r="M7321">
        <v>14.43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35</v>
      </c>
      <c r="I7322" t="s">
        <v>123</v>
      </c>
      <c r="J7322">
        <v>1279.9680000000001</v>
      </c>
      <c r="K7322">
        <v>4</v>
      </c>
      <c r="L7322">
        <v>0.2</v>
      </c>
      <c r="M7322">
        <v>415.9896</v>
      </c>
    </row>
    <row r="7323" spans="1:13" x14ac:dyDescent="0.3">
      <c r="A7323" t="s">
        <v>28</v>
      </c>
      <c r="B7323" t="s">
        <v>44</v>
      </c>
      <c r="C7323" t="s">
        <v>15</v>
      </c>
      <c r="D7323" t="s">
        <v>585</v>
      </c>
      <c r="E7323" t="s">
        <v>24</v>
      </c>
      <c r="F7323">
        <v>91505</v>
      </c>
      <c r="G7323" t="s">
        <v>25</v>
      </c>
      <c r="H7323" t="s">
        <v>26</v>
      </c>
      <c r="I7323" t="s">
        <v>32</v>
      </c>
      <c r="J7323">
        <v>1856.19</v>
      </c>
      <c r="K7323">
        <v>7</v>
      </c>
      <c r="L7323">
        <v>0</v>
      </c>
      <c r="M7323">
        <v>334.11419999999998</v>
      </c>
    </row>
    <row r="7324" spans="1:13" x14ac:dyDescent="0.3">
      <c r="A7324" t="s">
        <v>62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19</v>
      </c>
      <c r="I7324" t="s">
        <v>33</v>
      </c>
      <c r="J7324">
        <v>22.751999999999999</v>
      </c>
      <c r="K7324">
        <v>6</v>
      </c>
      <c r="L7324">
        <v>0.6</v>
      </c>
      <c r="M7324">
        <v>-8.532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35</v>
      </c>
      <c r="I7325" t="s">
        <v>36</v>
      </c>
      <c r="J7325">
        <v>61.542000000000002</v>
      </c>
      <c r="K7325">
        <v>1</v>
      </c>
      <c r="L7325">
        <v>0.4</v>
      </c>
      <c r="M7325">
        <v>-13.334099999999999</v>
      </c>
    </row>
    <row r="7326" spans="1:13" x14ac:dyDescent="0.3">
      <c r="A7326" t="s">
        <v>28</v>
      </c>
      <c r="B7326" t="s">
        <v>22</v>
      </c>
      <c r="C7326" t="s">
        <v>15</v>
      </c>
      <c r="D7326" t="s">
        <v>235</v>
      </c>
      <c r="E7326" t="s">
        <v>56</v>
      </c>
      <c r="F7326">
        <v>17602</v>
      </c>
      <c r="G7326" t="s">
        <v>57</v>
      </c>
      <c r="H7326" t="s">
        <v>26</v>
      </c>
      <c r="I7326" t="s">
        <v>37</v>
      </c>
      <c r="J7326">
        <v>81.438000000000002</v>
      </c>
      <c r="K7326">
        <v>7</v>
      </c>
      <c r="L7326">
        <v>0.7</v>
      </c>
      <c r="M7326">
        <v>-65.150400000000005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67.36</v>
      </c>
      <c r="K7327">
        <v>2</v>
      </c>
      <c r="L7327">
        <v>0.2</v>
      </c>
      <c r="M7327">
        <v>10.103999999999999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141</v>
      </c>
      <c r="E7328" t="s">
        <v>30</v>
      </c>
      <c r="F7328">
        <v>33614</v>
      </c>
      <c r="G7328" t="s">
        <v>18</v>
      </c>
      <c r="H7328" t="s">
        <v>19</v>
      </c>
      <c r="I7328" t="s">
        <v>33</v>
      </c>
      <c r="J7328">
        <v>54.527999999999999</v>
      </c>
      <c r="K7328">
        <v>3</v>
      </c>
      <c r="L7328">
        <v>0.2</v>
      </c>
      <c r="M7328">
        <v>14.313599999999999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35</v>
      </c>
      <c r="I7329" t="s">
        <v>59</v>
      </c>
      <c r="J7329">
        <v>843.9</v>
      </c>
      <c r="K7329">
        <v>2</v>
      </c>
      <c r="L7329">
        <v>0</v>
      </c>
      <c r="M7329">
        <v>371.31599999999997</v>
      </c>
    </row>
    <row r="7330" spans="1:13" x14ac:dyDescent="0.3">
      <c r="A7330" t="s">
        <v>28</v>
      </c>
      <c r="B7330" t="s">
        <v>14</v>
      </c>
      <c r="C7330" t="s">
        <v>15</v>
      </c>
      <c r="D7330" t="s">
        <v>75</v>
      </c>
      <c r="E7330" t="s">
        <v>76</v>
      </c>
      <c r="F7330">
        <v>10024</v>
      </c>
      <c r="G7330" t="s">
        <v>57</v>
      </c>
      <c r="H7330" t="s">
        <v>19</v>
      </c>
      <c r="I7330" t="s">
        <v>20</v>
      </c>
      <c r="J7330">
        <v>449.56799999999998</v>
      </c>
      <c r="K7330">
        <v>2</v>
      </c>
      <c r="L7330">
        <v>0.2</v>
      </c>
      <c r="M7330">
        <v>56.195999999999998</v>
      </c>
    </row>
    <row r="7331" spans="1:13" x14ac:dyDescent="0.3">
      <c r="A7331" t="s">
        <v>62</v>
      </c>
      <c r="B7331" t="s">
        <v>22</v>
      </c>
      <c r="C7331" t="s">
        <v>15</v>
      </c>
      <c r="D7331" t="s">
        <v>23</v>
      </c>
      <c r="E7331" t="s">
        <v>24</v>
      </c>
      <c r="F7331">
        <v>90045</v>
      </c>
      <c r="G7331" t="s">
        <v>25</v>
      </c>
      <c r="H7331" t="s">
        <v>26</v>
      </c>
      <c r="I7331" t="s">
        <v>32</v>
      </c>
      <c r="J7331">
        <v>15.51</v>
      </c>
      <c r="K7331">
        <v>1</v>
      </c>
      <c r="L7331">
        <v>0</v>
      </c>
      <c r="M7331">
        <v>3.8774999999999999</v>
      </c>
    </row>
    <row r="7332" spans="1:13" x14ac:dyDescent="0.3">
      <c r="A7332" t="s">
        <v>13</v>
      </c>
      <c r="B7332" t="s">
        <v>22</v>
      </c>
      <c r="C7332" t="s">
        <v>15</v>
      </c>
      <c r="D7332" t="s">
        <v>75</v>
      </c>
      <c r="E7332" t="s">
        <v>76</v>
      </c>
      <c r="F7332">
        <v>10035</v>
      </c>
      <c r="G7332" t="s">
        <v>57</v>
      </c>
      <c r="H7332" t="s">
        <v>19</v>
      </c>
      <c r="I7332" t="s">
        <v>21</v>
      </c>
      <c r="J7332">
        <v>192.18600000000001</v>
      </c>
      <c r="K7332">
        <v>3</v>
      </c>
      <c r="L7332">
        <v>0.1</v>
      </c>
      <c r="M7332">
        <v>36.3018</v>
      </c>
    </row>
    <row r="7333" spans="1:13" x14ac:dyDescent="0.3">
      <c r="A7333" t="s">
        <v>62</v>
      </c>
      <c r="B7333" t="s">
        <v>22</v>
      </c>
      <c r="C7333" t="s">
        <v>15</v>
      </c>
      <c r="D7333" t="s">
        <v>75</v>
      </c>
      <c r="E7333" t="s">
        <v>76</v>
      </c>
      <c r="F7333">
        <v>10009</v>
      </c>
      <c r="G7333" t="s">
        <v>57</v>
      </c>
      <c r="H7333" t="s">
        <v>26</v>
      </c>
      <c r="I7333" t="s">
        <v>34</v>
      </c>
      <c r="J7333">
        <v>5.76</v>
      </c>
      <c r="K7333">
        <v>2</v>
      </c>
      <c r="L7333">
        <v>0</v>
      </c>
      <c r="M7333">
        <v>1.6128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19</v>
      </c>
      <c r="I7334" t="s">
        <v>21</v>
      </c>
      <c r="J7334">
        <v>67.88</v>
      </c>
      <c r="K7334">
        <v>2</v>
      </c>
      <c r="L7334">
        <v>0</v>
      </c>
      <c r="M7334">
        <v>18.3276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26</v>
      </c>
      <c r="I7335" t="s">
        <v>27</v>
      </c>
      <c r="J7335">
        <v>162.88999999999999</v>
      </c>
      <c r="K7335">
        <v>13</v>
      </c>
      <c r="L7335">
        <v>0</v>
      </c>
      <c r="M7335">
        <v>76.558300000000003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200</v>
      </c>
      <c r="E7336" t="s">
        <v>167</v>
      </c>
      <c r="F7336">
        <v>30318</v>
      </c>
      <c r="G7336" t="s">
        <v>18</v>
      </c>
      <c r="H7336" t="s">
        <v>19</v>
      </c>
      <c r="I7336" t="s">
        <v>33</v>
      </c>
      <c r="J7336">
        <v>25.71</v>
      </c>
      <c r="K7336">
        <v>3</v>
      </c>
      <c r="L7336">
        <v>0</v>
      </c>
      <c r="M7336">
        <v>9.2555999999999994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10009</v>
      </c>
      <c r="G7337" t="s">
        <v>57</v>
      </c>
      <c r="H7337" t="s">
        <v>26</v>
      </c>
      <c r="I7337" t="s">
        <v>32</v>
      </c>
      <c r="J7337">
        <v>191.88</v>
      </c>
      <c r="K7337">
        <v>6</v>
      </c>
      <c r="L7337">
        <v>0</v>
      </c>
      <c r="M7337">
        <v>19.187999999999999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19</v>
      </c>
      <c r="I7338" t="s">
        <v>31</v>
      </c>
      <c r="J7338">
        <v>721.875</v>
      </c>
      <c r="K7338">
        <v>6</v>
      </c>
      <c r="L7338">
        <v>0.45</v>
      </c>
      <c r="M7338">
        <v>-420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35</v>
      </c>
      <c r="I7339" t="s">
        <v>36</v>
      </c>
      <c r="J7339">
        <v>73.567999999999998</v>
      </c>
      <c r="K7339">
        <v>4</v>
      </c>
      <c r="L7339">
        <v>0.2</v>
      </c>
      <c r="M7339">
        <v>-16.552800000000001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26</v>
      </c>
      <c r="I7340" t="s">
        <v>34</v>
      </c>
      <c r="J7340">
        <v>13.584</v>
      </c>
      <c r="K7340">
        <v>1</v>
      </c>
      <c r="L7340">
        <v>0.2</v>
      </c>
      <c r="M7340">
        <v>1.3584000000000001</v>
      </c>
    </row>
    <row r="7341" spans="1:13" x14ac:dyDescent="0.3">
      <c r="A7341" t="s">
        <v>28</v>
      </c>
      <c r="B7341" t="s">
        <v>22</v>
      </c>
      <c r="C7341" t="s">
        <v>15</v>
      </c>
      <c r="D7341" t="s">
        <v>189</v>
      </c>
      <c r="E7341" t="s">
        <v>30</v>
      </c>
      <c r="F7341">
        <v>32216</v>
      </c>
      <c r="G7341" t="s">
        <v>18</v>
      </c>
      <c r="H7341" t="s">
        <v>19</v>
      </c>
      <c r="I7341" t="s">
        <v>21</v>
      </c>
      <c r="J7341">
        <v>64.784000000000006</v>
      </c>
      <c r="K7341">
        <v>1</v>
      </c>
      <c r="L7341">
        <v>0.2</v>
      </c>
      <c r="M7341">
        <v>-12.147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61</v>
      </c>
      <c r="E7342" t="s">
        <v>46</v>
      </c>
      <c r="F7342">
        <v>77095</v>
      </c>
      <c r="G7342" t="s">
        <v>47</v>
      </c>
      <c r="H7342" t="s">
        <v>26</v>
      </c>
      <c r="I7342" t="s">
        <v>38</v>
      </c>
      <c r="J7342">
        <v>176.77199999999999</v>
      </c>
      <c r="K7342">
        <v>3</v>
      </c>
      <c r="L7342">
        <v>0.8</v>
      </c>
      <c r="M7342">
        <v>-459.60719999999998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38.82</v>
      </c>
      <c r="K7343">
        <v>6</v>
      </c>
      <c r="L7343">
        <v>0</v>
      </c>
      <c r="M7343">
        <v>19.41</v>
      </c>
    </row>
    <row r="7344" spans="1:13" x14ac:dyDescent="0.3">
      <c r="A7344" t="s">
        <v>28</v>
      </c>
      <c r="B7344" t="s">
        <v>22</v>
      </c>
      <c r="C7344" t="s">
        <v>15</v>
      </c>
      <c r="D7344" t="s">
        <v>241</v>
      </c>
      <c r="E7344" t="s">
        <v>49</v>
      </c>
      <c r="F7344">
        <v>53209</v>
      </c>
      <c r="G7344" t="s">
        <v>47</v>
      </c>
      <c r="H7344" t="s">
        <v>26</v>
      </c>
      <c r="I7344" t="s">
        <v>37</v>
      </c>
      <c r="J7344">
        <v>21.9</v>
      </c>
      <c r="K7344">
        <v>5</v>
      </c>
      <c r="L7344">
        <v>0</v>
      </c>
      <c r="M7344">
        <v>10.512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586</v>
      </c>
      <c r="E7345" t="s">
        <v>24</v>
      </c>
      <c r="F7345">
        <v>95351</v>
      </c>
      <c r="G7345" t="s">
        <v>25</v>
      </c>
      <c r="H7345" t="s">
        <v>35</v>
      </c>
      <c r="I7345" t="s">
        <v>59</v>
      </c>
      <c r="J7345">
        <v>111.79</v>
      </c>
      <c r="K7345">
        <v>7</v>
      </c>
      <c r="L7345">
        <v>0</v>
      </c>
      <c r="M7345">
        <v>43.598100000000002</v>
      </c>
    </row>
    <row r="7346" spans="1:13" x14ac:dyDescent="0.3">
      <c r="A7346" t="s">
        <v>13</v>
      </c>
      <c r="B7346" t="s">
        <v>44</v>
      </c>
      <c r="C7346" t="s">
        <v>15</v>
      </c>
      <c r="D7346" t="s">
        <v>154</v>
      </c>
      <c r="E7346" t="s">
        <v>104</v>
      </c>
      <c r="F7346">
        <v>44107</v>
      </c>
      <c r="G7346" t="s">
        <v>57</v>
      </c>
      <c r="H7346" t="s">
        <v>35</v>
      </c>
      <c r="I7346" t="s">
        <v>36</v>
      </c>
      <c r="J7346">
        <v>445.44</v>
      </c>
      <c r="K7346">
        <v>8</v>
      </c>
      <c r="L7346">
        <v>0.4</v>
      </c>
      <c r="M7346">
        <v>-81.664000000000001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55</v>
      </c>
      <c r="E7347" t="s">
        <v>56</v>
      </c>
      <c r="F7347">
        <v>19134</v>
      </c>
      <c r="G7347" t="s">
        <v>57</v>
      </c>
      <c r="H7347" t="s">
        <v>26</v>
      </c>
      <c r="I7347" t="s">
        <v>27</v>
      </c>
      <c r="J7347">
        <v>16.52</v>
      </c>
      <c r="K7347">
        <v>5</v>
      </c>
      <c r="L7347">
        <v>0.2</v>
      </c>
      <c r="M7347">
        <v>5.3689999999999998</v>
      </c>
    </row>
    <row r="7348" spans="1:13" x14ac:dyDescent="0.3">
      <c r="A7348" t="s">
        <v>28</v>
      </c>
      <c r="B7348" t="s">
        <v>44</v>
      </c>
      <c r="C7348" t="s">
        <v>15</v>
      </c>
      <c r="D7348" t="s">
        <v>52</v>
      </c>
      <c r="E7348" t="s">
        <v>24</v>
      </c>
      <c r="F7348">
        <v>94109</v>
      </c>
      <c r="G7348" t="s">
        <v>25</v>
      </c>
      <c r="H7348" t="s">
        <v>26</v>
      </c>
      <c r="I7348" t="s">
        <v>41</v>
      </c>
      <c r="J7348">
        <v>29.9</v>
      </c>
      <c r="K7348">
        <v>5</v>
      </c>
      <c r="L7348">
        <v>0</v>
      </c>
      <c r="M7348">
        <v>13.455</v>
      </c>
    </row>
    <row r="7349" spans="1:13" x14ac:dyDescent="0.3">
      <c r="A7349" t="s">
        <v>13</v>
      </c>
      <c r="B7349" t="s">
        <v>22</v>
      </c>
      <c r="C7349" t="s">
        <v>15</v>
      </c>
      <c r="D7349" t="s">
        <v>140</v>
      </c>
      <c r="E7349" t="s">
        <v>70</v>
      </c>
      <c r="F7349">
        <v>48205</v>
      </c>
      <c r="G7349" t="s">
        <v>47</v>
      </c>
      <c r="H7349" t="s">
        <v>26</v>
      </c>
      <c r="I7349" t="s">
        <v>37</v>
      </c>
      <c r="J7349">
        <v>116.4</v>
      </c>
      <c r="K7349">
        <v>8</v>
      </c>
      <c r="L7349">
        <v>0</v>
      </c>
      <c r="M7349">
        <v>52.38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26</v>
      </c>
      <c r="I7350" t="s">
        <v>34</v>
      </c>
      <c r="J7350">
        <v>1.4079999999999999</v>
      </c>
      <c r="K7350">
        <v>1</v>
      </c>
      <c r="L7350">
        <v>0.2</v>
      </c>
      <c r="M7350">
        <v>0.15840000000000001</v>
      </c>
    </row>
    <row r="7351" spans="1:13" x14ac:dyDescent="0.3">
      <c r="A7351" t="s">
        <v>28</v>
      </c>
      <c r="B7351" t="s">
        <v>44</v>
      </c>
      <c r="C7351" t="s">
        <v>15</v>
      </c>
      <c r="D7351" t="s">
        <v>108</v>
      </c>
      <c r="E7351" t="s">
        <v>81</v>
      </c>
      <c r="F7351">
        <v>85023</v>
      </c>
      <c r="G7351" t="s">
        <v>25</v>
      </c>
      <c r="H7351" t="s">
        <v>19</v>
      </c>
      <c r="I7351" t="s">
        <v>33</v>
      </c>
      <c r="J7351">
        <v>169.56800000000001</v>
      </c>
      <c r="K7351">
        <v>2</v>
      </c>
      <c r="L7351">
        <v>0.2</v>
      </c>
      <c r="M7351">
        <v>0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35</v>
      </c>
      <c r="I7352" t="s">
        <v>36</v>
      </c>
      <c r="J7352">
        <v>251.964</v>
      </c>
      <c r="K7352">
        <v>6</v>
      </c>
      <c r="L7352">
        <v>0.4</v>
      </c>
      <c r="M7352">
        <v>-50.392800000000001</v>
      </c>
    </row>
    <row r="7353" spans="1:13" x14ac:dyDescent="0.3">
      <c r="A7353" t="s">
        <v>13</v>
      </c>
      <c r="B7353" t="s">
        <v>22</v>
      </c>
      <c r="C7353" t="s">
        <v>15</v>
      </c>
      <c r="D7353" t="s">
        <v>55</v>
      </c>
      <c r="E7353" t="s">
        <v>56</v>
      </c>
      <c r="F7353">
        <v>19143</v>
      </c>
      <c r="G7353" t="s">
        <v>57</v>
      </c>
      <c r="H7353" t="s">
        <v>19</v>
      </c>
      <c r="I7353" t="s">
        <v>31</v>
      </c>
      <c r="J7353">
        <v>523.76400000000001</v>
      </c>
      <c r="K7353">
        <v>3</v>
      </c>
      <c r="L7353">
        <v>0.4</v>
      </c>
      <c r="M7353">
        <v>-192.04679999999999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26</v>
      </c>
      <c r="I7354" t="s">
        <v>41</v>
      </c>
      <c r="J7354">
        <v>19.440000000000001</v>
      </c>
      <c r="K7354">
        <v>3</v>
      </c>
      <c r="L7354">
        <v>0</v>
      </c>
      <c r="M7354">
        <v>9.3312000000000008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19</v>
      </c>
      <c r="I7355" t="s">
        <v>21</v>
      </c>
      <c r="J7355">
        <v>194.352</v>
      </c>
      <c r="K7355">
        <v>3</v>
      </c>
      <c r="L7355">
        <v>0.2</v>
      </c>
      <c r="M7355">
        <v>-36.441000000000003</v>
      </c>
    </row>
    <row r="7356" spans="1:13" x14ac:dyDescent="0.3">
      <c r="A7356" t="s">
        <v>62</v>
      </c>
      <c r="B7356" t="s">
        <v>14</v>
      </c>
      <c r="C7356" t="s">
        <v>15</v>
      </c>
      <c r="D7356" t="s">
        <v>23</v>
      </c>
      <c r="E7356" t="s">
        <v>24</v>
      </c>
      <c r="F7356">
        <v>90036</v>
      </c>
      <c r="G7356" t="s">
        <v>25</v>
      </c>
      <c r="H7356" t="s">
        <v>26</v>
      </c>
      <c r="I7356" t="s">
        <v>37</v>
      </c>
      <c r="J7356">
        <v>36.624000000000002</v>
      </c>
      <c r="K7356">
        <v>3</v>
      </c>
      <c r="L7356">
        <v>0.2</v>
      </c>
      <c r="M7356">
        <v>13.734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35</v>
      </c>
      <c r="I7357" t="s">
        <v>36</v>
      </c>
      <c r="J7357">
        <v>340.18200000000002</v>
      </c>
      <c r="K7357">
        <v>3</v>
      </c>
      <c r="L7357">
        <v>0.4</v>
      </c>
      <c r="M7357">
        <v>-73.706100000000006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77</v>
      </c>
      <c r="J7358">
        <v>12.672000000000001</v>
      </c>
      <c r="K7358">
        <v>8</v>
      </c>
      <c r="L7358">
        <v>0.2</v>
      </c>
      <c r="M7358">
        <v>2.6928000000000001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37</v>
      </c>
      <c r="J7359">
        <v>6.8879999999999999</v>
      </c>
      <c r="K7359">
        <v>2</v>
      </c>
      <c r="L7359">
        <v>0.7</v>
      </c>
      <c r="M7359">
        <v>-5.0511999999999997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26</v>
      </c>
      <c r="I7360" t="s">
        <v>32</v>
      </c>
      <c r="J7360">
        <v>32.543999999999997</v>
      </c>
      <c r="K7360">
        <v>2</v>
      </c>
      <c r="L7360">
        <v>0.2</v>
      </c>
      <c r="M7360">
        <v>-7.7291999999999996</v>
      </c>
    </row>
    <row r="7361" spans="1:13" x14ac:dyDescent="0.3">
      <c r="A7361" t="s">
        <v>28</v>
      </c>
      <c r="B7361" t="s">
        <v>22</v>
      </c>
      <c r="C7361" t="s">
        <v>15</v>
      </c>
      <c r="D7361" t="s">
        <v>55</v>
      </c>
      <c r="E7361" t="s">
        <v>56</v>
      </c>
      <c r="F7361">
        <v>19140</v>
      </c>
      <c r="G7361" t="s">
        <v>57</v>
      </c>
      <c r="H7361" t="s">
        <v>19</v>
      </c>
      <c r="I7361" t="s">
        <v>21</v>
      </c>
      <c r="J7361">
        <v>347.80200000000002</v>
      </c>
      <c r="K7361">
        <v>7</v>
      </c>
      <c r="L7361">
        <v>0.3</v>
      </c>
      <c r="M7361">
        <v>-24.843</v>
      </c>
    </row>
    <row r="7362" spans="1:13" x14ac:dyDescent="0.3">
      <c r="A7362" t="s">
        <v>62</v>
      </c>
      <c r="B7362" t="s">
        <v>22</v>
      </c>
      <c r="C7362" t="s">
        <v>15</v>
      </c>
      <c r="D7362" t="s">
        <v>180</v>
      </c>
      <c r="E7362" t="s">
        <v>30</v>
      </c>
      <c r="F7362">
        <v>33180</v>
      </c>
      <c r="G7362" t="s">
        <v>18</v>
      </c>
      <c r="H7362" t="s">
        <v>26</v>
      </c>
      <c r="I7362" t="s">
        <v>37</v>
      </c>
      <c r="J7362">
        <v>15.57</v>
      </c>
      <c r="K7362">
        <v>3</v>
      </c>
      <c r="L7362">
        <v>0.7</v>
      </c>
      <c r="M7362">
        <v>-11.936999999999999</v>
      </c>
    </row>
    <row r="7363" spans="1:13" x14ac:dyDescent="0.3">
      <c r="A7363" t="s">
        <v>13</v>
      </c>
      <c r="B7363" t="s">
        <v>14</v>
      </c>
      <c r="C7363" t="s">
        <v>15</v>
      </c>
      <c r="D7363" t="s">
        <v>339</v>
      </c>
      <c r="E7363" t="s">
        <v>40</v>
      </c>
      <c r="F7363">
        <v>27604</v>
      </c>
      <c r="G7363" t="s">
        <v>18</v>
      </c>
      <c r="H7363" t="s">
        <v>26</v>
      </c>
      <c r="I7363" t="s">
        <v>27</v>
      </c>
      <c r="J7363">
        <v>4.6079999999999997</v>
      </c>
      <c r="K7363">
        <v>2</v>
      </c>
      <c r="L7363">
        <v>0.2</v>
      </c>
      <c r="M7363">
        <v>1.6704000000000001</v>
      </c>
    </row>
    <row r="7364" spans="1:13" x14ac:dyDescent="0.3">
      <c r="A7364" t="s">
        <v>28</v>
      </c>
      <c r="B7364" t="s">
        <v>22</v>
      </c>
      <c r="C7364" t="s">
        <v>15</v>
      </c>
      <c r="D7364" t="s">
        <v>587</v>
      </c>
      <c r="E7364" t="s">
        <v>336</v>
      </c>
      <c r="F7364">
        <v>67846</v>
      </c>
      <c r="G7364" t="s">
        <v>47</v>
      </c>
      <c r="H7364" t="s">
        <v>35</v>
      </c>
      <c r="I7364" t="s">
        <v>36</v>
      </c>
      <c r="J7364">
        <v>257.98</v>
      </c>
      <c r="K7364">
        <v>2</v>
      </c>
      <c r="L7364">
        <v>0</v>
      </c>
      <c r="M7364">
        <v>74.8142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153.78</v>
      </c>
      <c r="K7365">
        <v>11</v>
      </c>
      <c r="L7365">
        <v>0</v>
      </c>
      <c r="M7365">
        <v>44.596200000000003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32</v>
      </c>
      <c r="J7366">
        <v>61.02</v>
      </c>
      <c r="K7366">
        <v>3</v>
      </c>
      <c r="L7366">
        <v>0</v>
      </c>
      <c r="M7366">
        <v>0.61019999999999996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110</v>
      </c>
      <c r="J7367">
        <v>110.11</v>
      </c>
      <c r="K7367">
        <v>7</v>
      </c>
      <c r="L7367">
        <v>0</v>
      </c>
      <c r="M7367">
        <v>31.931899999999999</v>
      </c>
    </row>
    <row r="7368" spans="1:13" x14ac:dyDescent="0.3">
      <c r="A7368" t="s">
        <v>13</v>
      </c>
      <c r="B7368" t="s">
        <v>14</v>
      </c>
      <c r="C7368" t="s">
        <v>15</v>
      </c>
      <c r="D7368" t="s">
        <v>159</v>
      </c>
      <c r="E7368" t="s">
        <v>24</v>
      </c>
      <c r="F7368">
        <v>90805</v>
      </c>
      <c r="G7368" t="s">
        <v>25</v>
      </c>
      <c r="H7368" t="s">
        <v>26</v>
      </c>
      <c r="I7368" t="s">
        <v>77</v>
      </c>
      <c r="J7368">
        <v>7.89</v>
      </c>
      <c r="K7368">
        <v>1</v>
      </c>
      <c r="L7368">
        <v>0</v>
      </c>
      <c r="M7368">
        <v>3.5505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144</v>
      </c>
      <c r="E7369" t="s">
        <v>24</v>
      </c>
      <c r="F7369">
        <v>92037</v>
      </c>
      <c r="G7369" t="s">
        <v>25</v>
      </c>
      <c r="H7369" t="s">
        <v>26</v>
      </c>
      <c r="I7369" t="s">
        <v>37</v>
      </c>
      <c r="J7369">
        <v>36.024000000000001</v>
      </c>
      <c r="K7369">
        <v>3</v>
      </c>
      <c r="L7369">
        <v>0.2</v>
      </c>
      <c r="M7369">
        <v>11.707800000000001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107</v>
      </c>
      <c r="E7370" t="s">
        <v>65</v>
      </c>
      <c r="F7370">
        <v>61701</v>
      </c>
      <c r="G7370" t="s">
        <v>47</v>
      </c>
      <c r="H7370" t="s">
        <v>26</v>
      </c>
      <c r="I7370" t="s">
        <v>34</v>
      </c>
      <c r="J7370">
        <v>54.335999999999999</v>
      </c>
      <c r="K7370">
        <v>4</v>
      </c>
      <c r="L7370">
        <v>0.2</v>
      </c>
      <c r="M7370">
        <v>5.4336000000000002</v>
      </c>
    </row>
    <row r="7371" spans="1:13" x14ac:dyDescent="0.3">
      <c r="A7371" t="s">
        <v>28</v>
      </c>
      <c r="B7371" t="s">
        <v>22</v>
      </c>
      <c r="C7371" t="s">
        <v>15</v>
      </c>
      <c r="D7371" t="s">
        <v>42</v>
      </c>
      <c r="E7371" t="s">
        <v>43</v>
      </c>
      <c r="F7371">
        <v>98115</v>
      </c>
      <c r="G7371" t="s">
        <v>25</v>
      </c>
      <c r="H7371" t="s">
        <v>26</v>
      </c>
      <c r="I7371" t="s">
        <v>32</v>
      </c>
      <c r="J7371">
        <v>92.52</v>
      </c>
      <c r="K7371">
        <v>6</v>
      </c>
      <c r="L7371">
        <v>0</v>
      </c>
      <c r="M7371">
        <v>24.980399999999999</v>
      </c>
    </row>
    <row r="7372" spans="1:13" x14ac:dyDescent="0.3">
      <c r="A7372" t="s">
        <v>168</v>
      </c>
      <c r="B7372" t="s">
        <v>14</v>
      </c>
      <c r="C7372" t="s">
        <v>15</v>
      </c>
      <c r="D7372" t="s">
        <v>196</v>
      </c>
      <c r="E7372" t="s">
        <v>40</v>
      </c>
      <c r="F7372">
        <v>28314</v>
      </c>
      <c r="G7372" t="s">
        <v>18</v>
      </c>
      <c r="H7372" t="s">
        <v>26</v>
      </c>
      <c r="I7372" t="s">
        <v>34</v>
      </c>
      <c r="J7372">
        <v>10.272</v>
      </c>
      <c r="K7372">
        <v>3</v>
      </c>
      <c r="L7372">
        <v>0.2</v>
      </c>
      <c r="M7372">
        <v>1.1556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32</v>
      </c>
      <c r="J7373">
        <v>40.74</v>
      </c>
      <c r="K7373">
        <v>3</v>
      </c>
      <c r="L7373">
        <v>0</v>
      </c>
      <c r="M7373">
        <v>0.40739999999999998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26</v>
      </c>
      <c r="I7374" t="s">
        <v>27</v>
      </c>
      <c r="J7374">
        <v>14.4</v>
      </c>
      <c r="K7374">
        <v>5</v>
      </c>
      <c r="L7374">
        <v>0</v>
      </c>
      <c r="M7374">
        <v>7.056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35</v>
      </c>
      <c r="I7375" t="s">
        <v>36</v>
      </c>
      <c r="J7375">
        <v>149.94999999999999</v>
      </c>
      <c r="K7375">
        <v>5</v>
      </c>
      <c r="L7375">
        <v>0</v>
      </c>
      <c r="M7375">
        <v>41.985999999999997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110</v>
      </c>
      <c r="J7376">
        <v>16.899999999999999</v>
      </c>
      <c r="K7376">
        <v>2</v>
      </c>
      <c r="L7376">
        <v>0</v>
      </c>
      <c r="M7376">
        <v>5.07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41</v>
      </c>
      <c r="J7377">
        <v>17.61</v>
      </c>
      <c r="K7377">
        <v>3</v>
      </c>
      <c r="L7377">
        <v>0</v>
      </c>
      <c r="M7377">
        <v>8.4527999999999999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38</v>
      </c>
      <c r="J7378">
        <v>378</v>
      </c>
      <c r="K7378">
        <v>2</v>
      </c>
      <c r="L7378">
        <v>0</v>
      </c>
      <c r="M7378">
        <v>136.08000000000001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41</v>
      </c>
      <c r="J7379">
        <v>17.64</v>
      </c>
      <c r="K7379">
        <v>3</v>
      </c>
      <c r="L7379">
        <v>0</v>
      </c>
      <c r="M7379">
        <v>8.6435999999999993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26</v>
      </c>
      <c r="I7380" t="s">
        <v>32</v>
      </c>
      <c r="J7380">
        <v>373.08</v>
      </c>
      <c r="K7380">
        <v>6</v>
      </c>
      <c r="L7380">
        <v>0</v>
      </c>
      <c r="M7380">
        <v>100.7316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19</v>
      </c>
      <c r="I7381" t="s">
        <v>33</v>
      </c>
      <c r="J7381">
        <v>1336.44</v>
      </c>
      <c r="K7381">
        <v>14</v>
      </c>
      <c r="L7381">
        <v>0</v>
      </c>
      <c r="M7381">
        <v>387.56760000000003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35</v>
      </c>
      <c r="I7382" t="s">
        <v>36</v>
      </c>
      <c r="J7382">
        <v>29.97</v>
      </c>
      <c r="K7382">
        <v>3</v>
      </c>
      <c r="L7382">
        <v>0</v>
      </c>
      <c r="M7382">
        <v>0.29970000000000002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21</v>
      </c>
      <c r="J7383">
        <v>390.36799999999999</v>
      </c>
      <c r="K7383">
        <v>2</v>
      </c>
      <c r="L7383">
        <v>0.2</v>
      </c>
      <c r="M7383">
        <v>48.795999999999999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435</v>
      </c>
      <c r="E7384" t="s">
        <v>86</v>
      </c>
      <c r="F7384">
        <v>37421</v>
      </c>
      <c r="G7384" t="s">
        <v>18</v>
      </c>
      <c r="H7384" t="s">
        <v>19</v>
      </c>
      <c r="I7384" t="s">
        <v>33</v>
      </c>
      <c r="J7384">
        <v>101.52</v>
      </c>
      <c r="K7384">
        <v>5</v>
      </c>
      <c r="L7384">
        <v>0.2</v>
      </c>
      <c r="M7384">
        <v>19.035</v>
      </c>
    </row>
    <row r="7385" spans="1:13" x14ac:dyDescent="0.3">
      <c r="A7385" t="s">
        <v>13</v>
      </c>
      <c r="B7385" t="s">
        <v>14</v>
      </c>
      <c r="C7385" t="s">
        <v>15</v>
      </c>
      <c r="D7385" t="s">
        <v>126</v>
      </c>
      <c r="E7385" t="s">
        <v>104</v>
      </c>
      <c r="F7385">
        <v>45014</v>
      </c>
      <c r="G7385" t="s">
        <v>57</v>
      </c>
      <c r="H7385" t="s">
        <v>26</v>
      </c>
      <c r="I7385" t="s">
        <v>41</v>
      </c>
      <c r="J7385">
        <v>74.352000000000004</v>
      </c>
      <c r="K7385">
        <v>3</v>
      </c>
      <c r="L7385">
        <v>0.2</v>
      </c>
      <c r="M7385">
        <v>23.234999999999999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41</v>
      </c>
      <c r="J7386">
        <v>15.7</v>
      </c>
      <c r="K7386">
        <v>5</v>
      </c>
      <c r="L7386">
        <v>0</v>
      </c>
      <c r="M7386">
        <v>7.0650000000000004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34</v>
      </c>
      <c r="J7387">
        <v>59.52</v>
      </c>
      <c r="K7387">
        <v>3</v>
      </c>
      <c r="L7387">
        <v>0</v>
      </c>
      <c r="M7387">
        <v>15.475199999999999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</v>
      </c>
      <c r="E7388" t="s">
        <v>24</v>
      </c>
      <c r="F7388">
        <v>90049</v>
      </c>
      <c r="G7388" t="s">
        <v>25</v>
      </c>
      <c r="H7388" t="s">
        <v>26</v>
      </c>
      <c r="I7388" t="s">
        <v>41</v>
      </c>
      <c r="J7388">
        <v>34.4</v>
      </c>
      <c r="K7388">
        <v>5</v>
      </c>
      <c r="L7388">
        <v>0</v>
      </c>
      <c r="M7388">
        <v>15.824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31</v>
      </c>
      <c r="J7389">
        <v>313.17599999999999</v>
      </c>
      <c r="K7389">
        <v>2</v>
      </c>
      <c r="L7389">
        <v>0.4</v>
      </c>
      <c r="M7389">
        <v>-120.0508</v>
      </c>
    </row>
    <row r="7390" spans="1:13" x14ac:dyDescent="0.3">
      <c r="A7390" t="s">
        <v>28</v>
      </c>
      <c r="B7390" t="s">
        <v>22</v>
      </c>
      <c r="C7390" t="s">
        <v>15</v>
      </c>
      <c r="D7390" t="s">
        <v>75</v>
      </c>
      <c r="E7390" t="s">
        <v>76</v>
      </c>
      <c r="F7390">
        <v>10024</v>
      </c>
      <c r="G7390" t="s">
        <v>57</v>
      </c>
      <c r="H7390" t="s">
        <v>19</v>
      </c>
      <c r="I7390" t="s">
        <v>21</v>
      </c>
      <c r="J7390">
        <v>866.64599999999996</v>
      </c>
      <c r="K7390">
        <v>3</v>
      </c>
      <c r="L7390">
        <v>0.1</v>
      </c>
      <c r="M7390">
        <v>173.32919999999999</v>
      </c>
    </row>
    <row r="7391" spans="1:13" x14ac:dyDescent="0.3">
      <c r="A7391" t="s">
        <v>168</v>
      </c>
      <c r="B7391" t="s">
        <v>22</v>
      </c>
      <c r="C7391" t="s">
        <v>15</v>
      </c>
      <c r="D7391" t="s">
        <v>126</v>
      </c>
      <c r="E7391" t="s">
        <v>104</v>
      </c>
      <c r="F7391">
        <v>45014</v>
      </c>
      <c r="G7391" t="s">
        <v>57</v>
      </c>
      <c r="H7391" t="s">
        <v>26</v>
      </c>
      <c r="I7391" t="s">
        <v>38</v>
      </c>
      <c r="J7391">
        <v>795.40800000000002</v>
      </c>
      <c r="K7391">
        <v>6</v>
      </c>
      <c r="L7391">
        <v>0.2</v>
      </c>
      <c r="M7391">
        <v>59.6556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26</v>
      </c>
      <c r="I7392" t="s">
        <v>41</v>
      </c>
      <c r="J7392">
        <v>35.856000000000002</v>
      </c>
      <c r="K7392">
        <v>9</v>
      </c>
      <c r="L7392">
        <v>0.2</v>
      </c>
      <c r="M7392">
        <v>12.9978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79</v>
      </c>
      <c r="E7393" t="s">
        <v>65</v>
      </c>
      <c r="F7393">
        <v>60610</v>
      </c>
      <c r="G7393" t="s">
        <v>47</v>
      </c>
      <c r="H7393" t="s">
        <v>35</v>
      </c>
      <c r="I7393" t="s">
        <v>59</v>
      </c>
      <c r="J7393">
        <v>23.84</v>
      </c>
      <c r="K7393">
        <v>4</v>
      </c>
      <c r="L7393">
        <v>0.2</v>
      </c>
      <c r="M7393">
        <v>3.278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19</v>
      </c>
      <c r="I7394" t="s">
        <v>33</v>
      </c>
      <c r="J7394">
        <v>43.13</v>
      </c>
      <c r="K7394">
        <v>1</v>
      </c>
      <c r="L7394">
        <v>0</v>
      </c>
      <c r="M7394">
        <v>14.664199999999999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42</v>
      </c>
      <c r="E7395" t="s">
        <v>43</v>
      </c>
      <c r="F7395">
        <v>98103</v>
      </c>
      <c r="G7395" t="s">
        <v>25</v>
      </c>
      <c r="H7395" t="s">
        <v>26</v>
      </c>
      <c r="I7395" t="s">
        <v>41</v>
      </c>
      <c r="J7395">
        <v>30.87</v>
      </c>
      <c r="K7395">
        <v>7</v>
      </c>
      <c r="L7395">
        <v>0</v>
      </c>
      <c r="M7395">
        <v>14.200200000000001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75</v>
      </c>
      <c r="E7396" t="s">
        <v>76</v>
      </c>
      <c r="F7396">
        <v>10011</v>
      </c>
      <c r="G7396" t="s">
        <v>57</v>
      </c>
      <c r="H7396" t="s">
        <v>26</v>
      </c>
      <c r="I7396" t="s">
        <v>110</v>
      </c>
      <c r="J7396">
        <v>70.12</v>
      </c>
      <c r="K7396">
        <v>4</v>
      </c>
      <c r="L7396">
        <v>0</v>
      </c>
      <c r="M7396">
        <v>21.036000000000001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20</v>
      </c>
      <c r="J7397">
        <v>509.95749999999998</v>
      </c>
      <c r="K7397">
        <v>5</v>
      </c>
      <c r="L7397">
        <v>0.15</v>
      </c>
      <c r="M7397">
        <v>41.996499999999997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33</v>
      </c>
      <c r="J7398">
        <v>122.91</v>
      </c>
      <c r="K7398">
        <v>3</v>
      </c>
      <c r="L7398">
        <v>0</v>
      </c>
      <c r="M7398">
        <v>34.4148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97.567999999999998</v>
      </c>
      <c r="K7399">
        <v>2</v>
      </c>
      <c r="L7399">
        <v>0.2</v>
      </c>
      <c r="M7399">
        <v>-6.0979999999999999</v>
      </c>
    </row>
    <row r="7400" spans="1:13" x14ac:dyDescent="0.3">
      <c r="A7400" t="s">
        <v>28</v>
      </c>
      <c r="B7400" t="s">
        <v>22</v>
      </c>
      <c r="C7400" t="s">
        <v>15</v>
      </c>
      <c r="D7400" t="s">
        <v>583</v>
      </c>
      <c r="E7400" t="s">
        <v>24</v>
      </c>
      <c r="F7400">
        <v>93010</v>
      </c>
      <c r="G7400" t="s">
        <v>25</v>
      </c>
      <c r="H7400" t="s">
        <v>19</v>
      </c>
      <c r="I7400" t="s">
        <v>21</v>
      </c>
      <c r="J7400">
        <v>722.35199999999998</v>
      </c>
      <c r="K7400">
        <v>3</v>
      </c>
      <c r="L7400">
        <v>0.2</v>
      </c>
      <c r="M7400">
        <v>81.264600000000002</v>
      </c>
    </row>
    <row r="7401" spans="1:13" x14ac:dyDescent="0.3">
      <c r="A7401" t="s">
        <v>62</v>
      </c>
      <c r="B7401" t="s">
        <v>14</v>
      </c>
      <c r="C7401" t="s">
        <v>15</v>
      </c>
      <c r="D7401" t="s">
        <v>79</v>
      </c>
      <c r="E7401" t="s">
        <v>65</v>
      </c>
      <c r="F7401">
        <v>60653</v>
      </c>
      <c r="G7401" t="s">
        <v>47</v>
      </c>
      <c r="H7401" t="s">
        <v>26</v>
      </c>
      <c r="I7401" t="s">
        <v>27</v>
      </c>
      <c r="J7401">
        <v>11.52</v>
      </c>
      <c r="K7401">
        <v>5</v>
      </c>
      <c r="L7401">
        <v>0.2</v>
      </c>
      <c r="M7401">
        <v>4.1760000000000002</v>
      </c>
    </row>
    <row r="7402" spans="1:13" x14ac:dyDescent="0.3">
      <c r="A7402" t="s">
        <v>28</v>
      </c>
      <c r="B7402" t="s">
        <v>22</v>
      </c>
      <c r="C7402" t="s">
        <v>15</v>
      </c>
      <c r="D7402" t="s">
        <v>23</v>
      </c>
      <c r="E7402" t="s">
        <v>24</v>
      </c>
      <c r="F7402">
        <v>90032</v>
      </c>
      <c r="G7402" t="s">
        <v>25</v>
      </c>
      <c r="H7402" t="s">
        <v>19</v>
      </c>
      <c r="I7402" t="s">
        <v>33</v>
      </c>
      <c r="J7402">
        <v>167.84</v>
      </c>
      <c r="K7402">
        <v>8</v>
      </c>
      <c r="L7402">
        <v>0</v>
      </c>
      <c r="M7402">
        <v>11.748799999999999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252</v>
      </c>
      <c r="E7403" t="s">
        <v>104</v>
      </c>
      <c r="F7403">
        <v>43615</v>
      </c>
      <c r="G7403" t="s">
        <v>57</v>
      </c>
      <c r="H7403" t="s">
        <v>19</v>
      </c>
      <c r="I7403" t="s">
        <v>31</v>
      </c>
      <c r="J7403">
        <v>172.11</v>
      </c>
      <c r="K7403">
        <v>1</v>
      </c>
      <c r="L7403">
        <v>0.4</v>
      </c>
      <c r="M7403">
        <v>-94.660499999999999</v>
      </c>
    </row>
    <row r="7404" spans="1:13" x14ac:dyDescent="0.3">
      <c r="A7404" t="s">
        <v>62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35</v>
      </c>
      <c r="I7404" t="s">
        <v>59</v>
      </c>
      <c r="J7404">
        <v>99.98</v>
      </c>
      <c r="K7404">
        <v>2</v>
      </c>
      <c r="L7404">
        <v>0</v>
      </c>
      <c r="M7404">
        <v>7.9984000000000002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36</v>
      </c>
      <c r="J7405">
        <v>156.792</v>
      </c>
      <c r="K7405">
        <v>1</v>
      </c>
      <c r="L7405">
        <v>0.2</v>
      </c>
      <c r="M7405">
        <v>17.639099999999999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35</v>
      </c>
      <c r="I7406" t="s">
        <v>59</v>
      </c>
      <c r="J7406">
        <v>35.36</v>
      </c>
      <c r="K7406">
        <v>2</v>
      </c>
      <c r="L7406">
        <v>0.2</v>
      </c>
      <c r="M7406">
        <v>-3.0939999999999999</v>
      </c>
    </row>
    <row r="7407" spans="1:13" x14ac:dyDescent="0.3">
      <c r="A7407" t="s">
        <v>28</v>
      </c>
      <c r="B7407" t="s">
        <v>44</v>
      </c>
      <c r="C7407" t="s">
        <v>15</v>
      </c>
      <c r="D7407" t="s">
        <v>326</v>
      </c>
      <c r="E7407" t="s">
        <v>95</v>
      </c>
      <c r="F7407">
        <v>97224</v>
      </c>
      <c r="G7407" t="s">
        <v>25</v>
      </c>
      <c r="H7407" t="s">
        <v>19</v>
      </c>
      <c r="I7407" t="s">
        <v>33</v>
      </c>
      <c r="J7407">
        <v>13.592000000000001</v>
      </c>
      <c r="K7407">
        <v>1</v>
      </c>
      <c r="L7407">
        <v>0.2</v>
      </c>
      <c r="M7407">
        <v>-0.33979999999999999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19</v>
      </c>
      <c r="I7408" t="s">
        <v>21</v>
      </c>
      <c r="J7408">
        <v>386.68</v>
      </c>
      <c r="K7408">
        <v>2</v>
      </c>
      <c r="L7408">
        <v>0.3</v>
      </c>
      <c r="M7408">
        <v>-5.524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59</v>
      </c>
      <c r="J7409">
        <v>379.96</v>
      </c>
      <c r="K7409">
        <v>5</v>
      </c>
      <c r="L7409">
        <v>0.2</v>
      </c>
      <c r="M7409">
        <v>47.494999999999997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35</v>
      </c>
      <c r="I7410" t="s">
        <v>36</v>
      </c>
      <c r="J7410">
        <v>539.91</v>
      </c>
      <c r="K7410">
        <v>3</v>
      </c>
      <c r="L7410">
        <v>0.4</v>
      </c>
      <c r="M7410">
        <v>-116.98050000000001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41</v>
      </c>
      <c r="J7411">
        <v>41.24</v>
      </c>
      <c r="K7411">
        <v>5</v>
      </c>
      <c r="L7411">
        <v>0.2</v>
      </c>
      <c r="M7411">
        <v>13.9185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37</v>
      </c>
      <c r="J7412">
        <v>51.896999999999998</v>
      </c>
      <c r="K7412">
        <v>1</v>
      </c>
      <c r="L7412">
        <v>0.7</v>
      </c>
      <c r="M7412">
        <v>-41.517600000000002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32</v>
      </c>
      <c r="J7413">
        <v>552.55999999999995</v>
      </c>
      <c r="K7413">
        <v>5</v>
      </c>
      <c r="L7413">
        <v>0.2</v>
      </c>
      <c r="M7413">
        <v>-138.13999999999999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37</v>
      </c>
      <c r="J7414">
        <v>23.16</v>
      </c>
      <c r="K7414">
        <v>5</v>
      </c>
      <c r="L7414">
        <v>0.7</v>
      </c>
      <c r="M7414">
        <v>-15.44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26</v>
      </c>
      <c r="I7415" t="s">
        <v>32</v>
      </c>
      <c r="J7415">
        <v>126.08</v>
      </c>
      <c r="K7415">
        <v>2</v>
      </c>
      <c r="L7415">
        <v>0.2</v>
      </c>
      <c r="M7415">
        <v>-28.367999999999999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35</v>
      </c>
      <c r="I7416" t="s">
        <v>123</v>
      </c>
      <c r="J7416">
        <v>449.1</v>
      </c>
      <c r="K7416">
        <v>3</v>
      </c>
      <c r="L7416">
        <v>0.7</v>
      </c>
      <c r="M7416">
        <v>-643.71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26</v>
      </c>
      <c r="I7417" t="s">
        <v>38</v>
      </c>
      <c r="J7417">
        <v>195.10400000000001</v>
      </c>
      <c r="K7417">
        <v>4</v>
      </c>
      <c r="L7417">
        <v>0.2</v>
      </c>
      <c r="M7417">
        <v>21.949200000000001</v>
      </c>
    </row>
    <row r="7418" spans="1:13" x14ac:dyDescent="0.3">
      <c r="A7418" t="s">
        <v>28</v>
      </c>
      <c r="B7418" t="s">
        <v>14</v>
      </c>
      <c r="C7418" t="s">
        <v>15</v>
      </c>
      <c r="D7418" t="s">
        <v>55</v>
      </c>
      <c r="E7418" t="s">
        <v>56</v>
      </c>
      <c r="F7418">
        <v>19143</v>
      </c>
      <c r="G7418" t="s">
        <v>57</v>
      </c>
      <c r="H7418" t="s">
        <v>19</v>
      </c>
      <c r="I7418" t="s">
        <v>33</v>
      </c>
      <c r="J7418">
        <v>36.671999999999997</v>
      </c>
      <c r="K7418">
        <v>3</v>
      </c>
      <c r="L7418">
        <v>0.2</v>
      </c>
      <c r="M7418">
        <v>6.4176000000000002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21</v>
      </c>
      <c r="J7419">
        <v>85.245999999999995</v>
      </c>
      <c r="K7419">
        <v>2</v>
      </c>
      <c r="L7419">
        <v>0.3</v>
      </c>
      <c r="M7419">
        <v>-6.0890000000000004</v>
      </c>
    </row>
    <row r="7420" spans="1:13" x14ac:dyDescent="0.3">
      <c r="A7420" t="s">
        <v>13</v>
      </c>
      <c r="B7420" t="s">
        <v>14</v>
      </c>
      <c r="C7420" t="s">
        <v>15</v>
      </c>
      <c r="D7420" t="s">
        <v>61</v>
      </c>
      <c r="E7420" t="s">
        <v>46</v>
      </c>
      <c r="F7420">
        <v>77070</v>
      </c>
      <c r="G7420" t="s">
        <v>47</v>
      </c>
      <c r="H7420" t="s">
        <v>19</v>
      </c>
      <c r="I7420" t="s">
        <v>33</v>
      </c>
      <c r="J7420">
        <v>32.712000000000003</v>
      </c>
      <c r="K7420">
        <v>2</v>
      </c>
      <c r="L7420">
        <v>0.6</v>
      </c>
      <c r="M7420">
        <v>-26.169599999999999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11.43</v>
      </c>
      <c r="K7421">
        <v>3</v>
      </c>
      <c r="L7421">
        <v>0</v>
      </c>
      <c r="M7421">
        <v>5.3720999999999997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37</v>
      </c>
      <c r="J7422">
        <v>30.44</v>
      </c>
      <c r="K7422">
        <v>2</v>
      </c>
      <c r="L7422">
        <v>0</v>
      </c>
      <c r="M7422">
        <v>14.9156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12.96</v>
      </c>
      <c r="K7423">
        <v>2</v>
      </c>
      <c r="L7423">
        <v>0</v>
      </c>
      <c r="M7423">
        <v>6.3503999999999996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41</v>
      </c>
      <c r="J7424">
        <v>16</v>
      </c>
      <c r="K7424">
        <v>4</v>
      </c>
      <c r="L7424">
        <v>0</v>
      </c>
      <c r="M7424">
        <v>7.68</v>
      </c>
    </row>
    <row r="7425" spans="1:13" x14ac:dyDescent="0.3">
      <c r="A7425" t="s">
        <v>28</v>
      </c>
      <c r="B7425" t="s">
        <v>22</v>
      </c>
      <c r="C7425" t="s">
        <v>15</v>
      </c>
      <c r="D7425" t="s">
        <v>84</v>
      </c>
      <c r="E7425" t="s">
        <v>185</v>
      </c>
      <c r="F7425">
        <v>39212</v>
      </c>
      <c r="G7425" t="s">
        <v>18</v>
      </c>
      <c r="H7425" t="s">
        <v>26</v>
      </c>
      <c r="I7425" t="s">
        <v>38</v>
      </c>
      <c r="J7425">
        <v>32.67</v>
      </c>
      <c r="K7425">
        <v>3</v>
      </c>
      <c r="L7425">
        <v>0</v>
      </c>
      <c r="M7425">
        <v>8.4941999999999993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77</v>
      </c>
      <c r="J7426">
        <v>4.4640000000000004</v>
      </c>
      <c r="K7426">
        <v>3</v>
      </c>
      <c r="L7426">
        <v>0.2</v>
      </c>
      <c r="M7426">
        <v>-0.9486</v>
      </c>
    </row>
    <row r="7427" spans="1:13" x14ac:dyDescent="0.3">
      <c r="A7427" t="s">
        <v>28</v>
      </c>
      <c r="B7427" t="s">
        <v>14</v>
      </c>
      <c r="C7427" t="s">
        <v>15</v>
      </c>
      <c r="D7427" t="s">
        <v>108</v>
      </c>
      <c r="E7427" t="s">
        <v>81</v>
      </c>
      <c r="F7427">
        <v>85023</v>
      </c>
      <c r="G7427" t="s">
        <v>25</v>
      </c>
      <c r="H7427" t="s">
        <v>26</v>
      </c>
      <c r="I7427" t="s">
        <v>37</v>
      </c>
      <c r="J7427">
        <v>9.3450000000000006</v>
      </c>
      <c r="K7427">
        <v>5</v>
      </c>
      <c r="L7427">
        <v>0.7</v>
      </c>
      <c r="M7427">
        <v>-6.5415000000000001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9.1440000000000001</v>
      </c>
      <c r="K7428">
        <v>3</v>
      </c>
      <c r="L7428">
        <v>0.2</v>
      </c>
      <c r="M7428">
        <v>3.0861000000000001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37</v>
      </c>
      <c r="J7429">
        <v>23.135999999999999</v>
      </c>
      <c r="K7429">
        <v>6</v>
      </c>
      <c r="L7429">
        <v>0.2</v>
      </c>
      <c r="M7429">
        <v>8.3867999999999991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567</v>
      </c>
      <c r="E7430" t="s">
        <v>24</v>
      </c>
      <c r="F7430">
        <v>93030</v>
      </c>
      <c r="G7430" t="s">
        <v>25</v>
      </c>
      <c r="H7430" t="s">
        <v>26</v>
      </c>
      <c r="I7430" t="s">
        <v>34</v>
      </c>
      <c r="J7430">
        <v>99.2</v>
      </c>
      <c r="K7430">
        <v>5</v>
      </c>
      <c r="L7430">
        <v>0</v>
      </c>
      <c r="M7430">
        <v>25.792000000000002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42</v>
      </c>
      <c r="E7431" t="s">
        <v>43</v>
      </c>
      <c r="F7431">
        <v>98105</v>
      </c>
      <c r="G7431" t="s">
        <v>25</v>
      </c>
      <c r="H7431" t="s">
        <v>26</v>
      </c>
      <c r="I7431" t="s">
        <v>37</v>
      </c>
      <c r="J7431">
        <v>21.36</v>
      </c>
      <c r="K7431">
        <v>5</v>
      </c>
      <c r="L7431">
        <v>0.2</v>
      </c>
      <c r="M7431">
        <v>7.2089999999999996</v>
      </c>
    </row>
    <row r="7432" spans="1:13" x14ac:dyDescent="0.3">
      <c r="A7432" t="s">
        <v>13</v>
      </c>
      <c r="B7432" t="s">
        <v>22</v>
      </c>
      <c r="C7432" t="s">
        <v>15</v>
      </c>
      <c r="D7432" t="s">
        <v>476</v>
      </c>
      <c r="E7432" t="s">
        <v>43</v>
      </c>
      <c r="F7432">
        <v>98042</v>
      </c>
      <c r="G7432" t="s">
        <v>25</v>
      </c>
      <c r="H7432" t="s">
        <v>19</v>
      </c>
      <c r="I7432" t="s">
        <v>33</v>
      </c>
      <c r="J7432">
        <v>46.9</v>
      </c>
      <c r="K7432">
        <v>5</v>
      </c>
      <c r="L7432">
        <v>0</v>
      </c>
      <c r="M7432">
        <v>13.132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26</v>
      </c>
      <c r="I7433" t="s">
        <v>37</v>
      </c>
      <c r="J7433">
        <v>18.72</v>
      </c>
      <c r="K7433">
        <v>5</v>
      </c>
      <c r="L7433">
        <v>0.2</v>
      </c>
      <c r="M7433">
        <v>6.5519999999999996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23</v>
      </c>
      <c r="E7434" t="s">
        <v>24</v>
      </c>
      <c r="F7434">
        <v>90049</v>
      </c>
      <c r="G7434" t="s">
        <v>25</v>
      </c>
      <c r="H7434" t="s">
        <v>19</v>
      </c>
      <c r="I7434" t="s">
        <v>31</v>
      </c>
      <c r="J7434">
        <v>236.52799999999999</v>
      </c>
      <c r="K7434">
        <v>2</v>
      </c>
      <c r="L7434">
        <v>0.2</v>
      </c>
      <c r="M7434">
        <v>-2.9565999999999999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144</v>
      </c>
      <c r="E7435" t="s">
        <v>24</v>
      </c>
      <c r="F7435">
        <v>92105</v>
      </c>
      <c r="G7435" t="s">
        <v>25</v>
      </c>
      <c r="H7435" t="s">
        <v>26</v>
      </c>
      <c r="I7435" t="s">
        <v>27</v>
      </c>
      <c r="J7435">
        <v>18.899999999999999</v>
      </c>
      <c r="K7435">
        <v>3</v>
      </c>
      <c r="L7435">
        <v>0</v>
      </c>
      <c r="M7435">
        <v>8.6940000000000008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41</v>
      </c>
      <c r="J7436">
        <v>10.688000000000001</v>
      </c>
      <c r="K7436">
        <v>2</v>
      </c>
      <c r="L7436">
        <v>0.2</v>
      </c>
      <c r="M7436">
        <v>3.7408000000000001</v>
      </c>
    </row>
    <row r="7437" spans="1:13" x14ac:dyDescent="0.3">
      <c r="A7437" t="s">
        <v>62</v>
      </c>
      <c r="B7437" t="s">
        <v>22</v>
      </c>
      <c r="C7437" t="s">
        <v>15</v>
      </c>
      <c r="D7437" t="s">
        <v>265</v>
      </c>
      <c r="E7437" t="s">
        <v>46</v>
      </c>
      <c r="F7437">
        <v>78521</v>
      </c>
      <c r="G7437" t="s">
        <v>47</v>
      </c>
      <c r="H7437" t="s">
        <v>26</v>
      </c>
      <c r="I7437" t="s">
        <v>32</v>
      </c>
      <c r="J7437">
        <v>237.096</v>
      </c>
      <c r="K7437">
        <v>3</v>
      </c>
      <c r="L7437">
        <v>0.2</v>
      </c>
      <c r="M7437">
        <v>20.745899999999999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5.1840000000000002</v>
      </c>
      <c r="K7438">
        <v>1</v>
      </c>
      <c r="L7438">
        <v>0.2</v>
      </c>
      <c r="M7438">
        <v>1.8144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26</v>
      </c>
      <c r="I7439" t="s">
        <v>41</v>
      </c>
      <c r="J7439">
        <v>65.584000000000003</v>
      </c>
      <c r="K7439">
        <v>2</v>
      </c>
      <c r="L7439">
        <v>0.2</v>
      </c>
      <c r="M7439">
        <v>23.7742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19</v>
      </c>
      <c r="I7440" t="s">
        <v>33</v>
      </c>
      <c r="J7440">
        <v>22.2</v>
      </c>
      <c r="K7440">
        <v>1</v>
      </c>
      <c r="L7440">
        <v>0.6</v>
      </c>
      <c r="M7440">
        <v>-26.085000000000001</v>
      </c>
    </row>
    <row r="7441" spans="1:13" x14ac:dyDescent="0.3">
      <c r="A7441" t="s">
        <v>13</v>
      </c>
      <c r="B7441" t="s">
        <v>44</v>
      </c>
      <c r="C7441" t="s">
        <v>15</v>
      </c>
      <c r="D7441" t="s">
        <v>79</v>
      </c>
      <c r="E7441" t="s">
        <v>65</v>
      </c>
      <c r="F7441">
        <v>60610</v>
      </c>
      <c r="G7441" t="s">
        <v>47</v>
      </c>
      <c r="H7441" t="s">
        <v>26</v>
      </c>
      <c r="I7441" t="s">
        <v>41</v>
      </c>
      <c r="J7441">
        <v>419.4</v>
      </c>
      <c r="K7441">
        <v>5</v>
      </c>
      <c r="L7441">
        <v>0.2</v>
      </c>
      <c r="M7441">
        <v>146.79</v>
      </c>
    </row>
    <row r="7442" spans="1:13" x14ac:dyDescent="0.3">
      <c r="A7442" t="s">
        <v>62</v>
      </c>
      <c r="B7442" t="s">
        <v>14</v>
      </c>
      <c r="C7442" t="s">
        <v>15</v>
      </c>
      <c r="D7442" t="s">
        <v>375</v>
      </c>
      <c r="E7442" t="s">
        <v>86</v>
      </c>
      <c r="F7442">
        <v>37918</v>
      </c>
      <c r="G7442" t="s">
        <v>18</v>
      </c>
      <c r="H7442" t="s">
        <v>19</v>
      </c>
      <c r="I7442" t="s">
        <v>33</v>
      </c>
      <c r="J7442">
        <v>88.92</v>
      </c>
      <c r="K7442">
        <v>5</v>
      </c>
      <c r="L7442">
        <v>0.2</v>
      </c>
      <c r="M7442">
        <v>14.4495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26</v>
      </c>
      <c r="I7443" t="s">
        <v>34</v>
      </c>
      <c r="J7443">
        <v>9.9120000000000008</v>
      </c>
      <c r="K7443">
        <v>3</v>
      </c>
      <c r="L7443">
        <v>0.2</v>
      </c>
      <c r="M7443">
        <v>3.2214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19</v>
      </c>
      <c r="I7444" t="s">
        <v>21</v>
      </c>
      <c r="J7444">
        <v>318.43</v>
      </c>
      <c r="K7444">
        <v>5</v>
      </c>
      <c r="L7444">
        <v>0.3</v>
      </c>
      <c r="M7444">
        <v>-77.332999999999998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26</v>
      </c>
      <c r="I7445" t="s">
        <v>37</v>
      </c>
      <c r="J7445">
        <v>5.8</v>
      </c>
      <c r="K7445">
        <v>5</v>
      </c>
      <c r="L7445">
        <v>0.8</v>
      </c>
      <c r="M7445">
        <v>-10.15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61</v>
      </c>
      <c r="E7446" t="s">
        <v>46</v>
      </c>
      <c r="F7446">
        <v>77036</v>
      </c>
      <c r="G7446" t="s">
        <v>47</v>
      </c>
      <c r="H7446" t="s">
        <v>35</v>
      </c>
      <c r="I7446" t="s">
        <v>36</v>
      </c>
      <c r="J7446">
        <v>1415.76</v>
      </c>
      <c r="K7446">
        <v>6</v>
      </c>
      <c r="L7446">
        <v>0.2</v>
      </c>
      <c r="M7446">
        <v>88.484999999999999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438</v>
      </c>
      <c r="E7447" t="s">
        <v>65</v>
      </c>
      <c r="F7447">
        <v>60440</v>
      </c>
      <c r="G7447" t="s">
        <v>47</v>
      </c>
      <c r="H7447" t="s">
        <v>35</v>
      </c>
      <c r="I7447" t="s">
        <v>36</v>
      </c>
      <c r="J7447">
        <v>148.47999999999999</v>
      </c>
      <c r="K7447">
        <v>2</v>
      </c>
      <c r="L7447">
        <v>0.2</v>
      </c>
      <c r="M7447">
        <v>16.704000000000001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27</v>
      </c>
      <c r="J7448">
        <v>9.2479999999999993</v>
      </c>
      <c r="K7448">
        <v>4</v>
      </c>
      <c r="L7448">
        <v>0.2</v>
      </c>
      <c r="M7448">
        <v>3.1212</v>
      </c>
    </row>
    <row r="7449" spans="1:13" x14ac:dyDescent="0.3">
      <c r="A7449" t="s">
        <v>28</v>
      </c>
      <c r="B7449" t="s">
        <v>14</v>
      </c>
      <c r="C7449" t="s">
        <v>15</v>
      </c>
      <c r="D7449" t="s">
        <v>79</v>
      </c>
      <c r="E7449" t="s">
        <v>65</v>
      </c>
      <c r="F7449">
        <v>60623</v>
      </c>
      <c r="G7449" t="s">
        <v>47</v>
      </c>
      <c r="H7449" t="s">
        <v>26</v>
      </c>
      <c r="I7449" t="s">
        <v>32</v>
      </c>
      <c r="J7449">
        <v>1036.624</v>
      </c>
      <c r="K7449">
        <v>2</v>
      </c>
      <c r="L7449">
        <v>0.2</v>
      </c>
      <c r="M7449">
        <v>51.831200000000003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35</v>
      </c>
      <c r="I7450" t="s">
        <v>36</v>
      </c>
      <c r="J7450">
        <v>569.64</v>
      </c>
      <c r="K7450">
        <v>2</v>
      </c>
      <c r="L7450">
        <v>0</v>
      </c>
      <c r="M7450">
        <v>148.10640000000001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26</v>
      </c>
      <c r="I7451" t="s">
        <v>37</v>
      </c>
      <c r="J7451">
        <v>9.14</v>
      </c>
      <c r="K7451">
        <v>1</v>
      </c>
      <c r="L7451">
        <v>0</v>
      </c>
      <c r="M7451">
        <v>4.57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33</v>
      </c>
      <c r="J7452">
        <v>1196.8599999999999</v>
      </c>
      <c r="K7452">
        <v>7</v>
      </c>
      <c r="L7452">
        <v>0</v>
      </c>
      <c r="M7452">
        <v>119.68600000000001</v>
      </c>
    </row>
    <row r="7453" spans="1:13" x14ac:dyDescent="0.3">
      <c r="A7453" t="s">
        <v>62</v>
      </c>
      <c r="B7453" t="s">
        <v>14</v>
      </c>
      <c r="C7453" t="s">
        <v>15</v>
      </c>
      <c r="D7453" t="s">
        <v>224</v>
      </c>
      <c r="E7453" t="s">
        <v>83</v>
      </c>
      <c r="F7453">
        <v>22980</v>
      </c>
      <c r="G7453" t="s">
        <v>18</v>
      </c>
      <c r="H7453" t="s">
        <v>19</v>
      </c>
      <c r="I7453" t="s">
        <v>20</v>
      </c>
      <c r="J7453">
        <v>523.26</v>
      </c>
      <c r="K7453">
        <v>9</v>
      </c>
      <c r="L7453">
        <v>0</v>
      </c>
      <c r="M7453">
        <v>125.58240000000001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35</v>
      </c>
      <c r="I7454" t="s">
        <v>162</v>
      </c>
      <c r="J7454">
        <v>639.96799999999996</v>
      </c>
      <c r="K7454">
        <v>4</v>
      </c>
      <c r="L7454">
        <v>0.2</v>
      </c>
      <c r="M7454">
        <v>215.98920000000001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23</v>
      </c>
      <c r="E7455" t="s">
        <v>24</v>
      </c>
      <c r="F7455">
        <v>90004</v>
      </c>
      <c r="G7455" t="s">
        <v>25</v>
      </c>
      <c r="H7455" t="s">
        <v>26</v>
      </c>
      <c r="I7455" t="s">
        <v>41</v>
      </c>
      <c r="J7455">
        <v>52.76</v>
      </c>
      <c r="K7455">
        <v>2</v>
      </c>
      <c r="L7455">
        <v>0</v>
      </c>
      <c r="M7455">
        <v>24.269600000000001</v>
      </c>
    </row>
    <row r="7456" spans="1:13" x14ac:dyDescent="0.3">
      <c r="A7456" t="s">
        <v>13</v>
      </c>
      <c r="B7456" t="s">
        <v>14</v>
      </c>
      <c r="C7456" t="s">
        <v>15</v>
      </c>
      <c r="D7456" t="s">
        <v>42</v>
      </c>
      <c r="E7456" t="s">
        <v>43</v>
      </c>
      <c r="F7456">
        <v>98105</v>
      </c>
      <c r="G7456" t="s">
        <v>25</v>
      </c>
      <c r="H7456" t="s">
        <v>35</v>
      </c>
      <c r="I7456" t="s">
        <v>59</v>
      </c>
      <c r="J7456">
        <v>538.91999999999996</v>
      </c>
      <c r="K7456">
        <v>9</v>
      </c>
      <c r="L7456">
        <v>0</v>
      </c>
      <c r="M7456">
        <v>80.837999999999994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34</v>
      </c>
      <c r="J7457">
        <v>14.88</v>
      </c>
      <c r="K7457">
        <v>2</v>
      </c>
      <c r="L7457">
        <v>0</v>
      </c>
      <c r="M7457">
        <v>3.72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41</v>
      </c>
      <c r="J7458">
        <v>34.24</v>
      </c>
      <c r="K7458">
        <v>8</v>
      </c>
      <c r="L7458">
        <v>0</v>
      </c>
      <c r="M7458">
        <v>15.407999999999999</v>
      </c>
    </row>
    <row r="7459" spans="1:13" x14ac:dyDescent="0.3">
      <c r="A7459" t="s">
        <v>28</v>
      </c>
      <c r="B7459" t="s">
        <v>14</v>
      </c>
      <c r="C7459" t="s">
        <v>15</v>
      </c>
      <c r="D7459" t="s">
        <v>445</v>
      </c>
      <c r="E7459" t="s">
        <v>24</v>
      </c>
      <c r="F7459">
        <v>93277</v>
      </c>
      <c r="G7459" t="s">
        <v>25</v>
      </c>
      <c r="H7459" t="s">
        <v>26</v>
      </c>
      <c r="I7459" t="s">
        <v>32</v>
      </c>
      <c r="J7459">
        <v>261.74</v>
      </c>
      <c r="K7459">
        <v>2</v>
      </c>
      <c r="L7459">
        <v>0</v>
      </c>
      <c r="M7459">
        <v>65.435000000000002</v>
      </c>
    </row>
    <row r="7460" spans="1:13" x14ac:dyDescent="0.3">
      <c r="A7460" t="s">
        <v>28</v>
      </c>
      <c r="B7460" t="s">
        <v>22</v>
      </c>
      <c r="C7460" t="s">
        <v>15</v>
      </c>
      <c r="D7460" t="s">
        <v>23</v>
      </c>
      <c r="E7460" t="s">
        <v>24</v>
      </c>
      <c r="F7460">
        <v>90008</v>
      </c>
      <c r="G7460" t="s">
        <v>25</v>
      </c>
      <c r="H7460" t="s">
        <v>26</v>
      </c>
      <c r="I7460" t="s">
        <v>38</v>
      </c>
      <c r="J7460">
        <v>87.84</v>
      </c>
      <c r="K7460">
        <v>8</v>
      </c>
      <c r="L7460">
        <v>0</v>
      </c>
      <c r="M7460">
        <v>23.716799999999999</v>
      </c>
    </row>
    <row r="7461" spans="1:13" x14ac:dyDescent="0.3">
      <c r="A7461" t="s">
        <v>13</v>
      </c>
      <c r="B7461" t="s">
        <v>44</v>
      </c>
      <c r="C7461" t="s">
        <v>15</v>
      </c>
      <c r="D7461" t="s">
        <v>23</v>
      </c>
      <c r="E7461" t="s">
        <v>24</v>
      </c>
      <c r="F7461">
        <v>90045</v>
      </c>
      <c r="G7461" t="s">
        <v>25</v>
      </c>
      <c r="H7461" t="s">
        <v>19</v>
      </c>
      <c r="I7461" t="s">
        <v>33</v>
      </c>
      <c r="J7461">
        <v>34.92</v>
      </c>
      <c r="K7461">
        <v>4</v>
      </c>
      <c r="L7461">
        <v>0</v>
      </c>
      <c r="M7461">
        <v>11.8728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26</v>
      </c>
      <c r="I7462" t="s">
        <v>41</v>
      </c>
      <c r="J7462">
        <v>14.94</v>
      </c>
      <c r="K7462">
        <v>3</v>
      </c>
      <c r="L7462">
        <v>0</v>
      </c>
      <c r="M7462">
        <v>7.0217999999999998</v>
      </c>
    </row>
    <row r="7463" spans="1:13" x14ac:dyDescent="0.3">
      <c r="A7463" t="s">
        <v>28</v>
      </c>
      <c r="B7463" t="s">
        <v>14</v>
      </c>
      <c r="C7463" t="s">
        <v>15</v>
      </c>
      <c r="D7463" t="s">
        <v>75</v>
      </c>
      <c r="E7463" t="s">
        <v>76</v>
      </c>
      <c r="F7463">
        <v>10011</v>
      </c>
      <c r="G7463" t="s">
        <v>57</v>
      </c>
      <c r="H7463" t="s">
        <v>19</v>
      </c>
      <c r="I7463" t="s">
        <v>33</v>
      </c>
      <c r="J7463">
        <v>14.56</v>
      </c>
      <c r="K7463">
        <v>2</v>
      </c>
      <c r="L7463">
        <v>0</v>
      </c>
      <c r="M7463">
        <v>6.2607999999999997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37</v>
      </c>
      <c r="J7464">
        <v>3.5760000000000001</v>
      </c>
      <c r="K7464">
        <v>4</v>
      </c>
      <c r="L7464">
        <v>0.7</v>
      </c>
      <c r="M7464">
        <v>-2.8607999999999998</v>
      </c>
    </row>
    <row r="7465" spans="1:13" x14ac:dyDescent="0.3">
      <c r="A7465" t="s">
        <v>28</v>
      </c>
      <c r="B7465" t="s">
        <v>22</v>
      </c>
      <c r="C7465" t="s">
        <v>15</v>
      </c>
      <c r="D7465" t="s">
        <v>55</v>
      </c>
      <c r="E7465" t="s">
        <v>56</v>
      </c>
      <c r="F7465">
        <v>19143</v>
      </c>
      <c r="G7465" t="s">
        <v>57</v>
      </c>
      <c r="H7465" t="s">
        <v>26</v>
      </c>
      <c r="I7465" t="s">
        <v>32</v>
      </c>
      <c r="J7465">
        <v>147.184</v>
      </c>
      <c r="K7465">
        <v>2</v>
      </c>
      <c r="L7465">
        <v>0.2</v>
      </c>
      <c r="M7465">
        <v>-29.436800000000002</v>
      </c>
    </row>
    <row r="7466" spans="1:13" x14ac:dyDescent="0.3">
      <c r="A7466" t="s">
        <v>62</v>
      </c>
      <c r="B7466" t="s">
        <v>44</v>
      </c>
      <c r="C7466" t="s">
        <v>15</v>
      </c>
      <c r="D7466" t="s">
        <v>518</v>
      </c>
      <c r="E7466" t="s">
        <v>51</v>
      </c>
      <c r="F7466">
        <v>84043</v>
      </c>
      <c r="G7466" t="s">
        <v>25</v>
      </c>
      <c r="H7466" t="s">
        <v>35</v>
      </c>
      <c r="I7466" t="s">
        <v>162</v>
      </c>
      <c r="J7466">
        <v>1499.95</v>
      </c>
      <c r="K7466">
        <v>5</v>
      </c>
      <c r="L7466">
        <v>0</v>
      </c>
      <c r="M7466">
        <v>449.98500000000001</v>
      </c>
    </row>
    <row r="7467" spans="1:13" x14ac:dyDescent="0.3">
      <c r="A7467" t="s">
        <v>28</v>
      </c>
      <c r="B7467" t="s">
        <v>22</v>
      </c>
      <c r="C7467" t="s">
        <v>15</v>
      </c>
      <c r="D7467" t="s">
        <v>79</v>
      </c>
      <c r="E7467" t="s">
        <v>65</v>
      </c>
      <c r="F7467">
        <v>60653</v>
      </c>
      <c r="G7467" t="s">
        <v>47</v>
      </c>
      <c r="H7467" t="s">
        <v>26</v>
      </c>
      <c r="I7467" t="s">
        <v>34</v>
      </c>
      <c r="J7467">
        <v>13.568</v>
      </c>
      <c r="K7467">
        <v>4</v>
      </c>
      <c r="L7467">
        <v>0.2</v>
      </c>
      <c r="M7467">
        <v>3.2223999999999999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19</v>
      </c>
      <c r="I7468" t="s">
        <v>21</v>
      </c>
      <c r="J7468">
        <v>2573.8200000000002</v>
      </c>
      <c r="K7468">
        <v>9</v>
      </c>
      <c r="L7468">
        <v>0</v>
      </c>
      <c r="M7468">
        <v>746.40779999999995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37</v>
      </c>
      <c r="J7469">
        <v>609.98</v>
      </c>
      <c r="K7469">
        <v>2</v>
      </c>
      <c r="L7469">
        <v>0</v>
      </c>
      <c r="M7469">
        <v>274.49099999999999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26</v>
      </c>
      <c r="I7470" t="s">
        <v>34</v>
      </c>
      <c r="J7470">
        <v>5.48</v>
      </c>
      <c r="K7470">
        <v>2</v>
      </c>
      <c r="L7470">
        <v>0</v>
      </c>
      <c r="M7470">
        <v>1.4796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391.98</v>
      </c>
      <c r="K7471">
        <v>2</v>
      </c>
      <c r="L7471">
        <v>0</v>
      </c>
      <c r="M7471">
        <v>113.6742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35</v>
      </c>
      <c r="I7472" t="s">
        <v>36</v>
      </c>
      <c r="J7472">
        <v>755.96</v>
      </c>
      <c r="K7472">
        <v>4</v>
      </c>
      <c r="L7472">
        <v>0</v>
      </c>
      <c r="M7472">
        <v>204.10919999999999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77</v>
      </c>
      <c r="J7473">
        <v>31.12</v>
      </c>
      <c r="K7473">
        <v>4</v>
      </c>
      <c r="L7473">
        <v>0</v>
      </c>
      <c r="M7473">
        <v>0.31119999999999998</v>
      </c>
    </row>
    <row r="7474" spans="1:13" x14ac:dyDescent="0.3">
      <c r="A7474" t="s">
        <v>28</v>
      </c>
      <c r="B7474" t="s">
        <v>44</v>
      </c>
      <c r="C7474" t="s">
        <v>15</v>
      </c>
      <c r="D7474" t="s">
        <v>16</v>
      </c>
      <c r="E7474" t="s">
        <v>17</v>
      </c>
      <c r="F7474">
        <v>42420</v>
      </c>
      <c r="G7474" t="s">
        <v>18</v>
      </c>
      <c r="H7474" t="s">
        <v>26</v>
      </c>
      <c r="I7474" t="s">
        <v>41</v>
      </c>
      <c r="J7474">
        <v>6.54</v>
      </c>
      <c r="K7474">
        <v>1</v>
      </c>
      <c r="L7474">
        <v>0</v>
      </c>
      <c r="M7474">
        <v>3.0084</v>
      </c>
    </row>
    <row r="7475" spans="1:13" x14ac:dyDescent="0.3">
      <c r="A7475" t="s">
        <v>13</v>
      </c>
      <c r="B7475" t="s">
        <v>44</v>
      </c>
      <c r="C7475" t="s">
        <v>15</v>
      </c>
      <c r="D7475" t="s">
        <v>181</v>
      </c>
      <c r="E7475" t="s">
        <v>24</v>
      </c>
      <c r="F7475">
        <v>92646</v>
      </c>
      <c r="G7475" t="s">
        <v>25</v>
      </c>
      <c r="H7475" t="s">
        <v>26</v>
      </c>
      <c r="I7475" t="s">
        <v>60</v>
      </c>
      <c r="J7475">
        <v>12.78</v>
      </c>
      <c r="K7475">
        <v>1</v>
      </c>
      <c r="L7475">
        <v>0</v>
      </c>
      <c r="M7475">
        <v>5.7510000000000003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75</v>
      </c>
      <c r="E7476" t="s">
        <v>76</v>
      </c>
      <c r="F7476">
        <v>10011</v>
      </c>
      <c r="G7476" t="s">
        <v>57</v>
      </c>
      <c r="H7476" t="s">
        <v>26</v>
      </c>
      <c r="I7476" t="s">
        <v>37</v>
      </c>
      <c r="J7476">
        <v>18.463999999999999</v>
      </c>
      <c r="K7476">
        <v>4</v>
      </c>
      <c r="L7476">
        <v>0.2</v>
      </c>
      <c r="M7476">
        <v>6.9240000000000004</v>
      </c>
    </row>
    <row r="7477" spans="1:13" x14ac:dyDescent="0.3">
      <c r="A7477" t="s">
        <v>13</v>
      </c>
      <c r="B7477" t="s">
        <v>22</v>
      </c>
      <c r="C7477" t="s">
        <v>15</v>
      </c>
      <c r="D7477" t="s">
        <v>55</v>
      </c>
      <c r="E7477" t="s">
        <v>56</v>
      </c>
      <c r="F7477">
        <v>19140</v>
      </c>
      <c r="G7477" t="s">
        <v>57</v>
      </c>
      <c r="H7477" t="s">
        <v>19</v>
      </c>
      <c r="I7477" t="s">
        <v>21</v>
      </c>
      <c r="J7477">
        <v>445.80200000000002</v>
      </c>
      <c r="K7477">
        <v>7</v>
      </c>
      <c r="L7477">
        <v>0.3</v>
      </c>
      <c r="M7477">
        <v>-108.2662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34</v>
      </c>
      <c r="J7478">
        <v>2.48</v>
      </c>
      <c r="K7478">
        <v>1</v>
      </c>
      <c r="L7478">
        <v>0</v>
      </c>
      <c r="M7478">
        <v>0.86799999999999999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492</v>
      </c>
      <c r="E7479" t="s">
        <v>493</v>
      </c>
      <c r="F7479">
        <v>58103</v>
      </c>
      <c r="G7479" t="s">
        <v>47</v>
      </c>
      <c r="H7479" t="s">
        <v>26</v>
      </c>
      <c r="I7479" t="s">
        <v>37</v>
      </c>
      <c r="J7479">
        <v>25.9</v>
      </c>
      <c r="K7479">
        <v>5</v>
      </c>
      <c r="L7479">
        <v>0</v>
      </c>
      <c r="M7479">
        <v>12.691000000000001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26</v>
      </c>
      <c r="I7480" t="s">
        <v>41</v>
      </c>
      <c r="J7480">
        <v>29.9</v>
      </c>
      <c r="K7480">
        <v>5</v>
      </c>
      <c r="L7480">
        <v>0</v>
      </c>
      <c r="M7480">
        <v>14.651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35</v>
      </c>
      <c r="I7481" t="s">
        <v>59</v>
      </c>
      <c r="J7481">
        <v>2249.91</v>
      </c>
      <c r="K7481">
        <v>9</v>
      </c>
      <c r="L7481">
        <v>0</v>
      </c>
      <c r="M7481">
        <v>517.47929999999997</v>
      </c>
    </row>
    <row r="7482" spans="1:13" x14ac:dyDescent="0.3">
      <c r="A7482" t="s">
        <v>13</v>
      </c>
      <c r="B7482" t="s">
        <v>44</v>
      </c>
      <c r="C7482" t="s">
        <v>15</v>
      </c>
      <c r="D7482" t="s">
        <v>71</v>
      </c>
      <c r="E7482" t="s">
        <v>247</v>
      </c>
      <c r="F7482">
        <v>3820</v>
      </c>
      <c r="G7482" t="s">
        <v>57</v>
      </c>
      <c r="H7482" t="s">
        <v>19</v>
      </c>
      <c r="I7482" t="s">
        <v>31</v>
      </c>
      <c r="J7482">
        <v>1053.164</v>
      </c>
      <c r="K7482">
        <v>4</v>
      </c>
      <c r="L7482">
        <v>0.3</v>
      </c>
      <c r="M7482">
        <v>-105.3164</v>
      </c>
    </row>
    <row r="7483" spans="1:13" x14ac:dyDescent="0.3">
      <c r="A7483" t="s">
        <v>28</v>
      </c>
      <c r="B7483" t="s">
        <v>14</v>
      </c>
      <c r="C7483" t="s">
        <v>15</v>
      </c>
      <c r="D7483" t="s">
        <v>144</v>
      </c>
      <c r="E7483" t="s">
        <v>24</v>
      </c>
      <c r="F7483">
        <v>92105</v>
      </c>
      <c r="G7483" t="s">
        <v>25</v>
      </c>
      <c r="H7483" t="s">
        <v>26</v>
      </c>
      <c r="I7483" t="s">
        <v>41</v>
      </c>
      <c r="J7483">
        <v>12.96</v>
      </c>
      <c r="K7483">
        <v>2</v>
      </c>
      <c r="L7483">
        <v>0</v>
      </c>
      <c r="M7483">
        <v>6.2207999999999997</v>
      </c>
    </row>
    <row r="7484" spans="1:13" x14ac:dyDescent="0.3">
      <c r="A7484" t="s">
        <v>28</v>
      </c>
      <c r="B7484" t="s">
        <v>22</v>
      </c>
      <c r="C7484" t="s">
        <v>15</v>
      </c>
      <c r="D7484" t="s">
        <v>23</v>
      </c>
      <c r="E7484" t="s">
        <v>24</v>
      </c>
      <c r="F7484">
        <v>90032</v>
      </c>
      <c r="G7484" t="s">
        <v>25</v>
      </c>
      <c r="H7484" t="s">
        <v>19</v>
      </c>
      <c r="I7484" t="s">
        <v>33</v>
      </c>
      <c r="J7484">
        <v>106.68</v>
      </c>
      <c r="K7484">
        <v>6</v>
      </c>
      <c r="L7484">
        <v>0</v>
      </c>
      <c r="M7484">
        <v>33.070799999999998</v>
      </c>
    </row>
    <row r="7485" spans="1:13" x14ac:dyDescent="0.3">
      <c r="A7485" t="s">
        <v>168</v>
      </c>
      <c r="B7485" t="s">
        <v>14</v>
      </c>
      <c r="C7485" t="s">
        <v>15</v>
      </c>
      <c r="D7485" t="s">
        <v>547</v>
      </c>
      <c r="E7485" t="s">
        <v>76</v>
      </c>
      <c r="F7485">
        <v>13501</v>
      </c>
      <c r="G7485" t="s">
        <v>57</v>
      </c>
      <c r="H7485" t="s">
        <v>35</v>
      </c>
      <c r="I7485" t="s">
        <v>36</v>
      </c>
      <c r="J7485">
        <v>119.94</v>
      </c>
      <c r="K7485">
        <v>6</v>
      </c>
      <c r="L7485">
        <v>0</v>
      </c>
      <c r="M7485">
        <v>5.9969999999999999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26</v>
      </c>
      <c r="I7486" t="s">
        <v>41</v>
      </c>
      <c r="J7486">
        <v>10.272</v>
      </c>
      <c r="K7486">
        <v>3</v>
      </c>
      <c r="L7486">
        <v>0.2</v>
      </c>
      <c r="M7486">
        <v>3.21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19</v>
      </c>
      <c r="I7487" t="s">
        <v>31</v>
      </c>
      <c r="J7487">
        <v>512.19000000000005</v>
      </c>
      <c r="K7487">
        <v>5</v>
      </c>
      <c r="L7487">
        <v>0.3</v>
      </c>
      <c r="M7487">
        <v>-65.852999999999994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61</v>
      </c>
      <c r="E7488" t="s">
        <v>46</v>
      </c>
      <c r="F7488">
        <v>77070</v>
      </c>
      <c r="G7488" t="s">
        <v>47</v>
      </c>
      <c r="H7488" t="s">
        <v>26</v>
      </c>
      <c r="I7488" t="s">
        <v>38</v>
      </c>
      <c r="J7488">
        <v>1.556</v>
      </c>
      <c r="K7488">
        <v>2</v>
      </c>
      <c r="L7488">
        <v>0.8</v>
      </c>
      <c r="M7488">
        <v>-4.2012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26</v>
      </c>
      <c r="I7489" t="s">
        <v>37</v>
      </c>
      <c r="J7489">
        <v>4.4480000000000004</v>
      </c>
      <c r="K7489">
        <v>2</v>
      </c>
      <c r="L7489">
        <v>0.2</v>
      </c>
      <c r="M7489">
        <v>1.4456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19</v>
      </c>
      <c r="I7490" t="s">
        <v>33</v>
      </c>
      <c r="J7490">
        <v>276.69</v>
      </c>
      <c r="K7490">
        <v>3</v>
      </c>
      <c r="L7490">
        <v>0</v>
      </c>
      <c r="M7490">
        <v>49.804200000000002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77</v>
      </c>
      <c r="J7491">
        <v>4.96</v>
      </c>
      <c r="K7491">
        <v>4</v>
      </c>
      <c r="L7491">
        <v>0</v>
      </c>
      <c r="M7491">
        <v>2.3311999999999999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26</v>
      </c>
      <c r="I7492" t="s">
        <v>34</v>
      </c>
      <c r="J7492">
        <v>71.92</v>
      </c>
      <c r="K7492">
        <v>4</v>
      </c>
      <c r="L7492">
        <v>0</v>
      </c>
      <c r="M7492">
        <v>20.8568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19</v>
      </c>
      <c r="I7493" t="s">
        <v>33</v>
      </c>
      <c r="J7493">
        <v>18.84</v>
      </c>
      <c r="K7493">
        <v>3</v>
      </c>
      <c r="L7493">
        <v>0</v>
      </c>
      <c r="M7493">
        <v>7.9127999999999998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59</v>
      </c>
      <c r="J7494">
        <v>140.97</v>
      </c>
      <c r="K7494">
        <v>3</v>
      </c>
      <c r="L7494">
        <v>0</v>
      </c>
      <c r="M7494">
        <v>19.735800000000001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308</v>
      </c>
      <c r="E7495" t="s">
        <v>24</v>
      </c>
      <c r="F7495">
        <v>92683</v>
      </c>
      <c r="G7495" t="s">
        <v>25</v>
      </c>
      <c r="H7495" t="s">
        <v>35</v>
      </c>
      <c r="I7495" t="s">
        <v>36</v>
      </c>
      <c r="J7495">
        <v>470.37599999999998</v>
      </c>
      <c r="K7495">
        <v>3</v>
      </c>
      <c r="L7495">
        <v>0.2</v>
      </c>
      <c r="M7495">
        <v>52.917299999999997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26</v>
      </c>
      <c r="I7496" t="s">
        <v>34</v>
      </c>
      <c r="J7496">
        <v>6.08</v>
      </c>
      <c r="K7496">
        <v>2</v>
      </c>
      <c r="L7496">
        <v>0</v>
      </c>
      <c r="M7496">
        <v>2.0672000000000001</v>
      </c>
    </row>
    <row r="7497" spans="1:13" x14ac:dyDescent="0.3">
      <c r="A7497" t="s">
        <v>168</v>
      </c>
      <c r="B7497" t="s">
        <v>14</v>
      </c>
      <c r="C7497" t="s">
        <v>15</v>
      </c>
      <c r="D7497" t="s">
        <v>23</v>
      </c>
      <c r="E7497" t="s">
        <v>24</v>
      </c>
      <c r="F7497">
        <v>90036</v>
      </c>
      <c r="G7497" t="s">
        <v>25</v>
      </c>
      <c r="H7497" t="s">
        <v>35</v>
      </c>
      <c r="I7497" t="s">
        <v>36</v>
      </c>
      <c r="J7497">
        <v>164.792</v>
      </c>
      <c r="K7497">
        <v>1</v>
      </c>
      <c r="L7497">
        <v>0.2</v>
      </c>
      <c r="M7497">
        <v>18.539100000000001</v>
      </c>
    </row>
    <row r="7498" spans="1:13" x14ac:dyDescent="0.3">
      <c r="A7498" t="s">
        <v>13</v>
      </c>
      <c r="B7498" t="s">
        <v>22</v>
      </c>
      <c r="C7498" t="s">
        <v>15</v>
      </c>
      <c r="D7498" t="s">
        <v>588</v>
      </c>
      <c r="E7498" t="s">
        <v>132</v>
      </c>
      <c r="F7498">
        <v>8401</v>
      </c>
      <c r="G7498" t="s">
        <v>57</v>
      </c>
      <c r="H7498" t="s">
        <v>26</v>
      </c>
      <c r="I7498" t="s">
        <v>60</v>
      </c>
      <c r="J7498">
        <v>23.36</v>
      </c>
      <c r="K7498">
        <v>2</v>
      </c>
      <c r="L7498">
        <v>0</v>
      </c>
      <c r="M7498">
        <v>11.68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327</v>
      </c>
      <c r="E7499" t="s">
        <v>65</v>
      </c>
      <c r="F7499">
        <v>60076</v>
      </c>
      <c r="G7499" t="s">
        <v>47</v>
      </c>
      <c r="H7499" t="s">
        <v>26</v>
      </c>
      <c r="I7499" t="s">
        <v>37</v>
      </c>
      <c r="J7499">
        <v>12.176</v>
      </c>
      <c r="K7499">
        <v>4</v>
      </c>
      <c r="L7499">
        <v>0.8</v>
      </c>
      <c r="M7499">
        <v>-18.872800000000002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35</v>
      </c>
      <c r="I7500" t="s">
        <v>36</v>
      </c>
      <c r="J7500">
        <v>46.384</v>
      </c>
      <c r="K7500">
        <v>2</v>
      </c>
      <c r="L7500">
        <v>0.2</v>
      </c>
      <c r="M7500">
        <v>5.2182000000000004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52</v>
      </c>
      <c r="E7501" t="s">
        <v>24</v>
      </c>
      <c r="F7501">
        <v>94122</v>
      </c>
      <c r="G7501" t="s">
        <v>25</v>
      </c>
      <c r="H7501" t="s">
        <v>26</v>
      </c>
      <c r="I7501" t="s">
        <v>32</v>
      </c>
      <c r="J7501">
        <v>362.92</v>
      </c>
      <c r="K7501">
        <v>2</v>
      </c>
      <c r="L7501">
        <v>0</v>
      </c>
      <c r="M7501">
        <v>105.24679999999999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26</v>
      </c>
      <c r="I7502" t="s">
        <v>41</v>
      </c>
      <c r="J7502">
        <v>9.2479999999999993</v>
      </c>
      <c r="K7502">
        <v>2</v>
      </c>
      <c r="L7502">
        <v>0.2</v>
      </c>
      <c r="M7502">
        <v>3.3523999999999998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35</v>
      </c>
      <c r="I7503" t="s">
        <v>36</v>
      </c>
      <c r="J7503">
        <v>1889.9459999999999</v>
      </c>
      <c r="K7503">
        <v>9</v>
      </c>
      <c r="L7503">
        <v>0.4</v>
      </c>
      <c r="M7503">
        <v>-377.98919999999998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26</v>
      </c>
      <c r="I7504" t="s">
        <v>32</v>
      </c>
      <c r="J7504">
        <v>62.04</v>
      </c>
      <c r="K7504">
        <v>5</v>
      </c>
      <c r="L7504">
        <v>0.2</v>
      </c>
      <c r="M7504">
        <v>4.6529999999999996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19</v>
      </c>
      <c r="I7505" t="s">
        <v>33</v>
      </c>
      <c r="J7505">
        <v>396.92</v>
      </c>
      <c r="K7505">
        <v>5</v>
      </c>
      <c r="L7505">
        <v>0.2</v>
      </c>
      <c r="M7505">
        <v>148.845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32</v>
      </c>
      <c r="J7506">
        <v>239.45599999999999</v>
      </c>
      <c r="K7506">
        <v>7</v>
      </c>
      <c r="L7506">
        <v>0.2</v>
      </c>
      <c r="M7506">
        <v>17.959199999999999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103</v>
      </c>
      <c r="E7507" t="s">
        <v>104</v>
      </c>
      <c r="F7507">
        <v>43229</v>
      </c>
      <c r="G7507" t="s">
        <v>57</v>
      </c>
      <c r="H7507" t="s">
        <v>26</v>
      </c>
      <c r="I7507" t="s">
        <v>34</v>
      </c>
      <c r="J7507">
        <v>13.12</v>
      </c>
      <c r="K7507">
        <v>5</v>
      </c>
      <c r="L7507">
        <v>0.2</v>
      </c>
      <c r="M7507">
        <v>2.1320000000000001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37</v>
      </c>
      <c r="J7508">
        <v>29.36</v>
      </c>
      <c r="K7508">
        <v>2</v>
      </c>
      <c r="L7508">
        <v>0</v>
      </c>
      <c r="M7508">
        <v>13.505599999999999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38</v>
      </c>
      <c r="J7509">
        <v>214.9</v>
      </c>
      <c r="K7509">
        <v>5</v>
      </c>
      <c r="L7509">
        <v>0</v>
      </c>
      <c r="M7509">
        <v>62.320999999999998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26</v>
      </c>
      <c r="I7510" t="s">
        <v>37</v>
      </c>
      <c r="J7510">
        <v>15.92</v>
      </c>
      <c r="K7510">
        <v>4</v>
      </c>
      <c r="L7510">
        <v>0</v>
      </c>
      <c r="M7510">
        <v>7.4824000000000002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35</v>
      </c>
      <c r="I7511" t="s">
        <v>59</v>
      </c>
      <c r="J7511">
        <v>146.44999999999999</v>
      </c>
      <c r="K7511">
        <v>5</v>
      </c>
      <c r="L7511">
        <v>0</v>
      </c>
      <c r="M7511">
        <v>48.328499999999998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32</v>
      </c>
      <c r="J7512">
        <v>15.14</v>
      </c>
      <c r="K7512">
        <v>1</v>
      </c>
      <c r="L7512">
        <v>0</v>
      </c>
      <c r="M7512">
        <v>0.60560000000000003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26</v>
      </c>
      <c r="I7513" t="s">
        <v>27</v>
      </c>
      <c r="J7513">
        <v>5.76</v>
      </c>
      <c r="K7513">
        <v>2</v>
      </c>
      <c r="L7513">
        <v>0</v>
      </c>
      <c r="M7513">
        <v>2.6496</v>
      </c>
    </row>
    <row r="7514" spans="1:13" x14ac:dyDescent="0.3">
      <c r="A7514" t="s">
        <v>13</v>
      </c>
      <c r="B7514" t="s">
        <v>14</v>
      </c>
      <c r="C7514" t="s">
        <v>15</v>
      </c>
      <c r="D7514" t="s">
        <v>182</v>
      </c>
      <c r="E7514" t="s">
        <v>17</v>
      </c>
      <c r="F7514">
        <v>40475</v>
      </c>
      <c r="G7514" t="s">
        <v>18</v>
      </c>
      <c r="H7514" t="s">
        <v>35</v>
      </c>
      <c r="I7514" t="s">
        <v>162</v>
      </c>
      <c r="J7514">
        <v>1399.98</v>
      </c>
      <c r="K7514">
        <v>2</v>
      </c>
      <c r="L7514">
        <v>0</v>
      </c>
      <c r="M7514">
        <v>629.99099999999999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8.952</v>
      </c>
      <c r="K7515">
        <v>2</v>
      </c>
      <c r="L7515">
        <v>0.7</v>
      </c>
      <c r="M7515">
        <v>-7.46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26</v>
      </c>
      <c r="I7516" t="s">
        <v>37</v>
      </c>
      <c r="J7516">
        <v>8.8559999999999999</v>
      </c>
      <c r="K7516">
        <v>6</v>
      </c>
      <c r="L7516">
        <v>0.7</v>
      </c>
      <c r="M7516">
        <v>-6.4943999999999997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235</v>
      </c>
      <c r="E7517" t="s">
        <v>104</v>
      </c>
      <c r="F7517">
        <v>43130</v>
      </c>
      <c r="G7517" t="s">
        <v>57</v>
      </c>
      <c r="H7517" t="s">
        <v>19</v>
      </c>
      <c r="I7517" t="s">
        <v>21</v>
      </c>
      <c r="J7517">
        <v>85.245999999999995</v>
      </c>
      <c r="K7517">
        <v>2</v>
      </c>
      <c r="L7517">
        <v>0.3</v>
      </c>
      <c r="M7517">
        <v>-1.2178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26</v>
      </c>
      <c r="I7518" t="s">
        <v>60</v>
      </c>
      <c r="J7518">
        <v>21.728000000000002</v>
      </c>
      <c r="K7518">
        <v>7</v>
      </c>
      <c r="L7518">
        <v>0.2</v>
      </c>
      <c r="M7518">
        <v>7.6048</v>
      </c>
    </row>
    <row r="7519" spans="1:13" x14ac:dyDescent="0.3">
      <c r="A7519" t="s">
        <v>28</v>
      </c>
      <c r="B7519" t="s">
        <v>14</v>
      </c>
      <c r="C7519" t="s">
        <v>15</v>
      </c>
      <c r="D7519" t="s">
        <v>434</v>
      </c>
      <c r="E7519" t="s">
        <v>95</v>
      </c>
      <c r="F7519">
        <v>97030</v>
      </c>
      <c r="G7519" t="s">
        <v>25</v>
      </c>
      <c r="H7519" t="s">
        <v>19</v>
      </c>
      <c r="I7519" t="s">
        <v>21</v>
      </c>
      <c r="J7519">
        <v>1487.04</v>
      </c>
      <c r="K7519">
        <v>5</v>
      </c>
      <c r="L7519">
        <v>0.2</v>
      </c>
      <c r="M7519">
        <v>148.70400000000001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26</v>
      </c>
      <c r="I7520" t="s">
        <v>60</v>
      </c>
      <c r="J7520">
        <v>71.88</v>
      </c>
      <c r="K7520">
        <v>6</v>
      </c>
      <c r="L7520">
        <v>0</v>
      </c>
      <c r="M7520">
        <v>33.064799999999998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19</v>
      </c>
      <c r="I7521" t="s">
        <v>33</v>
      </c>
      <c r="J7521">
        <v>9.24</v>
      </c>
      <c r="K7521">
        <v>3</v>
      </c>
      <c r="L7521">
        <v>0</v>
      </c>
      <c r="M7521">
        <v>2.9567999999999999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41</v>
      </c>
      <c r="J7522">
        <v>35.880000000000003</v>
      </c>
      <c r="K7522">
        <v>6</v>
      </c>
      <c r="L7522">
        <v>0</v>
      </c>
      <c r="M7522">
        <v>16.146000000000001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17.04</v>
      </c>
      <c r="K7523">
        <v>3</v>
      </c>
      <c r="L7523">
        <v>0.2</v>
      </c>
      <c r="M7523">
        <v>5.5380000000000003</v>
      </c>
    </row>
    <row r="7524" spans="1:13" x14ac:dyDescent="0.3">
      <c r="A7524" t="s">
        <v>168</v>
      </c>
      <c r="B7524" t="s">
        <v>22</v>
      </c>
      <c r="C7524" t="s">
        <v>15</v>
      </c>
      <c r="D7524" t="s">
        <v>52</v>
      </c>
      <c r="E7524" t="s">
        <v>24</v>
      </c>
      <c r="F7524">
        <v>94109</v>
      </c>
      <c r="G7524" t="s">
        <v>25</v>
      </c>
      <c r="H7524" t="s">
        <v>26</v>
      </c>
      <c r="I7524" t="s">
        <v>37</v>
      </c>
      <c r="J7524">
        <v>931.17600000000004</v>
      </c>
      <c r="K7524">
        <v>3</v>
      </c>
      <c r="L7524">
        <v>0.2</v>
      </c>
      <c r="M7524">
        <v>314.27190000000002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33</v>
      </c>
      <c r="J7525">
        <v>266.35199999999998</v>
      </c>
      <c r="K7525">
        <v>3</v>
      </c>
      <c r="L7525">
        <v>0.2</v>
      </c>
      <c r="M7525">
        <v>-13.317600000000001</v>
      </c>
    </row>
    <row r="7526" spans="1:13" x14ac:dyDescent="0.3">
      <c r="A7526" t="s">
        <v>62</v>
      </c>
      <c r="B7526" t="s">
        <v>14</v>
      </c>
      <c r="C7526" t="s">
        <v>15</v>
      </c>
      <c r="D7526" t="s">
        <v>589</v>
      </c>
      <c r="E7526" t="s">
        <v>98</v>
      </c>
      <c r="F7526">
        <v>80501</v>
      </c>
      <c r="G7526" t="s">
        <v>25</v>
      </c>
      <c r="H7526" t="s">
        <v>19</v>
      </c>
      <c r="I7526" t="s">
        <v>21</v>
      </c>
      <c r="J7526">
        <v>483.13600000000002</v>
      </c>
      <c r="K7526">
        <v>4</v>
      </c>
      <c r="L7526">
        <v>0.2</v>
      </c>
      <c r="M7526">
        <v>54.352800000000002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21</v>
      </c>
      <c r="J7527">
        <v>196.78399999999999</v>
      </c>
      <c r="K7527">
        <v>2</v>
      </c>
      <c r="L7527">
        <v>0.2</v>
      </c>
      <c r="M7527">
        <v>-22.138200000000001</v>
      </c>
    </row>
    <row r="7528" spans="1:13" x14ac:dyDescent="0.3">
      <c r="A7528" t="s">
        <v>28</v>
      </c>
      <c r="B7528" t="s">
        <v>14</v>
      </c>
      <c r="C7528" t="s">
        <v>15</v>
      </c>
      <c r="D7528" t="s">
        <v>287</v>
      </c>
      <c r="E7528" t="s">
        <v>40</v>
      </c>
      <c r="F7528">
        <v>27834</v>
      </c>
      <c r="G7528" t="s">
        <v>18</v>
      </c>
      <c r="H7528" t="s">
        <v>19</v>
      </c>
      <c r="I7528" t="s">
        <v>20</v>
      </c>
      <c r="J7528">
        <v>231.92</v>
      </c>
      <c r="K7528">
        <v>5</v>
      </c>
      <c r="L7528">
        <v>0.2</v>
      </c>
      <c r="M7528">
        <v>5.798</v>
      </c>
    </row>
    <row r="7529" spans="1:13" x14ac:dyDescent="0.3">
      <c r="A7529" t="s">
        <v>28</v>
      </c>
      <c r="B7529" t="s">
        <v>22</v>
      </c>
      <c r="C7529" t="s">
        <v>15</v>
      </c>
      <c r="D7529" t="s">
        <v>23</v>
      </c>
      <c r="E7529" t="s">
        <v>24</v>
      </c>
      <c r="F7529">
        <v>90004</v>
      </c>
      <c r="G7529" t="s">
        <v>25</v>
      </c>
      <c r="H7529" t="s">
        <v>26</v>
      </c>
      <c r="I7529" t="s">
        <v>110</v>
      </c>
      <c r="J7529">
        <v>29.7</v>
      </c>
      <c r="K7529">
        <v>3</v>
      </c>
      <c r="L7529">
        <v>0</v>
      </c>
      <c r="M7529">
        <v>8.0190000000000001</v>
      </c>
    </row>
    <row r="7530" spans="1:13" x14ac:dyDescent="0.3">
      <c r="A7530" t="s">
        <v>28</v>
      </c>
      <c r="B7530" t="s">
        <v>14</v>
      </c>
      <c r="C7530" t="s">
        <v>15</v>
      </c>
      <c r="D7530" t="s">
        <v>61</v>
      </c>
      <c r="E7530" t="s">
        <v>46</v>
      </c>
      <c r="F7530">
        <v>77041</v>
      </c>
      <c r="G7530" t="s">
        <v>47</v>
      </c>
      <c r="H7530" t="s">
        <v>19</v>
      </c>
      <c r="I7530" t="s">
        <v>33</v>
      </c>
      <c r="J7530">
        <v>13.592000000000001</v>
      </c>
      <c r="K7530">
        <v>2</v>
      </c>
      <c r="L7530">
        <v>0.6</v>
      </c>
      <c r="M7530">
        <v>-14.271599999999999</v>
      </c>
    </row>
    <row r="7531" spans="1:13" x14ac:dyDescent="0.3">
      <c r="A7531" t="s">
        <v>13</v>
      </c>
      <c r="B7531" t="s">
        <v>14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41</v>
      </c>
      <c r="J7531">
        <v>70.88</v>
      </c>
      <c r="K7531">
        <v>2</v>
      </c>
      <c r="L7531">
        <v>0</v>
      </c>
      <c r="M7531">
        <v>33.313600000000001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32</v>
      </c>
      <c r="J7532">
        <v>114.288</v>
      </c>
      <c r="K7532">
        <v>1</v>
      </c>
      <c r="L7532">
        <v>0.2</v>
      </c>
      <c r="M7532">
        <v>12.8574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26</v>
      </c>
      <c r="I7533" t="s">
        <v>37</v>
      </c>
      <c r="J7533">
        <v>36.624000000000002</v>
      </c>
      <c r="K7533">
        <v>8</v>
      </c>
      <c r="L7533">
        <v>0.7</v>
      </c>
      <c r="M7533">
        <v>-24.416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19</v>
      </c>
      <c r="I7534" t="s">
        <v>20</v>
      </c>
      <c r="J7534">
        <v>242.352</v>
      </c>
      <c r="K7534">
        <v>8</v>
      </c>
      <c r="L7534">
        <v>0.7</v>
      </c>
      <c r="M7534">
        <v>-363.52800000000002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35</v>
      </c>
      <c r="I7535" t="s">
        <v>36</v>
      </c>
      <c r="J7535">
        <v>49.616</v>
      </c>
      <c r="K7535">
        <v>2</v>
      </c>
      <c r="L7535">
        <v>0.2</v>
      </c>
      <c r="M7535">
        <v>4.9615999999999998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19</v>
      </c>
      <c r="I7536" t="s">
        <v>33</v>
      </c>
      <c r="J7536">
        <v>508.70400000000001</v>
      </c>
      <c r="K7536">
        <v>6</v>
      </c>
      <c r="L7536">
        <v>0.2</v>
      </c>
      <c r="M7536">
        <v>0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35</v>
      </c>
      <c r="I7537" t="s">
        <v>36</v>
      </c>
      <c r="J7537">
        <v>57.36</v>
      </c>
      <c r="K7537">
        <v>6</v>
      </c>
      <c r="L7537">
        <v>0.2</v>
      </c>
      <c r="M7537">
        <v>-14.34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134</v>
      </c>
      <c r="E7538" t="s">
        <v>98</v>
      </c>
      <c r="F7538">
        <v>80219</v>
      </c>
      <c r="G7538" t="s">
        <v>25</v>
      </c>
      <c r="H7538" t="s">
        <v>19</v>
      </c>
      <c r="I7538" t="s">
        <v>21</v>
      </c>
      <c r="J7538">
        <v>906.68</v>
      </c>
      <c r="K7538">
        <v>5</v>
      </c>
      <c r="L7538">
        <v>0.2</v>
      </c>
      <c r="M7538">
        <v>68.001000000000005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719.952</v>
      </c>
      <c r="K7539">
        <v>6</v>
      </c>
      <c r="L7539">
        <v>0.2</v>
      </c>
      <c r="M7539">
        <v>71.995199999999997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35</v>
      </c>
      <c r="I7540" t="s">
        <v>36</v>
      </c>
      <c r="J7540">
        <v>755.94399999999996</v>
      </c>
      <c r="K7540">
        <v>7</v>
      </c>
      <c r="L7540">
        <v>0.2</v>
      </c>
      <c r="M7540">
        <v>66.145099999999999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11.98</v>
      </c>
      <c r="K7541">
        <v>5</v>
      </c>
      <c r="L7541">
        <v>0.8</v>
      </c>
      <c r="M7541">
        <v>-19.167999999999999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195</v>
      </c>
      <c r="E7542" t="s">
        <v>46</v>
      </c>
      <c r="F7542">
        <v>77340</v>
      </c>
      <c r="G7542" t="s">
        <v>47</v>
      </c>
      <c r="H7542" t="s">
        <v>26</v>
      </c>
      <c r="I7542" t="s">
        <v>37</v>
      </c>
      <c r="J7542">
        <v>0.89800000000000002</v>
      </c>
      <c r="K7542">
        <v>1</v>
      </c>
      <c r="L7542">
        <v>0.8</v>
      </c>
      <c r="M7542">
        <v>-1.5714999999999999</v>
      </c>
    </row>
    <row r="7543" spans="1:13" x14ac:dyDescent="0.3">
      <c r="A7543" t="s">
        <v>62</v>
      </c>
      <c r="B7543" t="s">
        <v>22</v>
      </c>
      <c r="C7543" t="s">
        <v>15</v>
      </c>
      <c r="D7543" t="s">
        <v>61</v>
      </c>
      <c r="E7543" t="s">
        <v>46</v>
      </c>
      <c r="F7543">
        <v>77036</v>
      </c>
      <c r="G7543" t="s">
        <v>47</v>
      </c>
      <c r="H7543" t="s">
        <v>19</v>
      </c>
      <c r="I7543" t="s">
        <v>33</v>
      </c>
      <c r="J7543">
        <v>21.204000000000001</v>
      </c>
      <c r="K7543">
        <v>3</v>
      </c>
      <c r="L7543">
        <v>0.6</v>
      </c>
      <c r="M7543">
        <v>-11.6622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26</v>
      </c>
      <c r="I7544" t="s">
        <v>60</v>
      </c>
      <c r="J7544">
        <v>34.74</v>
      </c>
      <c r="K7544">
        <v>3</v>
      </c>
      <c r="L7544">
        <v>0</v>
      </c>
      <c r="M7544">
        <v>17.37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35</v>
      </c>
      <c r="I7545" t="s">
        <v>36</v>
      </c>
      <c r="J7545">
        <v>833.94</v>
      </c>
      <c r="K7545">
        <v>6</v>
      </c>
      <c r="L7545">
        <v>0</v>
      </c>
      <c r="M7545">
        <v>216.8244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37</v>
      </c>
      <c r="J7546">
        <v>12.96</v>
      </c>
      <c r="K7546">
        <v>3</v>
      </c>
      <c r="L7546">
        <v>0.2</v>
      </c>
      <c r="M7546">
        <v>4.5359999999999996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75</v>
      </c>
      <c r="E7547" t="s">
        <v>76</v>
      </c>
      <c r="F7547">
        <v>10024</v>
      </c>
      <c r="G7547" t="s">
        <v>57</v>
      </c>
      <c r="H7547" t="s">
        <v>26</v>
      </c>
      <c r="I7547" t="s">
        <v>41</v>
      </c>
      <c r="J7547">
        <v>25.92</v>
      </c>
      <c r="K7547">
        <v>4</v>
      </c>
      <c r="L7547">
        <v>0</v>
      </c>
      <c r="M7547">
        <v>12.441599999999999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19</v>
      </c>
      <c r="I7548" t="s">
        <v>20</v>
      </c>
      <c r="J7548">
        <v>349.96499999999997</v>
      </c>
      <c r="K7548">
        <v>7</v>
      </c>
      <c r="L7548">
        <v>0.5</v>
      </c>
      <c r="M7548">
        <v>-216.97829999999999</v>
      </c>
    </row>
    <row r="7549" spans="1:13" x14ac:dyDescent="0.3">
      <c r="A7549" t="s">
        <v>13</v>
      </c>
      <c r="B7549" t="s">
        <v>14</v>
      </c>
      <c r="C7549" t="s">
        <v>15</v>
      </c>
      <c r="D7549" t="s">
        <v>55</v>
      </c>
      <c r="E7549" t="s">
        <v>56</v>
      </c>
      <c r="F7549">
        <v>19134</v>
      </c>
      <c r="G7549" t="s">
        <v>57</v>
      </c>
      <c r="H7549" t="s">
        <v>26</v>
      </c>
      <c r="I7549" t="s">
        <v>34</v>
      </c>
      <c r="J7549">
        <v>22.32</v>
      </c>
      <c r="K7549">
        <v>5</v>
      </c>
      <c r="L7549">
        <v>0.2</v>
      </c>
      <c r="M7549">
        <v>5.3010000000000002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41</v>
      </c>
      <c r="J7550">
        <v>158.28</v>
      </c>
      <c r="K7550">
        <v>6</v>
      </c>
      <c r="L7550">
        <v>0</v>
      </c>
      <c r="M7550">
        <v>72.808800000000005</v>
      </c>
    </row>
    <row r="7551" spans="1:13" x14ac:dyDescent="0.3">
      <c r="A7551" t="s">
        <v>28</v>
      </c>
      <c r="B7551" t="s">
        <v>22</v>
      </c>
      <c r="C7551" t="s">
        <v>15</v>
      </c>
      <c r="D7551" t="s">
        <v>103</v>
      </c>
      <c r="E7551" t="s">
        <v>74</v>
      </c>
      <c r="F7551">
        <v>47201</v>
      </c>
      <c r="G7551" t="s">
        <v>47</v>
      </c>
      <c r="H7551" t="s">
        <v>26</v>
      </c>
      <c r="I7551" t="s">
        <v>37</v>
      </c>
      <c r="J7551">
        <v>497.94</v>
      </c>
      <c r="K7551">
        <v>3</v>
      </c>
      <c r="L7551">
        <v>0</v>
      </c>
      <c r="M7551">
        <v>224.07300000000001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38</v>
      </c>
      <c r="J7552">
        <v>533.94000000000005</v>
      </c>
      <c r="K7552">
        <v>3</v>
      </c>
      <c r="L7552">
        <v>0</v>
      </c>
      <c r="M7552">
        <v>154.8426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26</v>
      </c>
      <c r="I7553" t="s">
        <v>41</v>
      </c>
      <c r="J7553">
        <v>167.94</v>
      </c>
      <c r="K7553">
        <v>3</v>
      </c>
      <c r="L7553">
        <v>0</v>
      </c>
      <c r="M7553">
        <v>82.290599999999998</v>
      </c>
    </row>
    <row r="7554" spans="1:13" x14ac:dyDescent="0.3">
      <c r="A7554" t="s">
        <v>28</v>
      </c>
      <c r="B7554" t="s">
        <v>14</v>
      </c>
      <c r="C7554" t="s">
        <v>15</v>
      </c>
      <c r="D7554" t="s">
        <v>159</v>
      </c>
      <c r="E7554" t="s">
        <v>76</v>
      </c>
      <c r="F7554">
        <v>11561</v>
      </c>
      <c r="G7554" t="s">
        <v>57</v>
      </c>
      <c r="H7554" t="s">
        <v>19</v>
      </c>
      <c r="I7554" t="s">
        <v>33</v>
      </c>
      <c r="J7554">
        <v>31.68</v>
      </c>
      <c r="K7554">
        <v>6</v>
      </c>
      <c r="L7554">
        <v>0</v>
      </c>
      <c r="M7554">
        <v>9.8208000000000002</v>
      </c>
    </row>
    <row r="7555" spans="1:13" x14ac:dyDescent="0.3">
      <c r="A7555" t="s">
        <v>62</v>
      </c>
      <c r="B7555" t="s">
        <v>14</v>
      </c>
      <c r="C7555" t="s">
        <v>15</v>
      </c>
      <c r="D7555" t="s">
        <v>235</v>
      </c>
      <c r="E7555" t="s">
        <v>56</v>
      </c>
      <c r="F7555">
        <v>17602</v>
      </c>
      <c r="G7555" t="s">
        <v>57</v>
      </c>
      <c r="H7555" t="s">
        <v>19</v>
      </c>
      <c r="I7555" t="s">
        <v>21</v>
      </c>
      <c r="J7555">
        <v>170.786</v>
      </c>
      <c r="K7555">
        <v>1</v>
      </c>
      <c r="L7555">
        <v>0.3</v>
      </c>
      <c r="M7555">
        <v>0</v>
      </c>
    </row>
    <row r="7556" spans="1:13" x14ac:dyDescent="0.3">
      <c r="A7556" t="s">
        <v>28</v>
      </c>
      <c r="B7556" t="s">
        <v>14</v>
      </c>
      <c r="C7556" t="s">
        <v>15</v>
      </c>
      <c r="D7556" t="s">
        <v>79</v>
      </c>
      <c r="E7556" t="s">
        <v>65</v>
      </c>
      <c r="F7556">
        <v>60610</v>
      </c>
      <c r="G7556" t="s">
        <v>47</v>
      </c>
      <c r="H7556" t="s">
        <v>19</v>
      </c>
      <c r="I7556" t="s">
        <v>20</v>
      </c>
      <c r="J7556">
        <v>198.744</v>
      </c>
      <c r="K7556">
        <v>4</v>
      </c>
      <c r="L7556">
        <v>0.3</v>
      </c>
      <c r="M7556">
        <v>0</v>
      </c>
    </row>
    <row r="7557" spans="1:13" x14ac:dyDescent="0.3">
      <c r="A7557" t="s">
        <v>62</v>
      </c>
      <c r="B7557" t="s">
        <v>44</v>
      </c>
      <c r="C7557" t="s">
        <v>15</v>
      </c>
      <c r="D7557" t="s">
        <v>134</v>
      </c>
      <c r="E7557" t="s">
        <v>98</v>
      </c>
      <c r="F7557">
        <v>80219</v>
      </c>
      <c r="G7557" t="s">
        <v>25</v>
      </c>
      <c r="H7557" t="s">
        <v>35</v>
      </c>
      <c r="I7557" t="s">
        <v>59</v>
      </c>
      <c r="J7557">
        <v>63.823999999999998</v>
      </c>
      <c r="K7557">
        <v>2</v>
      </c>
      <c r="L7557">
        <v>0.2</v>
      </c>
      <c r="M7557">
        <v>13.5626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21</v>
      </c>
      <c r="J7558">
        <v>435.16800000000001</v>
      </c>
      <c r="K7558">
        <v>4</v>
      </c>
      <c r="L7558">
        <v>0.2</v>
      </c>
      <c r="M7558">
        <v>-59.835599999999999</v>
      </c>
    </row>
    <row r="7559" spans="1:13" x14ac:dyDescent="0.3">
      <c r="A7559" t="s">
        <v>13</v>
      </c>
      <c r="B7559" t="s">
        <v>14</v>
      </c>
      <c r="C7559" t="s">
        <v>15</v>
      </c>
      <c r="D7559" t="s">
        <v>42</v>
      </c>
      <c r="E7559" t="s">
        <v>43</v>
      </c>
      <c r="F7559">
        <v>98103</v>
      </c>
      <c r="G7559" t="s">
        <v>25</v>
      </c>
      <c r="H7559" t="s">
        <v>19</v>
      </c>
      <c r="I7559" t="s">
        <v>20</v>
      </c>
      <c r="J7559">
        <v>48.58</v>
      </c>
      <c r="K7559">
        <v>1</v>
      </c>
      <c r="L7559">
        <v>0</v>
      </c>
      <c r="M7559">
        <v>7.7728000000000002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35</v>
      </c>
      <c r="I7560" t="s">
        <v>59</v>
      </c>
      <c r="J7560">
        <v>47.975999999999999</v>
      </c>
      <c r="K7560">
        <v>3</v>
      </c>
      <c r="L7560">
        <v>0.2</v>
      </c>
      <c r="M7560">
        <v>8.3957999999999995</v>
      </c>
    </row>
    <row r="7561" spans="1:13" x14ac:dyDescent="0.3">
      <c r="A7561" t="s">
        <v>62</v>
      </c>
      <c r="B7561" t="s">
        <v>22</v>
      </c>
      <c r="C7561" t="s">
        <v>15</v>
      </c>
      <c r="D7561" t="s">
        <v>61</v>
      </c>
      <c r="E7561" t="s">
        <v>46</v>
      </c>
      <c r="F7561">
        <v>77070</v>
      </c>
      <c r="G7561" t="s">
        <v>47</v>
      </c>
      <c r="H7561" t="s">
        <v>26</v>
      </c>
      <c r="I7561" t="s">
        <v>41</v>
      </c>
      <c r="J7561">
        <v>20.736000000000001</v>
      </c>
      <c r="K7561">
        <v>4</v>
      </c>
      <c r="L7561">
        <v>0.2</v>
      </c>
      <c r="M7561">
        <v>7.2576000000000001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34</v>
      </c>
      <c r="J7562">
        <v>26.46</v>
      </c>
      <c r="K7562">
        <v>9</v>
      </c>
      <c r="L7562">
        <v>0</v>
      </c>
      <c r="M7562">
        <v>11.907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41</v>
      </c>
      <c r="J7563">
        <v>49.12</v>
      </c>
      <c r="K7563">
        <v>4</v>
      </c>
      <c r="L7563">
        <v>0</v>
      </c>
      <c r="M7563">
        <v>23.086400000000001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23</v>
      </c>
      <c r="E7564" t="s">
        <v>24</v>
      </c>
      <c r="F7564">
        <v>90045</v>
      </c>
      <c r="G7564" t="s">
        <v>25</v>
      </c>
      <c r="H7564" t="s">
        <v>26</v>
      </c>
      <c r="I7564" t="s">
        <v>77</v>
      </c>
      <c r="J7564">
        <v>15</v>
      </c>
      <c r="K7564">
        <v>3</v>
      </c>
      <c r="L7564">
        <v>0</v>
      </c>
      <c r="M7564">
        <v>7.2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26</v>
      </c>
      <c r="I7565" t="s">
        <v>32</v>
      </c>
      <c r="J7565">
        <v>194.7</v>
      </c>
      <c r="K7565">
        <v>5</v>
      </c>
      <c r="L7565">
        <v>0</v>
      </c>
      <c r="M7565">
        <v>9.7349999999999994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19</v>
      </c>
      <c r="I7566" t="s">
        <v>31</v>
      </c>
      <c r="J7566">
        <v>591.32000000000005</v>
      </c>
      <c r="K7566">
        <v>4</v>
      </c>
      <c r="L7566">
        <v>0</v>
      </c>
      <c r="M7566">
        <v>112.35080000000001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400</v>
      </c>
      <c r="E7567" t="s">
        <v>83</v>
      </c>
      <c r="F7567">
        <v>23602</v>
      </c>
      <c r="G7567" t="s">
        <v>18</v>
      </c>
      <c r="H7567" t="s">
        <v>26</v>
      </c>
      <c r="I7567" t="s">
        <v>34</v>
      </c>
      <c r="J7567">
        <v>2.84</v>
      </c>
      <c r="K7567">
        <v>1</v>
      </c>
      <c r="L7567">
        <v>0</v>
      </c>
      <c r="M7567">
        <v>0.88039999999999996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26</v>
      </c>
      <c r="I7568" t="s">
        <v>32</v>
      </c>
      <c r="J7568">
        <v>221.96</v>
      </c>
      <c r="K7568">
        <v>2</v>
      </c>
      <c r="L7568">
        <v>0</v>
      </c>
      <c r="M7568">
        <v>4.4391999999999996</v>
      </c>
    </row>
    <row r="7569" spans="1:13" x14ac:dyDescent="0.3">
      <c r="A7569" t="s">
        <v>28</v>
      </c>
      <c r="B7569" t="s">
        <v>22</v>
      </c>
      <c r="C7569" t="s">
        <v>15</v>
      </c>
      <c r="D7569" t="s">
        <v>23</v>
      </c>
      <c r="E7569" t="s">
        <v>24</v>
      </c>
      <c r="F7569">
        <v>90036</v>
      </c>
      <c r="G7569" t="s">
        <v>25</v>
      </c>
      <c r="H7569" t="s">
        <v>35</v>
      </c>
      <c r="I7569" t="s">
        <v>59</v>
      </c>
      <c r="J7569">
        <v>236</v>
      </c>
      <c r="K7569">
        <v>4</v>
      </c>
      <c r="L7569">
        <v>0</v>
      </c>
      <c r="M7569">
        <v>40.119999999999997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59</v>
      </c>
      <c r="J7570">
        <v>41.94</v>
      </c>
      <c r="K7570">
        <v>2</v>
      </c>
      <c r="L7570">
        <v>0</v>
      </c>
      <c r="M7570">
        <v>15.0984</v>
      </c>
    </row>
    <row r="7571" spans="1:13" x14ac:dyDescent="0.3">
      <c r="A7571" t="s">
        <v>13</v>
      </c>
      <c r="B7571" t="s">
        <v>22</v>
      </c>
      <c r="C7571" t="s">
        <v>15</v>
      </c>
      <c r="D7571" t="s">
        <v>42</v>
      </c>
      <c r="E7571" t="s">
        <v>43</v>
      </c>
      <c r="F7571">
        <v>98115</v>
      </c>
      <c r="G7571" t="s">
        <v>25</v>
      </c>
      <c r="H7571" t="s">
        <v>35</v>
      </c>
      <c r="I7571" t="s">
        <v>36</v>
      </c>
      <c r="J7571">
        <v>52.792000000000002</v>
      </c>
      <c r="K7571">
        <v>1</v>
      </c>
      <c r="L7571">
        <v>0.2</v>
      </c>
      <c r="M7571">
        <v>4.6193</v>
      </c>
    </row>
    <row r="7572" spans="1:13" x14ac:dyDescent="0.3">
      <c r="A7572" t="s">
        <v>62</v>
      </c>
      <c r="B7572" t="s">
        <v>44</v>
      </c>
      <c r="C7572" t="s">
        <v>15</v>
      </c>
      <c r="D7572" t="s">
        <v>238</v>
      </c>
      <c r="E7572" t="s">
        <v>54</v>
      </c>
      <c r="F7572">
        <v>68104</v>
      </c>
      <c r="G7572" t="s">
        <v>47</v>
      </c>
      <c r="H7572" t="s">
        <v>19</v>
      </c>
      <c r="I7572" t="s">
        <v>21</v>
      </c>
      <c r="J7572">
        <v>563.94000000000005</v>
      </c>
      <c r="K7572">
        <v>3</v>
      </c>
      <c r="L7572">
        <v>0</v>
      </c>
      <c r="M7572">
        <v>112.788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38</v>
      </c>
      <c r="J7573">
        <v>2625.12</v>
      </c>
      <c r="K7573">
        <v>8</v>
      </c>
      <c r="L7573">
        <v>0</v>
      </c>
      <c r="M7573">
        <v>735.03359999999998</v>
      </c>
    </row>
    <row r="7574" spans="1:13" x14ac:dyDescent="0.3">
      <c r="A7574" t="s">
        <v>13</v>
      </c>
      <c r="B7574" t="s">
        <v>14</v>
      </c>
      <c r="C7574" t="s">
        <v>15</v>
      </c>
      <c r="D7574" t="s">
        <v>147</v>
      </c>
      <c r="E7574" t="s">
        <v>132</v>
      </c>
      <c r="F7574">
        <v>7960</v>
      </c>
      <c r="G7574" t="s">
        <v>57</v>
      </c>
      <c r="H7574" t="s">
        <v>26</v>
      </c>
      <c r="I7574" t="s">
        <v>34</v>
      </c>
      <c r="J7574">
        <v>17.940000000000001</v>
      </c>
      <c r="K7574">
        <v>3</v>
      </c>
      <c r="L7574">
        <v>0</v>
      </c>
      <c r="M7574">
        <v>4.4850000000000003</v>
      </c>
    </row>
    <row r="7575" spans="1:13" x14ac:dyDescent="0.3">
      <c r="A7575" t="s">
        <v>62</v>
      </c>
      <c r="B7575" t="s">
        <v>14</v>
      </c>
      <c r="C7575" t="s">
        <v>15</v>
      </c>
      <c r="D7575" t="s">
        <v>55</v>
      </c>
      <c r="E7575" t="s">
        <v>56</v>
      </c>
      <c r="F7575">
        <v>19143</v>
      </c>
      <c r="G7575" t="s">
        <v>57</v>
      </c>
      <c r="H7575" t="s">
        <v>26</v>
      </c>
      <c r="I7575" t="s">
        <v>32</v>
      </c>
      <c r="J7575">
        <v>422.85599999999999</v>
      </c>
      <c r="K7575">
        <v>3</v>
      </c>
      <c r="L7575">
        <v>0.2</v>
      </c>
      <c r="M7575">
        <v>15.857100000000001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75</v>
      </c>
      <c r="E7576" t="s">
        <v>76</v>
      </c>
      <c r="F7576">
        <v>10024</v>
      </c>
      <c r="G7576" t="s">
        <v>57</v>
      </c>
      <c r="H7576" t="s">
        <v>19</v>
      </c>
      <c r="I7576" t="s">
        <v>21</v>
      </c>
      <c r="J7576">
        <v>127.764</v>
      </c>
      <c r="K7576">
        <v>2</v>
      </c>
      <c r="L7576">
        <v>0.1</v>
      </c>
      <c r="M7576">
        <v>2.8391999999999999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35</v>
      </c>
      <c r="I7577" t="s">
        <v>36</v>
      </c>
      <c r="J7577">
        <v>3499.93</v>
      </c>
      <c r="K7577">
        <v>7</v>
      </c>
      <c r="L7577">
        <v>0</v>
      </c>
      <c r="M7577">
        <v>909.98180000000002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27</v>
      </c>
      <c r="J7578">
        <v>14.4</v>
      </c>
      <c r="K7578">
        <v>5</v>
      </c>
      <c r="L7578">
        <v>0</v>
      </c>
      <c r="M7578">
        <v>6.6239999999999997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41</v>
      </c>
      <c r="J7579">
        <v>122.97</v>
      </c>
      <c r="K7579">
        <v>3</v>
      </c>
      <c r="L7579">
        <v>0</v>
      </c>
      <c r="M7579">
        <v>60.255299999999998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34</v>
      </c>
      <c r="J7580">
        <v>9.32</v>
      </c>
      <c r="K7580">
        <v>4</v>
      </c>
      <c r="L7580">
        <v>0</v>
      </c>
      <c r="M7580">
        <v>2.7027999999999999</v>
      </c>
    </row>
    <row r="7581" spans="1:13" x14ac:dyDescent="0.3">
      <c r="A7581" t="s">
        <v>28</v>
      </c>
      <c r="B7581" t="s">
        <v>22</v>
      </c>
      <c r="C7581" t="s">
        <v>15</v>
      </c>
      <c r="D7581" t="s">
        <v>82</v>
      </c>
      <c r="E7581" t="s">
        <v>83</v>
      </c>
      <c r="F7581">
        <v>22153</v>
      </c>
      <c r="G7581" t="s">
        <v>18</v>
      </c>
      <c r="H7581" t="s">
        <v>26</v>
      </c>
      <c r="I7581" t="s">
        <v>37</v>
      </c>
      <c r="J7581">
        <v>122.94</v>
      </c>
      <c r="K7581">
        <v>3</v>
      </c>
      <c r="L7581">
        <v>0</v>
      </c>
      <c r="M7581">
        <v>59.011200000000002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109</v>
      </c>
      <c r="E7582" t="s">
        <v>24</v>
      </c>
      <c r="F7582">
        <v>95661</v>
      </c>
      <c r="G7582" t="s">
        <v>25</v>
      </c>
      <c r="H7582" t="s">
        <v>19</v>
      </c>
      <c r="I7582" t="s">
        <v>33</v>
      </c>
      <c r="J7582">
        <v>17.309999999999999</v>
      </c>
      <c r="K7582">
        <v>3</v>
      </c>
      <c r="L7582">
        <v>0</v>
      </c>
      <c r="M7582">
        <v>5.1929999999999996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264</v>
      </c>
      <c r="E7583" t="s">
        <v>65</v>
      </c>
      <c r="F7583">
        <v>61107</v>
      </c>
      <c r="G7583" t="s">
        <v>47</v>
      </c>
      <c r="H7583" t="s">
        <v>26</v>
      </c>
      <c r="I7583" t="s">
        <v>34</v>
      </c>
      <c r="J7583">
        <v>128.744</v>
      </c>
      <c r="K7583">
        <v>7</v>
      </c>
      <c r="L7583">
        <v>0.2</v>
      </c>
      <c r="M7583">
        <v>12.8744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33</v>
      </c>
      <c r="J7584">
        <v>58.247999999999998</v>
      </c>
      <c r="K7584">
        <v>9</v>
      </c>
      <c r="L7584">
        <v>0.2</v>
      </c>
      <c r="M7584">
        <v>11.6496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19</v>
      </c>
      <c r="I7585" t="s">
        <v>21</v>
      </c>
      <c r="J7585">
        <v>71.245999999999995</v>
      </c>
      <c r="K7585">
        <v>2</v>
      </c>
      <c r="L7585">
        <v>0.3</v>
      </c>
      <c r="M7585">
        <v>-19.338200000000001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26</v>
      </c>
      <c r="I7586" t="s">
        <v>34</v>
      </c>
      <c r="J7586">
        <v>7.8719999999999999</v>
      </c>
      <c r="K7586">
        <v>3</v>
      </c>
      <c r="L7586">
        <v>0.2</v>
      </c>
      <c r="M7586">
        <v>0.59040000000000004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55</v>
      </c>
      <c r="E7587" t="s">
        <v>56</v>
      </c>
      <c r="F7587">
        <v>19134</v>
      </c>
      <c r="G7587" t="s">
        <v>57</v>
      </c>
      <c r="H7587" t="s">
        <v>19</v>
      </c>
      <c r="I7587" t="s">
        <v>21</v>
      </c>
      <c r="J7587">
        <v>887.27099999999996</v>
      </c>
      <c r="K7587">
        <v>3</v>
      </c>
      <c r="L7587">
        <v>0.3</v>
      </c>
      <c r="M7587">
        <v>-63.3765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146.86000000000001</v>
      </c>
      <c r="K7588">
        <v>7</v>
      </c>
      <c r="L7588">
        <v>0</v>
      </c>
      <c r="M7588">
        <v>70.492800000000003</v>
      </c>
    </row>
    <row r="7589" spans="1:13" x14ac:dyDescent="0.3">
      <c r="A7589" t="s">
        <v>28</v>
      </c>
      <c r="B7589" t="s">
        <v>14</v>
      </c>
      <c r="C7589" t="s">
        <v>15</v>
      </c>
      <c r="D7589" t="s">
        <v>140</v>
      </c>
      <c r="E7589" t="s">
        <v>70</v>
      </c>
      <c r="F7589">
        <v>48234</v>
      </c>
      <c r="G7589" t="s">
        <v>47</v>
      </c>
      <c r="H7589" t="s">
        <v>26</v>
      </c>
      <c r="I7589" t="s">
        <v>37</v>
      </c>
      <c r="J7589">
        <v>36.56</v>
      </c>
      <c r="K7589">
        <v>4</v>
      </c>
      <c r="L7589">
        <v>0</v>
      </c>
      <c r="M7589">
        <v>18.28</v>
      </c>
    </row>
    <row r="7590" spans="1:13" x14ac:dyDescent="0.3">
      <c r="A7590" t="s">
        <v>28</v>
      </c>
      <c r="B7590" t="s">
        <v>22</v>
      </c>
      <c r="C7590" t="s">
        <v>15</v>
      </c>
      <c r="D7590" t="s">
        <v>23</v>
      </c>
      <c r="E7590" t="s">
        <v>24</v>
      </c>
      <c r="F7590">
        <v>90004</v>
      </c>
      <c r="G7590" t="s">
        <v>25</v>
      </c>
      <c r="H7590" t="s">
        <v>35</v>
      </c>
      <c r="I7590" t="s">
        <v>36</v>
      </c>
      <c r="J7590">
        <v>225.57599999999999</v>
      </c>
      <c r="K7590">
        <v>3</v>
      </c>
      <c r="L7590">
        <v>0.2</v>
      </c>
      <c r="M7590">
        <v>22.557600000000001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5.2480000000000002</v>
      </c>
      <c r="K7591">
        <v>2</v>
      </c>
      <c r="L7591">
        <v>0.2</v>
      </c>
      <c r="M7591">
        <v>0.4592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34</v>
      </c>
      <c r="J7592">
        <v>38.256</v>
      </c>
      <c r="K7592">
        <v>3</v>
      </c>
      <c r="L7592">
        <v>0.2</v>
      </c>
      <c r="M7592">
        <v>4.782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26</v>
      </c>
      <c r="I7593" t="s">
        <v>41</v>
      </c>
      <c r="J7593">
        <v>40.24</v>
      </c>
      <c r="K7593">
        <v>5</v>
      </c>
      <c r="L7593">
        <v>0.2</v>
      </c>
      <c r="M7593">
        <v>13.077999999999999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35</v>
      </c>
      <c r="I7594" t="s">
        <v>123</v>
      </c>
      <c r="J7594">
        <v>29.925000000000001</v>
      </c>
      <c r="K7594">
        <v>5</v>
      </c>
      <c r="L7594">
        <v>0.7</v>
      </c>
      <c r="M7594">
        <v>-21.945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26</v>
      </c>
      <c r="I7595" t="s">
        <v>41</v>
      </c>
      <c r="J7595">
        <v>148.70400000000001</v>
      </c>
      <c r="K7595">
        <v>6</v>
      </c>
      <c r="L7595">
        <v>0.2</v>
      </c>
      <c r="M7595">
        <v>46.47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82</v>
      </c>
      <c r="E7596" t="s">
        <v>95</v>
      </c>
      <c r="F7596">
        <v>97477</v>
      </c>
      <c r="G7596" t="s">
        <v>25</v>
      </c>
      <c r="H7596" t="s">
        <v>35</v>
      </c>
      <c r="I7596" t="s">
        <v>59</v>
      </c>
      <c r="J7596">
        <v>55.92</v>
      </c>
      <c r="K7596">
        <v>10</v>
      </c>
      <c r="L7596">
        <v>0.2</v>
      </c>
      <c r="M7596">
        <v>16.776</v>
      </c>
    </row>
    <row r="7597" spans="1:13" x14ac:dyDescent="0.3">
      <c r="A7597" t="s">
        <v>28</v>
      </c>
      <c r="B7597" t="s">
        <v>22</v>
      </c>
      <c r="C7597" t="s">
        <v>15</v>
      </c>
      <c r="D7597" t="s">
        <v>290</v>
      </c>
      <c r="E7597" t="s">
        <v>179</v>
      </c>
      <c r="F7597">
        <v>2908</v>
      </c>
      <c r="G7597" t="s">
        <v>57</v>
      </c>
      <c r="H7597" t="s">
        <v>26</v>
      </c>
      <c r="I7597" t="s">
        <v>41</v>
      </c>
      <c r="J7597">
        <v>12.96</v>
      </c>
      <c r="K7597">
        <v>2</v>
      </c>
      <c r="L7597">
        <v>0</v>
      </c>
      <c r="M7597">
        <v>6.2207999999999997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25.175999999999998</v>
      </c>
      <c r="K7598">
        <v>3</v>
      </c>
      <c r="L7598">
        <v>0.6</v>
      </c>
      <c r="M7598">
        <v>-33.358199999999997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19</v>
      </c>
      <c r="I7599" t="s">
        <v>33</v>
      </c>
      <c r="J7599">
        <v>5.5839999999999996</v>
      </c>
      <c r="K7599">
        <v>2</v>
      </c>
      <c r="L7599">
        <v>0.6</v>
      </c>
      <c r="M7599">
        <v>-1.6752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79</v>
      </c>
      <c r="E7600" t="s">
        <v>65</v>
      </c>
      <c r="F7600">
        <v>60623</v>
      </c>
      <c r="G7600" t="s">
        <v>47</v>
      </c>
      <c r="H7600" t="s">
        <v>26</v>
      </c>
      <c r="I7600" t="s">
        <v>32</v>
      </c>
      <c r="J7600">
        <v>1297.3679999999999</v>
      </c>
      <c r="K7600">
        <v>9</v>
      </c>
      <c r="L7600">
        <v>0.2</v>
      </c>
      <c r="M7600">
        <v>97.302599999999998</v>
      </c>
    </row>
    <row r="7601" spans="1:13" x14ac:dyDescent="0.3">
      <c r="A7601" t="s">
        <v>62</v>
      </c>
      <c r="B7601" t="s">
        <v>14</v>
      </c>
      <c r="C7601" t="s">
        <v>15</v>
      </c>
      <c r="D7601" t="s">
        <v>135</v>
      </c>
      <c r="E7601" t="s">
        <v>46</v>
      </c>
      <c r="F7601">
        <v>75220</v>
      </c>
      <c r="G7601" t="s">
        <v>47</v>
      </c>
      <c r="H7601" t="s">
        <v>26</v>
      </c>
      <c r="I7601" t="s">
        <v>32</v>
      </c>
      <c r="J7601">
        <v>264.32</v>
      </c>
      <c r="K7601">
        <v>2</v>
      </c>
      <c r="L7601">
        <v>0.2</v>
      </c>
      <c r="M7601">
        <v>19.824000000000002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52</v>
      </c>
      <c r="E7602" t="s">
        <v>24</v>
      </c>
      <c r="F7602">
        <v>94122</v>
      </c>
      <c r="G7602" t="s">
        <v>25</v>
      </c>
      <c r="H7602" t="s">
        <v>26</v>
      </c>
      <c r="I7602" t="s">
        <v>34</v>
      </c>
      <c r="J7602">
        <v>22.96</v>
      </c>
      <c r="K7602">
        <v>7</v>
      </c>
      <c r="L7602">
        <v>0</v>
      </c>
      <c r="M7602">
        <v>6.6584000000000003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520</v>
      </c>
      <c r="E7603" t="s">
        <v>24</v>
      </c>
      <c r="F7603">
        <v>92553</v>
      </c>
      <c r="G7603" t="s">
        <v>25</v>
      </c>
      <c r="H7603" t="s">
        <v>26</v>
      </c>
      <c r="I7603" t="s">
        <v>41</v>
      </c>
      <c r="J7603">
        <v>19.440000000000001</v>
      </c>
      <c r="K7603">
        <v>3</v>
      </c>
      <c r="L7603">
        <v>0</v>
      </c>
      <c r="M7603">
        <v>9.3312000000000008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41</v>
      </c>
      <c r="J7604">
        <v>9.5399999999999991</v>
      </c>
      <c r="K7604">
        <v>2</v>
      </c>
      <c r="L7604">
        <v>0</v>
      </c>
      <c r="M7604">
        <v>4.2930000000000001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77</v>
      </c>
      <c r="J7605">
        <v>5.81</v>
      </c>
      <c r="K7605">
        <v>1</v>
      </c>
      <c r="L7605">
        <v>0</v>
      </c>
      <c r="M7605">
        <v>1.8010999999999999</v>
      </c>
    </row>
    <row r="7606" spans="1:13" x14ac:dyDescent="0.3">
      <c r="A7606" t="s">
        <v>62</v>
      </c>
      <c r="B7606" t="s">
        <v>14</v>
      </c>
      <c r="C7606" t="s">
        <v>15</v>
      </c>
      <c r="D7606" t="s">
        <v>587</v>
      </c>
      <c r="E7606" t="s">
        <v>336</v>
      </c>
      <c r="F7606">
        <v>67846</v>
      </c>
      <c r="G7606" t="s">
        <v>47</v>
      </c>
      <c r="H7606" t="s">
        <v>26</v>
      </c>
      <c r="I7606" t="s">
        <v>34</v>
      </c>
      <c r="J7606">
        <v>5.76</v>
      </c>
      <c r="K7606">
        <v>2</v>
      </c>
      <c r="L7606">
        <v>0</v>
      </c>
      <c r="M7606">
        <v>1.728</v>
      </c>
    </row>
    <row r="7607" spans="1:13" x14ac:dyDescent="0.3">
      <c r="A7607" t="s">
        <v>13</v>
      </c>
      <c r="B7607" t="s">
        <v>14</v>
      </c>
      <c r="C7607" t="s">
        <v>15</v>
      </c>
      <c r="D7607" t="s">
        <v>75</v>
      </c>
      <c r="E7607" t="s">
        <v>76</v>
      </c>
      <c r="F7607">
        <v>10035</v>
      </c>
      <c r="G7607" t="s">
        <v>57</v>
      </c>
      <c r="H7607" t="s">
        <v>19</v>
      </c>
      <c r="I7607" t="s">
        <v>33</v>
      </c>
      <c r="J7607">
        <v>14.91</v>
      </c>
      <c r="K7607">
        <v>3</v>
      </c>
      <c r="L7607">
        <v>0</v>
      </c>
      <c r="M7607">
        <v>4.6220999999999997</v>
      </c>
    </row>
    <row r="7608" spans="1:13" x14ac:dyDescent="0.3">
      <c r="A7608" t="s">
        <v>28</v>
      </c>
      <c r="B7608" t="s">
        <v>22</v>
      </c>
      <c r="C7608" t="s">
        <v>15</v>
      </c>
      <c r="D7608" t="s">
        <v>422</v>
      </c>
      <c r="E7608" t="s">
        <v>30</v>
      </c>
      <c r="F7608">
        <v>32839</v>
      </c>
      <c r="G7608" t="s">
        <v>18</v>
      </c>
      <c r="H7608" t="s">
        <v>26</v>
      </c>
      <c r="I7608" t="s">
        <v>37</v>
      </c>
      <c r="J7608">
        <v>6.6420000000000003</v>
      </c>
      <c r="K7608">
        <v>9</v>
      </c>
      <c r="L7608">
        <v>0.7</v>
      </c>
      <c r="M7608">
        <v>-4.4279999999999999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41</v>
      </c>
      <c r="J7609">
        <v>18.54</v>
      </c>
      <c r="K7609">
        <v>2</v>
      </c>
      <c r="L7609">
        <v>0</v>
      </c>
      <c r="M7609">
        <v>8.7138000000000009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317</v>
      </c>
      <c r="E7610" t="s">
        <v>76</v>
      </c>
      <c r="F7610">
        <v>13601</v>
      </c>
      <c r="G7610" t="s">
        <v>57</v>
      </c>
      <c r="H7610" t="s">
        <v>26</v>
      </c>
      <c r="I7610" t="s">
        <v>37</v>
      </c>
      <c r="J7610">
        <v>679.96</v>
      </c>
      <c r="K7610">
        <v>5</v>
      </c>
      <c r="L7610">
        <v>0.2</v>
      </c>
      <c r="M7610">
        <v>220.98699999999999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19</v>
      </c>
      <c r="I7611" t="s">
        <v>31</v>
      </c>
      <c r="J7611">
        <v>189.57599999999999</v>
      </c>
      <c r="K7611">
        <v>1</v>
      </c>
      <c r="L7611">
        <v>0.2</v>
      </c>
      <c r="M7611">
        <v>9.4787999999999997</v>
      </c>
    </row>
    <row r="7612" spans="1:13" x14ac:dyDescent="0.3">
      <c r="A7612" t="s">
        <v>62</v>
      </c>
      <c r="B7612" t="s">
        <v>22</v>
      </c>
      <c r="C7612" t="s">
        <v>15</v>
      </c>
      <c r="D7612" t="s">
        <v>23</v>
      </c>
      <c r="E7612" t="s">
        <v>24</v>
      </c>
      <c r="F7612">
        <v>90032</v>
      </c>
      <c r="G7612" t="s">
        <v>25</v>
      </c>
      <c r="H7612" t="s">
        <v>35</v>
      </c>
      <c r="I7612" t="s">
        <v>36</v>
      </c>
      <c r="J7612">
        <v>71.959999999999994</v>
      </c>
      <c r="K7612">
        <v>5</v>
      </c>
      <c r="L7612">
        <v>0.2</v>
      </c>
      <c r="M7612">
        <v>7.1959999999999997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35</v>
      </c>
      <c r="I7613" t="s">
        <v>36</v>
      </c>
      <c r="J7613">
        <v>539.91999999999996</v>
      </c>
      <c r="K7613">
        <v>5</v>
      </c>
      <c r="L7613">
        <v>0.2</v>
      </c>
      <c r="M7613">
        <v>47.243000000000002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19</v>
      </c>
      <c r="I7614" t="s">
        <v>21</v>
      </c>
      <c r="J7614">
        <v>725.34400000000005</v>
      </c>
      <c r="K7614">
        <v>4</v>
      </c>
      <c r="L7614">
        <v>0.2</v>
      </c>
      <c r="M7614">
        <v>54.400799999999997</v>
      </c>
    </row>
    <row r="7615" spans="1:13" x14ac:dyDescent="0.3">
      <c r="A7615" t="s">
        <v>28</v>
      </c>
      <c r="B7615" t="s">
        <v>14</v>
      </c>
      <c r="C7615" t="s">
        <v>15</v>
      </c>
      <c r="D7615" t="s">
        <v>23</v>
      </c>
      <c r="E7615" t="s">
        <v>24</v>
      </c>
      <c r="F7615">
        <v>90004</v>
      </c>
      <c r="G7615" t="s">
        <v>25</v>
      </c>
      <c r="H7615" t="s">
        <v>26</v>
      </c>
      <c r="I7615" t="s">
        <v>34</v>
      </c>
      <c r="J7615">
        <v>7.44</v>
      </c>
      <c r="K7615">
        <v>3</v>
      </c>
      <c r="L7615">
        <v>0</v>
      </c>
      <c r="M7615">
        <v>2.6040000000000001</v>
      </c>
    </row>
    <row r="7616" spans="1:13" x14ac:dyDescent="0.3">
      <c r="A7616" t="s">
        <v>28</v>
      </c>
      <c r="B7616" t="s">
        <v>44</v>
      </c>
      <c r="C7616" t="s">
        <v>15</v>
      </c>
      <c r="D7616" t="s">
        <v>114</v>
      </c>
      <c r="E7616" t="s">
        <v>72</v>
      </c>
      <c r="F7616">
        <v>19711</v>
      </c>
      <c r="G7616" t="s">
        <v>57</v>
      </c>
      <c r="H7616" t="s">
        <v>26</v>
      </c>
      <c r="I7616" t="s">
        <v>38</v>
      </c>
      <c r="J7616">
        <v>39.479999999999997</v>
      </c>
      <c r="K7616">
        <v>1</v>
      </c>
      <c r="L7616">
        <v>0</v>
      </c>
      <c r="M7616">
        <v>11.054399999999999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26</v>
      </c>
      <c r="I7617" t="s">
        <v>38</v>
      </c>
      <c r="J7617">
        <v>850.5</v>
      </c>
      <c r="K7617">
        <v>5</v>
      </c>
      <c r="L7617">
        <v>0.1</v>
      </c>
      <c r="M7617">
        <v>245.7</v>
      </c>
    </row>
    <row r="7618" spans="1:13" x14ac:dyDescent="0.3">
      <c r="A7618" t="s">
        <v>13</v>
      </c>
      <c r="B7618" t="s">
        <v>44</v>
      </c>
      <c r="C7618" t="s">
        <v>15</v>
      </c>
      <c r="D7618" t="s">
        <v>140</v>
      </c>
      <c r="E7618" t="s">
        <v>70</v>
      </c>
      <c r="F7618">
        <v>48234</v>
      </c>
      <c r="G7618" t="s">
        <v>47</v>
      </c>
      <c r="H7618" t="s">
        <v>19</v>
      </c>
      <c r="I7618" t="s">
        <v>33</v>
      </c>
      <c r="J7618">
        <v>75.33</v>
      </c>
      <c r="K7618">
        <v>9</v>
      </c>
      <c r="L7618">
        <v>0</v>
      </c>
      <c r="M7618">
        <v>19.585799999999999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26</v>
      </c>
      <c r="I7619" t="s">
        <v>38</v>
      </c>
      <c r="J7619">
        <v>325.63200000000001</v>
      </c>
      <c r="K7619">
        <v>6</v>
      </c>
      <c r="L7619">
        <v>0.2</v>
      </c>
      <c r="M7619">
        <v>28.492799999999999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35</v>
      </c>
      <c r="I7620" t="s">
        <v>59</v>
      </c>
      <c r="J7620">
        <v>23.344000000000001</v>
      </c>
      <c r="K7620">
        <v>2</v>
      </c>
      <c r="L7620">
        <v>0.2</v>
      </c>
      <c r="M7620">
        <v>-1.4590000000000001</v>
      </c>
    </row>
    <row r="7621" spans="1:13" x14ac:dyDescent="0.3">
      <c r="A7621" t="s">
        <v>13</v>
      </c>
      <c r="B7621" t="s">
        <v>22</v>
      </c>
      <c r="C7621" t="s">
        <v>15</v>
      </c>
      <c r="D7621" t="s">
        <v>108</v>
      </c>
      <c r="E7621" t="s">
        <v>81</v>
      </c>
      <c r="F7621">
        <v>85023</v>
      </c>
      <c r="G7621" t="s">
        <v>25</v>
      </c>
      <c r="H7621" t="s">
        <v>26</v>
      </c>
      <c r="I7621" t="s">
        <v>27</v>
      </c>
      <c r="J7621">
        <v>16.52</v>
      </c>
      <c r="K7621">
        <v>5</v>
      </c>
      <c r="L7621">
        <v>0.2</v>
      </c>
      <c r="M7621">
        <v>5.3689999999999998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26</v>
      </c>
      <c r="I7622" t="s">
        <v>60</v>
      </c>
      <c r="J7622">
        <v>335.72</v>
      </c>
      <c r="K7622">
        <v>5</v>
      </c>
      <c r="L7622">
        <v>0.2</v>
      </c>
      <c r="M7622">
        <v>113.30549999999999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35</v>
      </c>
      <c r="I7623" t="s">
        <v>36</v>
      </c>
      <c r="J7623">
        <v>251.94399999999999</v>
      </c>
      <c r="K7623">
        <v>7</v>
      </c>
      <c r="L7623">
        <v>0.2</v>
      </c>
      <c r="M7623">
        <v>88.180400000000006</v>
      </c>
    </row>
    <row r="7624" spans="1:13" x14ac:dyDescent="0.3">
      <c r="A7624" t="s">
        <v>62</v>
      </c>
      <c r="B7624" t="s">
        <v>44</v>
      </c>
      <c r="C7624" t="s">
        <v>15</v>
      </c>
      <c r="D7624" t="s">
        <v>265</v>
      </c>
      <c r="E7624" t="s">
        <v>46</v>
      </c>
      <c r="F7624">
        <v>78521</v>
      </c>
      <c r="G7624" t="s">
        <v>47</v>
      </c>
      <c r="H7624" t="s">
        <v>19</v>
      </c>
      <c r="I7624" t="s">
        <v>21</v>
      </c>
      <c r="J7624">
        <v>127.30200000000001</v>
      </c>
      <c r="K7624">
        <v>7</v>
      </c>
      <c r="L7624">
        <v>0.3</v>
      </c>
      <c r="M7624">
        <v>-9.093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19</v>
      </c>
      <c r="I7625" t="s">
        <v>21</v>
      </c>
      <c r="J7625">
        <v>1207.8399999999999</v>
      </c>
      <c r="K7625">
        <v>8</v>
      </c>
      <c r="L7625">
        <v>0</v>
      </c>
      <c r="M7625">
        <v>314.03840000000002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37</v>
      </c>
      <c r="J7626">
        <v>12.53</v>
      </c>
      <c r="K7626">
        <v>1</v>
      </c>
      <c r="L7626">
        <v>0</v>
      </c>
      <c r="M7626">
        <v>5.8891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26</v>
      </c>
      <c r="I7627" t="s">
        <v>34</v>
      </c>
      <c r="J7627">
        <v>34.58</v>
      </c>
      <c r="K7627">
        <v>1</v>
      </c>
      <c r="L7627">
        <v>0</v>
      </c>
      <c r="M7627">
        <v>10.0282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300.98</v>
      </c>
      <c r="K7628">
        <v>1</v>
      </c>
      <c r="L7628">
        <v>0</v>
      </c>
      <c r="M7628">
        <v>87.284199999999998</v>
      </c>
    </row>
    <row r="7629" spans="1:13" x14ac:dyDescent="0.3">
      <c r="A7629" t="s">
        <v>13</v>
      </c>
      <c r="B7629" t="s">
        <v>14</v>
      </c>
      <c r="C7629" t="s">
        <v>15</v>
      </c>
      <c r="D7629" t="s">
        <v>183</v>
      </c>
      <c r="E7629" t="s">
        <v>17</v>
      </c>
      <c r="F7629">
        <v>40214</v>
      </c>
      <c r="G7629" t="s">
        <v>18</v>
      </c>
      <c r="H7629" t="s">
        <v>19</v>
      </c>
      <c r="I7629" t="s">
        <v>21</v>
      </c>
      <c r="J7629">
        <v>258.75</v>
      </c>
      <c r="K7629">
        <v>3</v>
      </c>
      <c r="L7629">
        <v>0</v>
      </c>
      <c r="M7629">
        <v>77.625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34</v>
      </c>
      <c r="J7630">
        <v>59.52</v>
      </c>
      <c r="K7630">
        <v>3</v>
      </c>
      <c r="L7630">
        <v>0</v>
      </c>
      <c r="M7630">
        <v>15.475199999999999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26</v>
      </c>
      <c r="I7631" t="s">
        <v>60</v>
      </c>
      <c r="J7631">
        <v>57.96</v>
      </c>
      <c r="K7631">
        <v>7</v>
      </c>
      <c r="L7631">
        <v>0</v>
      </c>
      <c r="M7631">
        <v>27.241199999999999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19</v>
      </c>
      <c r="I7632" t="s">
        <v>20</v>
      </c>
      <c r="J7632">
        <v>441.96</v>
      </c>
      <c r="K7632">
        <v>2</v>
      </c>
      <c r="L7632">
        <v>0</v>
      </c>
      <c r="M7632">
        <v>101.6508</v>
      </c>
    </row>
    <row r="7633" spans="1:13" x14ac:dyDescent="0.3">
      <c r="A7633" t="s">
        <v>28</v>
      </c>
      <c r="B7633" t="s">
        <v>22</v>
      </c>
      <c r="C7633" t="s">
        <v>15</v>
      </c>
      <c r="D7633" t="s">
        <v>114</v>
      </c>
      <c r="E7633" t="s">
        <v>72</v>
      </c>
      <c r="F7633">
        <v>19711</v>
      </c>
      <c r="G7633" t="s">
        <v>57</v>
      </c>
      <c r="H7633" t="s">
        <v>26</v>
      </c>
      <c r="I7633" t="s">
        <v>41</v>
      </c>
      <c r="J7633">
        <v>68.040000000000006</v>
      </c>
      <c r="K7633">
        <v>6</v>
      </c>
      <c r="L7633">
        <v>0</v>
      </c>
      <c r="M7633">
        <v>33.339599999999997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35</v>
      </c>
      <c r="I7634" t="s">
        <v>123</v>
      </c>
      <c r="J7634">
        <v>703.71</v>
      </c>
      <c r="K7634">
        <v>6</v>
      </c>
      <c r="L7634">
        <v>0.7</v>
      </c>
      <c r="M7634">
        <v>-938.28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17.904</v>
      </c>
      <c r="K7635">
        <v>4</v>
      </c>
      <c r="L7635">
        <v>0.7</v>
      </c>
      <c r="M7635">
        <v>-14.92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26</v>
      </c>
      <c r="I7636" t="s">
        <v>37</v>
      </c>
      <c r="J7636">
        <v>11.976000000000001</v>
      </c>
      <c r="K7636">
        <v>4</v>
      </c>
      <c r="L7636">
        <v>0.7</v>
      </c>
      <c r="M7636">
        <v>-9.1815999999999995</v>
      </c>
    </row>
    <row r="7637" spans="1:13" x14ac:dyDescent="0.3">
      <c r="A7637" t="s">
        <v>62</v>
      </c>
      <c r="B7637" t="s">
        <v>44</v>
      </c>
      <c r="C7637" t="s">
        <v>15</v>
      </c>
      <c r="D7637" t="s">
        <v>291</v>
      </c>
      <c r="E7637" t="s">
        <v>98</v>
      </c>
      <c r="F7637">
        <v>81001</v>
      </c>
      <c r="G7637" t="s">
        <v>25</v>
      </c>
      <c r="H7637" t="s">
        <v>35</v>
      </c>
      <c r="I7637" t="s">
        <v>59</v>
      </c>
      <c r="J7637">
        <v>67.959999999999994</v>
      </c>
      <c r="K7637">
        <v>5</v>
      </c>
      <c r="L7637">
        <v>0.2</v>
      </c>
      <c r="M7637">
        <v>0.84950000000000003</v>
      </c>
    </row>
    <row r="7638" spans="1:13" x14ac:dyDescent="0.3">
      <c r="A7638" t="s">
        <v>28</v>
      </c>
      <c r="B7638" t="s">
        <v>22</v>
      </c>
      <c r="C7638" t="s">
        <v>15</v>
      </c>
      <c r="D7638" t="s">
        <v>23</v>
      </c>
      <c r="E7638" t="s">
        <v>24</v>
      </c>
      <c r="F7638">
        <v>90036</v>
      </c>
      <c r="G7638" t="s">
        <v>25</v>
      </c>
      <c r="H7638" t="s">
        <v>19</v>
      </c>
      <c r="I7638" t="s">
        <v>21</v>
      </c>
      <c r="J7638">
        <v>892.22400000000005</v>
      </c>
      <c r="K7638">
        <v>3</v>
      </c>
      <c r="L7638">
        <v>0.2</v>
      </c>
      <c r="M7638">
        <v>89.222399999999993</v>
      </c>
    </row>
    <row r="7639" spans="1:13" x14ac:dyDescent="0.3">
      <c r="A7639" t="s">
        <v>28</v>
      </c>
      <c r="B7639" t="s">
        <v>14</v>
      </c>
      <c r="C7639" t="s">
        <v>15</v>
      </c>
      <c r="D7639" t="s">
        <v>287</v>
      </c>
      <c r="E7639" t="s">
        <v>40</v>
      </c>
      <c r="F7639">
        <v>27834</v>
      </c>
      <c r="G7639" t="s">
        <v>18</v>
      </c>
      <c r="H7639" t="s">
        <v>35</v>
      </c>
      <c r="I7639" t="s">
        <v>123</v>
      </c>
      <c r="J7639">
        <v>1299.99</v>
      </c>
      <c r="K7639">
        <v>2</v>
      </c>
      <c r="L7639">
        <v>0.5</v>
      </c>
      <c r="M7639">
        <v>-571.99559999999997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26</v>
      </c>
      <c r="I7640" t="s">
        <v>37</v>
      </c>
      <c r="J7640">
        <v>4.5439999999999996</v>
      </c>
      <c r="K7640">
        <v>2</v>
      </c>
      <c r="L7640">
        <v>0.2</v>
      </c>
      <c r="M7640">
        <v>1.6472</v>
      </c>
    </row>
    <row r="7641" spans="1:13" x14ac:dyDescent="0.3">
      <c r="A7641" t="s">
        <v>62</v>
      </c>
      <c r="B7641" t="s">
        <v>22</v>
      </c>
      <c r="C7641" t="s">
        <v>15</v>
      </c>
      <c r="D7641" t="s">
        <v>52</v>
      </c>
      <c r="E7641" t="s">
        <v>24</v>
      </c>
      <c r="F7641">
        <v>94110</v>
      </c>
      <c r="G7641" t="s">
        <v>25</v>
      </c>
      <c r="H7641" t="s">
        <v>19</v>
      </c>
      <c r="I7641" t="s">
        <v>21</v>
      </c>
      <c r="J7641">
        <v>1352.0319999999999</v>
      </c>
      <c r="K7641">
        <v>4</v>
      </c>
      <c r="L7641">
        <v>0.2</v>
      </c>
      <c r="M7641">
        <v>84.501999999999995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19</v>
      </c>
      <c r="I7642" t="s">
        <v>31</v>
      </c>
      <c r="J7642">
        <v>1548.99</v>
      </c>
      <c r="K7642">
        <v>9</v>
      </c>
      <c r="L7642">
        <v>0.4</v>
      </c>
      <c r="M7642">
        <v>-464.697</v>
      </c>
    </row>
    <row r="7643" spans="1:13" x14ac:dyDescent="0.3">
      <c r="A7643" t="s">
        <v>28</v>
      </c>
      <c r="B7643" t="s">
        <v>22</v>
      </c>
      <c r="C7643" t="s">
        <v>15</v>
      </c>
      <c r="D7643" t="s">
        <v>378</v>
      </c>
      <c r="E7643" t="s">
        <v>104</v>
      </c>
      <c r="F7643">
        <v>43302</v>
      </c>
      <c r="G7643" t="s">
        <v>57</v>
      </c>
      <c r="H7643" t="s">
        <v>26</v>
      </c>
      <c r="I7643" t="s">
        <v>60</v>
      </c>
      <c r="J7643">
        <v>19.872</v>
      </c>
      <c r="K7643">
        <v>3</v>
      </c>
      <c r="L7643">
        <v>0.2</v>
      </c>
      <c r="M7643">
        <v>6.7068000000000003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35</v>
      </c>
      <c r="I7644" t="s">
        <v>59</v>
      </c>
      <c r="J7644">
        <v>119.44799999999999</v>
      </c>
      <c r="K7644">
        <v>3</v>
      </c>
      <c r="L7644">
        <v>0.2</v>
      </c>
      <c r="M7644">
        <v>-13.437900000000001</v>
      </c>
    </row>
    <row r="7645" spans="1:13" x14ac:dyDescent="0.3">
      <c r="A7645" t="s">
        <v>62</v>
      </c>
      <c r="B7645" t="s">
        <v>14</v>
      </c>
      <c r="C7645" t="s">
        <v>15</v>
      </c>
      <c r="D7645" t="s">
        <v>135</v>
      </c>
      <c r="E7645" t="s">
        <v>46</v>
      </c>
      <c r="F7645">
        <v>75081</v>
      </c>
      <c r="G7645" t="s">
        <v>47</v>
      </c>
      <c r="H7645" t="s">
        <v>26</v>
      </c>
      <c r="I7645" t="s">
        <v>32</v>
      </c>
      <c r="J7645">
        <v>118.16</v>
      </c>
      <c r="K7645">
        <v>2</v>
      </c>
      <c r="L7645">
        <v>0.2</v>
      </c>
      <c r="M7645">
        <v>-25.109000000000002</v>
      </c>
    </row>
    <row r="7646" spans="1:13" x14ac:dyDescent="0.3">
      <c r="A7646" t="s">
        <v>28</v>
      </c>
      <c r="B7646" t="s">
        <v>22</v>
      </c>
      <c r="C7646" t="s">
        <v>15</v>
      </c>
      <c r="D7646" t="s">
        <v>195</v>
      </c>
      <c r="E7646" t="s">
        <v>88</v>
      </c>
      <c r="F7646">
        <v>35810</v>
      </c>
      <c r="G7646" t="s">
        <v>18</v>
      </c>
      <c r="H7646" t="s">
        <v>26</v>
      </c>
      <c r="I7646" t="s">
        <v>34</v>
      </c>
      <c r="J7646">
        <v>19.559999999999999</v>
      </c>
      <c r="K7646">
        <v>4</v>
      </c>
      <c r="L7646">
        <v>0</v>
      </c>
      <c r="M7646">
        <v>5.4767999999999999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19</v>
      </c>
      <c r="I7647" t="s">
        <v>33</v>
      </c>
      <c r="J7647">
        <v>80.959999999999994</v>
      </c>
      <c r="K7647">
        <v>4</v>
      </c>
      <c r="L7647">
        <v>0</v>
      </c>
      <c r="M7647">
        <v>29.145600000000002</v>
      </c>
    </row>
    <row r="7648" spans="1:13" x14ac:dyDescent="0.3">
      <c r="A7648" t="s">
        <v>13</v>
      </c>
      <c r="B7648" t="s">
        <v>14</v>
      </c>
      <c r="C7648" t="s">
        <v>15</v>
      </c>
      <c r="D7648" t="s">
        <v>176</v>
      </c>
      <c r="E7648" t="s">
        <v>177</v>
      </c>
      <c r="F7648">
        <v>89115</v>
      </c>
      <c r="G7648" t="s">
        <v>25</v>
      </c>
      <c r="H7648" t="s">
        <v>26</v>
      </c>
      <c r="I7648" t="s">
        <v>41</v>
      </c>
      <c r="J7648">
        <v>25.92</v>
      </c>
      <c r="K7648">
        <v>4</v>
      </c>
      <c r="L7648">
        <v>0</v>
      </c>
      <c r="M7648">
        <v>12.441599999999999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26</v>
      </c>
      <c r="I7649" t="s">
        <v>38</v>
      </c>
      <c r="J7649">
        <v>106.96</v>
      </c>
      <c r="K7649">
        <v>2</v>
      </c>
      <c r="L7649">
        <v>0</v>
      </c>
      <c r="M7649">
        <v>31.0184</v>
      </c>
    </row>
    <row r="7650" spans="1:13" x14ac:dyDescent="0.3">
      <c r="A7650" t="s">
        <v>168</v>
      </c>
      <c r="B7650" t="s">
        <v>44</v>
      </c>
      <c r="C7650" t="s">
        <v>15</v>
      </c>
      <c r="D7650" t="s">
        <v>23</v>
      </c>
      <c r="E7650" t="s">
        <v>24</v>
      </c>
      <c r="F7650">
        <v>90049</v>
      </c>
      <c r="G7650" t="s">
        <v>25</v>
      </c>
      <c r="H7650" t="s">
        <v>19</v>
      </c>
      <c r="I7650" t="s">
        <v>33</v>
      </c>
      <c r="J7650">
        <v>187.76</v>
      </c>
      <c r="K7650">
        <v>4</v>
      </c>
      <c r="L7650">
        <v>0</v>
      </c>
      <c r="M7650">
        <v>76.9816</v>
      </c>
    </row>
    <row r="7651" spans="1:13" x14ac:dyDescent="0.3">
      <c r="A7651" t="s">
        <v>62</v>
      </c>
      <c r="B7651" t="s">
        <v>44</v>
      </c>
      <c r="C7651" t="s">
        <v>15</v>
      </c>
      <c r="D7651" t="s">
        <v>154</v>
      </c>
      <c r="E7651" t="s">
        <v>104</v>
      </c>
      <c r="F7651">
        <v>44107</v>
      </c>
      <c r="G7651" t="s">
        <v>57</v>
      </c>
      <c r="H7651" t="s">
        <v>26</v>
      </c>
      <c r="I7651" t="s">
        <v>37</v>
      </c>
      <c r="J7651">
        <v>76.775999999999996</v>
      </c>
      <c r="K7651">
        <v>4</v>
      </c>
      <c r="L7651">
        <v>0.7</v>
      </c>
      <c r="M7651">
        <v>-53.743200000000002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53</v>
      </c>
      <c r="E7652" t="s">
        <v>54</v>
      </c>
      <c r="F7652">
        <v>68025</v>
      </c>
      <c r="G7652" t="s">
        <v>47</v>
      </c>
      <c r="H7652" t="s">
        <v>26</v>
      </c>
      <c r="I7652" t="s">
        <v>37</v>
      </c>
      <c r="J7652">
        <v>53.9</v>
      </c>
      <c r="K7652">
        <v>5</v>
      </c>
      <c r="L7652">
        <v>0</v>
      </c>
      <c r="M7652">
        <v>25.872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19</v>
      </c>
      <c r="I7653" t="s">
        <v>33</v>
      </c>
      <c r="J7653">
        <v>76.727999999999994</v>
      </c>
      <c r="K7653">
        <v>3</v>
      </c>
      <c r="L7653">
        <v>0.6</v>
      </c>
      <c r="M7653">
        <v>-53.709600000000002</v>
      </c>
    </row>
    <row r="7654" spans="1:13" x14ac:dyDescent="0.3">
      <c r="A7654" t="s">
        <v>28</v>
      </c>
      <c r="B7654" t="s">
        <v>14</v>
      </c>
      <c r="C7654" t="s">
        <v>15</v>
      </c>
      <c r="D7654" t="s">
        <v>195</v>
      </c>
      <c r="E7654" t="s">
        <v>46</v>
      </c>
      <c r="F7654">
        <v>77340</v>
      </c>
      <c r="G7654" t="s">
        <v>47</v>
      </c>
      <c r="H7654" t="s">
        <v>26</v>
      </c>
      <c r="I7654" t="s">
        <v>37</v>
      </c>
      <c r="J7654">
        <v>10.43</v>
      </c>
      <c r="K7654">
        <v>7</v>
      </c>
      <c r="L7654">
        <v>0.8</v>
      </c>
      <c r="M7654">
        <v>-18.252500000000001</v>
      </c>
    </row>
    <row r="7655" spans="1:13" x14ac:dyDescent="0.3">
      <c r="A7655" t="s">
        <v>62</v>
      </c>
      <c r="B7655" t="s">
        <v>14</v>
      </c>
      <c r="C7655" t="s">
        <v>15</v>
      </c>
      <c r="D7655" t="s">
        <v>23</v>
      </c>
      <c r="E7655" t="s">
        <v>24</v>
      </c>
      <c r="F7655">
        <v>90036</v>
      </c>
      <c r="G7655" t="s">
        <v>25</v>
      </c>
      <c r="H7655" t="s">
        <v>26</v>
      </c>
      <c r="I7655" t="s">
        <v>34</v>
      </c>
      <c r="J7655">
        <v>99.2</v>
      </c>
      <c r="K7655">
        <v>5</v>
      </c>
      <c r="L7655">
        <v>0</v>
      </c>
      <c r="M7655">
        <v>25.792000000000002</v>
      </c>
    </row>
    <row r="7656" spans="1:13" x14ac:dyDescent="0.3">
      <c r="A7656" t="s">
        <v>28</v>
      </c>
      <c r="B7656" t="s">
        <v>14</v>
      </c>
      <c r="C7656" t="s">
        <v>15</v>
      </c>
      <c r="D7656" t="s">
        <v>236</v>
      </c>
      <c r="E7656" t="s">
        <v>40</v>
      </c>
      <c r="F7656">
        <v>28806</v>
      </c>
      <c r="G7656" t="s">
        <v>18</v>
      </c>
      <c r="H7656" t="s">
        <v>26</v>
      </c>
      <c r="I7656" t="s">
        <v>34</v>
      </c>
      <c r="J7656">
        <v>15.92</v>
      </c>
      <c r="K7656">
        <v>5</v>
      </c>
      <c r="L7656">
        <v>0.2</v>
      </c>
      <c r="M7656">
        <v>2.786</v>
      </c>
    </row>
    <row r="7657" spans="1:13" x14ac:dyDescent="0.3">
      <c r="A7657" t="s">
        <v>28</v>
      </c>
      <c r="B7657" t="s">
        <v>22</v>
      </c>
      <c r="C7657" t="s">
        <v>15</v>
      </c>
      <c r="D7657" t="s">
        <v>234</v>
      </c>
      <c r="E7657" t="s">
        <v>125</v>
      </c>
      <c r="F7657">
        <v>71111</v>
      </c>
      <c r="G7657" t="s">
        <v>18</v>
      </c>
      <c r="H7657" t="s">
        <v>19</v>
      </c>
      <c r="I7657" t="s">
        <v>33</v>
      </c>
      <c r="J7657">
        <v>129.91999999999999</v>
      </c>
      <c r="K7657">
        <v>4</v>
      </c>
      <c r="L7657">
        <v>0</v>
      </c>
      <c r="M7657">
        <v>10.393599999999999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26</v>
      </c>
      <c r="I7658" t="s">
        <v>37</v>
      </c>
      <c r="J7658">
        <v>30.4</v>
      </c>
      <c r="K7658">
        <v>1</v>
      </c>
      <c r="L7658">
        <v>0</v>
      </c>
      <c r="M7658">
        <v>13.984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35</v>
      </c>
      <c r="I7659" t="s">
        <v>162</v>
      </c>
      <c r="J7659">
        <v>5399.91</v>
      </c>
      <c r="K7659">
        <v>9</v>
      </c>
      <c r="L7659">
        <v>0</v>
      </c>
      <c r="M7659">
        <v>2591.9567999999999</v>
      </c>
    </row>
    <row r="7660" spans="1:13" x14ac:dyDescent="0.3">
      <c r="A7660" t="s">
        <v>28</v>
      </c>
      <c r="B7660" t="s">
        <v>44</v>
      </c>
      <c r="C7660" t="s">
        <v>15</v>
      </c>
      <c r="D7660" t="s">
        <v>290</v>
      </c>
      <c r="E7660" t="s">
        <v>179</v>
      </c>
      <c r="F7660">
        <v>2908</v>
      </c>
      <c r="G7660" t="s">
        <v>57</v>
      </c>
      <c r="H7660" t="s">
        <v>26</v>
      </c>
      <c r="I7660" t="s">
        <v>32</v>
      </c>
      <c r="J7660">
        <v>119.1</v>
      </c>
      <c r="K7660">
        <v>3</v>
      </c>
      <c r="L7660">
        <v>0</v>
      </c>
      <c r="M7660">
        <v>34.539000000000001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40.08</v>
      </c>
      <c r="K7661">
        <v>6</v>
      </c>
      <c r="L7661">
        <v>0</v>
      </c>
      <c r="M7661">
        <v>19.238399999999999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26</v>
      </c>
      <c r="I7662" t="s">
        <v>41</v>
      </c>
      <c r="J7662">
        <v>59.94</v>
      </c>
      <c r="K7662">
        <v>3</v>
      </c>
      <c r="L7662">
        <v>0</v>
      </c>
      <c r="M7662">
        <v>28.171800000000001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35</v>
      </c>
      <c r="I7663" t="s">
        <v>59</v>
      </c>
      <c r="J7663">
        <v>259.98</v>
      </c>
      <c r="K7663">
        <v>2</v>
      </c>
      <c r="L7663">
        <v>0</v>
      </c>
      <c r="M7663">
        <v>88.393199999999993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20</v>
      </c>
      <c r="J7664">
        <v>170.98</v>
      </c>
      <c r="K7664">
        <v>1</v>
      </c>
      <c r="L7664">
        <v>0</v>
      </c>
      <c r="M7664">
        <v>32.486199999999997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19</v>
      </c>
      <c r="I7665" t="s">
        <v>33</v>
      </c>
      <c r="J7665">
        <v>38.97</v>
      </c>
      <c r="K7665">
        <v>3</v>
      </c>
      <c r="L7665">
        <v>0</v>
      </c>
      <c r="M7665">
        <v>4.6764000000000001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26</v>
      </c>
      <c r="I7666" t="s">
        <v>41</v>
      </c>
      <c r="J7666">
        <v>154.9</v>
      </c>
      <c r="K7666">
        <v>5</v>
      </c>
      <c r="L7666">
        <v>0</v>
      </c>
      <c r="M7666">
        <v>69.704999999999998</v>
      </c>
    </row>
    <row r="7667" spans="1:13" x14ac:dyDescent="0.3">
      <c r="A7667" t="s">
        <v>13</v>
      </c>
      <c r="B7667" t="s">
        <v>44</v>
      </c>
      <c r="C7667" t="s">
        <v>15</v>
      </c>
      <c r="D7667" t="s">
        <v>316</v>
      </c>
      <c r="E7667" t="s">
        <v>166</v>
      </c>
      <c r="F7667">
        <v>2149</v>
      </c>
      <c r="G7667" t="s">
        <v>57</v>
      </c>
      <c r="H7667" t="s">
        <v>19</v>
      </c>
      <c r="I7667" t="s">
        <v>31</v>
      </c>
      <c r="J7667">
        <v>446.06799999999998</v>
      </c>
      <c r="K7667">
        <v>4</v>
      </c>
      <c r="L7667">
        <v>0.3</v>
      </c>
      <c r="M7667">
        <v>0</v>
      </c>
    </row>
    <row r="7668" spans="1:13" x14ac:dyDescent="0.3">
      <c r="A7668" t="s">
        <v>13</v>
      </c>
      <c r="B7668" t="s">
        <v>14</v>
      </c>
      <c r="C7668" t="s">
        <v>15</v>
      </c>
      <c r="D7668" t="s">
        <v>363</v>
      </c>
      <c r="E7668" t="s">
        <v>24</v>
      </c>
      <c r="F7668">
        <v>91730</v>
      </c>
      <c r="G7668" t="s">
        <v>25</v>
      </c>
      <c r="H7668" t="s">
        <v>26</v>
      </c>
      <c r="I7668" t="s">
        <v>38</v>
      </c>
      <c r="J7668">
        <v>152.94</v>
      </c>
      <c r="K7668">
        <v>3</v>
      </c>
      <c r="L7668">
        <v>0</v>
      </c>
      <c r="M7668">
        <v>41.293799999999997</v>
      </c>
    </row>
    <row r="7669" spans="1:13" x14ac:dyDescent="0.3">
      <c r="A7669" t="s">
        <v>168</v>
      </c>
      <c r="B7669" t="s">
        <v>14</v>
      </c>
      <c r="C7669" t="s">
        <v>15</v>
      </c>
      <c r="D7669" t="s">
        <v>99</v>
      </c>
      <c r="E7669" t="s">
        <v>40</v>
      </c>
      <c r="F7669">
        <v>28205</v>
      </c>
      <c r="G7669" t="s">
        <v>18</v>
      </c>
      <c r="H7669" t="s">
        <v>35</v>
      </c>
      <c r="I7669" t="s">
        <v>59</v>
      </c>
      <c r="J7669">
        <v>23.472000000000001</v>
      </c>
      <c r="K7669">
        <v>3</v>
      </c>
      <c r="L7669">
        <v>0.2</v>
      </c>
      <c r="M7669">
        <v>4.9878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195.64</v>
      </c>
      <c r="K7670">
        <v>4</v>
      </c>
      <c r="L7670">
        <v>0</v>
      </c>
      <c r="M7670">
        <v>91.950800000000001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26</v>
      </c>
      <c r="I7671" t="s">
        <v>41</v>
      </c>
      <c r="J7671">
        <v>14.94</v>
      </c>
      <c r="K7671">
        <v>3</v>
      </c>
      <c r="L7671">
        <v>0</v>
      </c>
      <c r="M7671">
        <v>7.0217999999999998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35</v>
      </c>
      <c r="I7672" t="s">
        <v>59</v>
      </c>
      <c r="J7672">
        <v>1687.8</v>
      </c>
      <c r="K7672">
        <v>4</v>
      </c>
      <c r="L7672">
        <v>0</v>
      </c>
      <c r="M7672">
        <v>742.63199999999995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20</v>
      </c>
      <c r="J7673">
        <v>341.96</v>
      </c>
      <c r="K7673">
        <v>2</v>
      </c>
      <c r="L7673">
        <v>0</v>
      </c>
      <c r="M7673">
        <v>78.650800000000004</v>
      </c>
    </row>
    <row r="7674" spans="1:13" x14ac:dyDescent="0.3">
      <c r="A7674" t="s">
        <v>28</v>
      </c>
      <c r="B7674" t="s">
        <v>44</v>
      </c>
      <c r="C7674" t="s">
        <v>15</v>
      </c>
      <c r="D7674" t="s">
        <v>290</v>
      </c>
      <c r="E7674" t="s">
        <v>179</v>
      </c>
      <c r="F7674">
        <v>2908</v>
      </c>
      <c r="G7674" t="s">
        <v>57</v>
      </c>
      <c r="H7674" t="s">
        <v>19</v>
      </c>
      <c r="I7674" t="s">
        <v>21</v>
      </c>
      <c r="J7674">
        <v>605.88</v>
      </c>
      <c r="K7674">
        <v>6</v>
      </c>
      <c r="L7674">
        <v>0</v>
      </c>
      <c r="M7674">
        <v>151.47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38</v>
      </c>
      <c r="J7675">
        <v>186.732</v>
      </c>
      <c r="K7675">
        <v>1</v>
      </c>
      <c r="L7675">
        <v>0.1</v>
      </c>
      <c r="M7675">
        <v>41.496000000000002</v>
      </c>
    </row>
    <row r="7676" spans="1:13" x14ac:dyDescent="0.3">
      <c r="A7676" t="s">
        <v>62</v>
      </c>
      <c r="B7676" t="s">
        <v>44</v>
      </c>
      <c r="C7676" t="s">
        <v>15</v>
      </c>
      <c r="D7676" t="s">
        <v>385</v>
      </c>
      <c r="E7676" t="s">
        <v>70</v>
      </c>
      <c r="F7676">
        <v>48640</v>
      </c>
      <c r="G7676" t="s">
        <v>47</v>
      </c>
      <c r="H7676" t="s">
        <v>26</v>
      </c>
      <c r="I7676" t="s">
        <v>37</v>
      </c>
      <c r="J7676">
        <v>3812.97</v>
      </c>
      <c r="K7676">
        <v>3</v>
      </c>
      <c r="L7676">
        <v>0</v>
      </c>
      <c r="M7676">
        <v>1906.4849999999999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26</v>
      </c>
      <c r="I7677" t="s">
        <v>37</v>
      </c>
      <c r="J7677">
        <v>26.423999999999999</v>
      </c>
      <c r="K7677">
        <v>9</v>
      </c>
      <c r="L7677">
        <v>0.2</v>
      </c>
      <c r="M7677">
        <v>9.5786999999999995</v>
      </c>
    </row>
    <row r="7678" spans="1:13" x14ac:dyDescent="0.3">
      <c r="A7678" t="s">
        <v>28</v>
      </c>
      <c r="B7678" t="s">
        <v>14</v>
      </c>
      <c r="C7678" t="s">
        <v>15</v>
      </c>
      <c r="D7678" t="s">
        <v>92</v>
      </c>
      <c r="E7678" t="s">
        <v>76</v>
      </c>
      <c r="F7678">
        <v>14609</v>
      </c>
      <c r="G7678" t="s">
        <v>57</v>
      </c>
      <c r="H7678" t="s">
        <v>35</v>
      </c>
      <c r="I7678" t="s">
        <v>36</v>
      </c>
      <c r="J7678">
        <v>625.99</v>
      </c>
      <c r="K7678">
        <v>1</v>
      </c>
      <c r="L7678">
        <v>0</v>
      </c>
      <c r="M7678">
        <v>187.797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19</v>
      </c>
      <c r="I7679" t="s">
        <v>31</v>
      </c>
      <c r="J7679">
        <v>1568.61</v>
      </c>
      <c r="K7679">
        <v>9</v>
      </c>
      <c r="L7679">
        <v>0</v>
      </c>
      <c r="M7679">
        <v>329.40809999999999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26</v>
      </c>
      <c r="I7680" t="s">
        <v>37</v>
      </c>
      <c r="J7680">
        <v>17.3</v>
      </c>
      <c r="K7680">
        <v>1</v>
      </c>
      <c r="L7680">
        <v>0</v>
      </c>
      <c r="M7680">
        <v>8.3040000000000003</v>
      </c>
    </row>
    <row r="7681" spans="1:13" x14ac:dyDescent="0.3">
      <c r="A7681" t="s">
        <v>28</v>
      </c>
      <c r="B7681" t="s">
        <v>22</v>
      </c>
      <c r="C7681" t="s">
        <v>15</v>
      </c>
      <c r="D7681" t="s">
        <v>84</v>
      </c>
      <c r="E7681" t="s">
        <v>70</v>
      </c>
      <c r="F7681">
        <v>49201</v>
      </c>
      <c r="G7681" t="s">
        <v>47</v>
      </c>
      <c r="H7681" t="s">
        <v>35</v>
      </c>
      <c r="I7681" t="s">
        <v>59</v>
      </c>
      <c r="J7681">
        <v>160</v>
      </c>
      <c r="K7681">
        <v>8</v>
      </c>
      <c r="L7681">
        <v>0</v>
      </c>
      <c r="M7681">
        <v>62.4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26</v>
      </c>
      <c r="I7682" t="s">
        <v>38</v>
      </c>
      <c r="J7682">
        <v>179.94</v>
      </c>
      <c r="K7682">
        <v>3</v>
      </c>
      <c r="L7682">
        <v>0</v>
      </c>
      <c r="M7682">
        <v>50.383200000000002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19</v>
      </c>
      <c r="I7683" t="s">
        <v>31</v>
      </c>
      <c r="J7683">
        <v>872.94</v>
      </c>
      <c r="K7683">
        <v>3</v>
      </c>
      <c r="L7683">
        <v>0</v>
      </c>
      <c r="M7683">
        <v>157.1292</v>
      </c>
    </row>
    <row r="7684" spans="1:13" x14ac:dyDescent="0.3">
      <c r="A7684" t="s">
        <v>62</v>
      </c>
      <c r="B7684" t="s">
        <v>22</v>
      </c>
      <c r="C7684" t="s">
        <v>15</v>
      </c>
      <c r="D7684" t="s">
        <v>329</v>
      </c>
      <c r="E7684" t="s">
        <v>83</v>
      </c>
      <c r="F7684">
        <v>23434</v>
      </c>
      <c r="G7684" t="s">
        <v>18</v>
      </c>
      <c r="H7684" t="s">
        <v>26</v>
      </c>
      <c r="I7684" t="s">
        <v>41</v>
      </c>
      <c r="J7684">
        <v>12.96</v>
      </c>
      <c r="K7684">
        <v>2</v>
      </c>
      <c r="L7684">
        <v>0</v>
      </c>
      <c r="M7684">
        <v>6.2207999999999997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26</v>
      </c>
      <c r="I7685" t="s">
        <v>27</v>
      </c>
      <c r="J7685">
        <v>88.8</v>
      </c>
      <c r="K7685">
        <v>6</v>
      </c>
      <c r="L7685">
        <v>0</v>
      </c>
      <c r="M7685">
        <v>44.4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145</v>
      </c>
      <c r="E7686" t="s">
        <v>24</v>
      </c>
      <c r="F7686">
        <v>94513</v>
      </c>
      <c r="G7686" t="s">
        <v>25</v>
      </c>
      <c r="H7686" t="s">
        <v>35</v>
      </c>
      <c r="I7686" t="s">
        <v>36</v>
      </c>
      <c r="J7686">
        <v>319.96800000000002</v>
      </c>
      <c r="K7686">
        <v>4</v>
      </c>
      <c r="L7686">
        <v>0.2</v>
      </c>
      <c r="M7686">
        <v>35.996400000000001</v>
      </c>
    </row>
    <row r="7687" spans="1:13" x14ac:dyDescent="0.3">
      <c r="A7687" t="s">
        <v>168</v>
      </c>
      <c r="B7687" t="s">
        <v>14</v>
      </c>
      <c r="C7687" t="s">
        <v>15</v>
      </c>
      <c r="D7687" t="s">
        <v>42</v>
      </c>
      <c r="E7687" t="s">
        <v>43</v>
      </c>
      <c r="F7687">
        <v>98103</v>
      </c>
      <c r="G7687" t="s">
        <v>25</v>
      </c>
      <c r="H7687" t="s">
        <v>19</v>
      </c>
      <c r="I7687" t="s">
        <v>21</v>
      </c>
      <c r="J7687">
        <v>167.88800000000001</v>
      </c>
      <c r="K7687">
        <v>7</v>
      </c>
      <c r="L7687">
        <v>0.2</v>
      </c>
      <c r="M7687">
        <v>14.690200000000001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41</v>
      </c>
      <c r="J7688">
        <v>163.96</v>
      </c>
      <c r="K7688">
        <v>5</v>
      </c>
      <c r="L7688">
        <v>0.2</v>
      </c>
      <c r="M7688">
        <v>59.435499999999998</v>
      </c>
    </row>
    <row r="7689" spans="1:13" x14ac:dyDescent="0.3">
      <c r="A7689" t="s">
        <v>62</v>
      </c>
      <c r="B7689" t="s">
        <v>44</v>
      </c>
      <c r="C7689" t="s">
        <v>15</v>
      </c>
      <c r="D7689" t="s">
        <v>61</v>
      </c>
      <c r="E7689" t="s">
        <v>46</v>
      </c>
      <c r="F7689">
        <v>77036</v>
      </c>
      <c r="G7689" t="s">
        <v>47</v>
      </c>
      <c r="H7689" t="s">
        <v>26</v>
      </c>
      <c r="I7689" t="s">
        <v>37</v>
      </c>
      <c r="J7689">
        <v>5.2320000000000002</v>
      </c>
      <c r="K7689">
        <v>4</v>
      </c>
      <c r="L7689">
        <v>0.8</v>
      </c>
      <c r="M7689">
        <v>-8.1096000000000004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35</v>
      </c>
      <c r="I7690" t="s">
        <v>162</v>
      </c>
      <c r="J7690">
        <v>1199.98</v>
      </c>
      <c r="K7690">
        <v>2</v>
      </c>
      <c r="L7690">
        <v>0</v>
      </c>
      <c r="M7690">
        <v>467.99220000000003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32</v>
      </c>
      <c r="J7691">
        <v>73.849999999999994</v>
      </c>
      <c r="K7691">
        <v>1</v>
      </c>
      <c r="L7691">
        <v>0</v>
      </c>
      <c r="M7691">
        <v>2.2155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110</v>
      </c>
      <c r="J7692">
        <v>25.71</v>
      </c>
      <c r="K7692">
        <v>3</v>
      </c>
      <c r="L7692">
        <v>0</v>
      </c>
      <c r="M7692">
        <v>6.6845999999999997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26</v>
      </c>
      <c r="I7693" t="s">
        <v>77</v>
      </c>
      <c r="J7693">
        <v>17.28</v>
      </c>
      <c r="K7693">
        <v>6</v>
      </c>
      <c r="L7693">
        <v>0</v>
      </c>
      <c r="M7693">
        <v>8.1216000000000008</v>
      </c>
    </row>
    <row r="7694" spans="1:13" x14ac:dyDescent="0.3">
      <c r="A7694" t="s">
        <v>28</v>
      </c>
      <c r="B7694" t="s">
        <v>44</v>
      </c>
      <c r="C7694" t="s">
        <v>15</v>
      </c>
      <c r="D7694" t="s">
        <v>184</v>
      </c>
      <c r="E7694" t="s">
        <v>166</v>
      </c>
      <c r="F7694">
        <v>1841</v>
      </c>
      <c r="G7694" t="s">
        <v>57</v>
      </c>
      <c r="H7694" t="s">
        <v>19</v>
      </c>
      <c r="I7694" t="s">
        <v>31</v>
      </c>
      <c r="J7694">
        <v>526.58199999999999</v>
      </c>
      <c r="K7694">
        <v>2</v>
      </c>
      <c r="L7694">
        <v>0.3</v>
      </c>
      <c r="M7694">
        <v>-52.658200000000001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26</v>
      </c>
      <c r="I7695" t="s">
        <v>41</v>
      </c>
      <c r="J7695">
        <v>11.56</v>
      </c>
      <c r="K7695">
        <v>2</v>
      </c>
      <c r="L7695">
        <v>0</v>
      </c>
      <c r="M7695">
        <v>5.6643999999999997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35</v>
      </c>
      <c r="I7696" t="s">
        <v>36</v>
      </c>
      <c r="J7696">
        <v>209.97</v>
      </c>
      <c r="K7696">
        <v>3</v>
      </c>
      <c r="L7696">
        <v>0</v>
      </c>
      <c r="M7696">
        <v>58.791600000000003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19</v>
      </c>
      <c r="I7697" t="s">
        <v>31</v>
      </c>
      <c r="J7697">
        <v>447.84</v>
      </c>
      <c r="K7697">
        <v>4</v>
      </c>
      <c r="L7697">
        <v>0</v>
      </c>
      <c r="M7697">
        <v>98.524799999999999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35</v>
      </c>
      <c r="I7698" t="s">
        <v>59</v>
      </c>
      <c r="J7698">
        <v>479.97</v>
      </c>
      <c r="K7698">
        <v>3</v>
      </c>
      <c r="L7698">
        <v>0</v>
      </c>
      <c r="M7698">
        <v>163.18979999999999</v>
      </c>
    </row>
    <row r="7699" spans="1:13" x14ac:dyDescent="0.3">
      <c r="A7699" t="s">
        <v>28</v>
      </c>
      <c r="B7699" t="s">
        <v>14</v>
      </c>
      <c r="C7699" t="s">
        <v>15</v>
      </c>
      <c r="D7699" t="s">
        <v>140</v>
      </c>
      <c r="E7699" t="s">
        <v>70</v>
      </c>
      <c r="F7699">
        <v>48234</v>
      </c>
      <c r="G7699" t="s">
        <v>47</v>
      </c>
      <c r="H7699" t="s">
        <v>26</v>
      </c>
      <c r="I7699" t="s">
        <v>34</v>
      </c>
      <c r="J7699">
        <v>8.64</v>
      </c>
      <c r="K7699">
        <v>3</v>
      </c>
      <c r="L7699">
        <v>0</v>
      </c>
      <c r="M7699">
        <v>2.5055999999999998</v>
      </c>
    </row>
    <row r="7700" spans="1:13" x14ac:dyDescent="0.3">
      <c r="A7700" t="s">
        <v>28</v>
      </c>
      <c r="B7700" t="s">
        <v>22</v>
      </c>
      <c r="C7700" t="s">
        <v>15</v>
      </c>
      <c r="D7700" t="s">
        <v>58</v>
      </c>
      <c r="E7700" t="s">
        <v>51</v>
      </c>
      <c r="F7700">
        <v>84057</v>
      </c>
      <c r="G7700" t="s">
        <v>25</v>
      </c>
      <c r="H7700" t="s">
        <v>26</v>
      </c>
      <c r="I7700" t="s">
        <v>34</v>
      </c>
      <c r="J7700">
        <v>11.68</v>
      </c>
      <c r="K7700">
        <v>2</v>
      </c>
      <c r="L7700">
        <v>0</v>
      </c>
      <c r="M7700">
        <v>4.2047999999999996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35</v>
      </c>
      <c r="I7701" t="s">
        <v>59</v>
      </c>
      <c r="J7701">
        <v>40.776000000000003</v>
      </c>
      <c r="K7701">
        <v>3</v>
      </c>
      <c r="L7701">
        <v>0.2</v>
      </c>
      <c r="M7701">
        <v>0.50970000000000004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55</v>
      </c>
      <c r="E7702" t="s">
        <v>56</v>
      </c>
      <c r="F7702">
        <v>19120</v>
      </c>
      <c r="G7702" t="s">
        <v>57</v>
      </c>
      <c r="H7702" t="s">
        <v>26</v>
      </c>
      <c r="I7702" t="s">
        <v>37</v>
      </c>
      <c r="J7702">
        <v>13.698</v>
      </c>
      <c r="K7702">
        <v>3</v>
      </c>
      <c r="L7702">
        <v>0.7</v>
      </c>
      <c r="M7702">
        <v>-9.5885999999999996</v>
      </c>
    </row>
    <row r="7703" spans="1:13" x14ac:dyDescent="0.3">
      <c r="A7703" t="s">
        <v>28</v>
      </c>
      <c r="B7703" t="s">
        <v>14</v>
      </c>
      <c r="C7703" t="s">
        <v>15</v>
      </c>
      <c r="D7703" t="s">
        <v>206</v>
      </c>
      <c r="E7703" t="s">
        <v>81</v>
      </c>
      <c r="F7703">
        <v>85204</v>
      </c>
      <c r="G7703" t="s">
        <v>25</v>
      </c>
      <c r="H7703" t="s">
        <v>35</v>
      </c>
      <c r="I7703" t="s">
        <v>36</v>
      </c>
      <c r="J7703">
        <v>87.8</v>
      </c>
      <c r="K7703">
        <v>5</v>
      </c>
      <c r="L7703">
        <v>0.2</v>
      </c>
      <c r="M7703">
        <v>32.924999999999997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19</v>
      </c>
      <c r="I7704" t="s">
        <v>33</v>
      </c>
      <c r="J7704">
        <v>77.951999999999998</v>
      </c>
      <c r="K7704">
        <v>3</v>
      </c>
      <c r="L7704">
        <v>0.2</v>
      </c>
      <c r="M7704">
        <v>15.590400000000001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32</v>
      </c>
      <c r="J7705">
        <v>147.184</v>
      </c>
      <c r="K7705">
        <v>2</v>
      </c>
      <c r="L7705">
        <v>0.2</v>
      </c>
      <c r="M7705">
        <v>-29.436800000000002</v>
      </c>
    </row>
    <row r="7706" spans="1:13" x14ac:dyDescent="0.3">
      <c r="A7706" t="s">
        <v>13</v>
      </c>
      <c r="B7706" t="s">
        <v>14</v>
      </c>
      <c r="C7706" t="s">
        <v>15</v>
      </c>
      <c r="D7706" t="s">
        <v>196</v>
      </c>
      <c r="E7706" t="s">
        <v>40</v>
      </c>
      <c r="F7706">
        <v>28314</v>
      </c>
      <c r="G7706" t="s">
        <v>18</v>
      </c>
      <c r="H7706" t="s">
        <v>26</v>
      </c>
      <c r="I7706" t="s">
        <v>41</v>
      </c>
      <c r="J7706">
        <v>47.951999999999998</v>
      </c>
      <c r="K7706">
        <v>3</v>
      </c>
      <c r="L7706">
        <v>0.2</v>
      </c>
      <c r="M7706">
        <v>16.183800000000002</v>
      </c>
    </row>
    <row r="7707" spans="1:13" x14ac:dyDescent="0.3">
      <c r="A7707" t="s">
        <v>62</v>
      </c>
      <c r="B7707" t="s">
        <v>14</v>
      </c>
      <c r="C7707" t="s">
        <v>15</v>
      </c>
      <c r="D7707" t="s">
        <v>23</v>
      </c>
      <c r="E7707" t="s">
        <v>24</v>
      </c>
      <c r="F7707">
        <v>90032</v>
      </c>
      <c r="G7707" t="s">
        <v>25</v>
      </c>
      <c r="H7707" t="s">
        <v>26</v>
      </c>
      <c r="I7707" t="s">
        <v>38</v>
      </c>
      <c r="J7707">
        <v>250.26</v>
      </c>
      <c r="K7707">
        <v>6</v>
      </c>
      <c r="L7707">
        <v>0</v>
      </c>
      <c r="M7707">
        <v>72.575400000000002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55</v>
      </c>
      <c r="E7708" t="s">
        <v>56</v>
      </c>
      <c r="F7708">
        <v>19140</v>
      </c>
      <c r="G7708" t="s">
        <v>57</v>
      </c>
      <c r="H7708" t="s">
        <v>35</v>
      </c>
      <c r="I7708" t="s">
        <v>59</v>
      </c>
      <c r="J7708">
        <v>40.776000000000003</v>
      </c>
      <c r="K7708">
        <v>3</v>
      </c>
      <c r="L7708">
        <v>0.2</v>
      </c>
      <c r="M7708">
        <v>0.50970000000000004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41</v>
      </c>
      <c r="J7709">
        <v>29.6</v>
      </c>
      <c r="K7709">
        <v>5</v>
      </c>
      <c r="L7709">
        <v>0.2</v>
      </c>
      <c r="M7709">
        <v>9.25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151</v>
      </c>
      <c r="E7710" t="s">
        <v>98</v>
      </c>
      <c r="F7710">
        <v>80906</v>
      </c>
      <c r="G7710" t="s">
        <v>25</v>
      </c>
      <c r="H7710" t="s">
        <v>26</v>
      </c>
      <c r="I7710" t="s">
        <v>37</v>
      </c>
      <c r="J7710">
        <v>1.9379999999999999</v>
      </c>
      <c r="K7710">
        <v>2</v>
      </c>
      <c r="L7710">
        <v>0.7</v>
      </c>
      <c r="M7710">
        <v>-1.3566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23</v>
      </c>
      <c r="E7711" t="s">
        <v>24</v>
      </c>
      <c r="F7711">
        <v>90032</v>
      </c>
      <c r="G7711" t="s">
        <v>25</v>
      </c>
      <c r="H7711" t="s">
        <v>35</v>
      </c>
      <c r="I7711" t="s">
        <v>59</v>
      </c>
      <c r="J7711">
        <v>159.96</v>
      </c>
      <c r="K7711">
        <v>4</v>
      </c>
      <c r="L7711">
        <v>0</v>
      </c>
      <c r="M7711">
        <v>51.187199999999997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34</v>
      </c>
      <c r="J7712">
        <v>59.52</v>
      </c>
      <c r="K7712">
        <v>3</v>
      </c>
      <c r="L7712">
        <v>0</v>
      </c>
      <c r="M7712">
        <v>15.475199999999999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60</v>
      </c>
      <c r="J7713">
        <v>17.48</v>
      </c>
      <c r="K7713">
        <v>2</v>
      </c>
      <c r="L7713">
        <v>0</v>
      </c>
      <c r="M7713">
        <v>8.2156000000000002</v>
      </c>
    </row>
    <row r="7714" spans="1:13" x14ac:dyDescent="0.3">
      <c r="A7714" t="s">
        <v>28</v>
      </c>
      <c r="B7714" t="s">
        <v>22</v>
      </c>
      <c r="C7714" t="s">
        <v>15</v>
      </c>
      <c r="D7714" t="s">
        <v>75</v>
      </c>
      <c r="E7714" t="s">
        <v>76</v>
      </c>
      <c r="F7714">
        <v>10009</v>
      </c>
      <c r="G7714" t="s">
        <v>57</v>
      </c>
      <c r="H7714" t="s">
        <v>26</v>
      </c>
      <c r="I7714" t="s">
        <v>37</v>
      </c>
      <c r="J7714">
        <v>13.167999999999999</v>
      </c>
      <c r="K7714">
        <v>2</v>
      </c>
      <c r="L7714">
        <v>0.2</v>
      </c>
      <c r="M7714">
        <v>4.6087999999999996</v>
      </c>
    </row>
    <row r="7715" spans="1:13" x14ac:dyDescent="0.3">
      <c r="A7715" t="s">
        <v>28</v>
      </c>
      <c r="B7715" t="s">
        <v>44</v>
      </c>
      <c r="C7715" t="s">
        <v>15</v>
      </c>
      <c r="D7715" t="s">
        <v>52</v>
      </c>
      <c r="E7715" t="s">
        <v>24</v>
      </c>
      <c r="F7715">
        <v>94109</v>
      </c>
      <c r="G7715" t="s">
        <v>25</v>
      </c>
      <c r="H7715" t="s">
        <v>26</v>
      </c>
      <c r="I7715" t="s">
        <v>38</v>
      </c>
      <c r="J7715">
        <v>40.74</v>
      </c>
      <c r="K7715">
        <v>3</v>
      </c>
      <c r="L7715">
        <v>0</v>
      </c>
      <c r="M7715">
        <v>12.222</v>
      </c>
    </row>
    <row r="7716" spans="1:13" x14ac:dyDescent="0.3">
      <c r="A7716" t="s">
        <v>28</v>
      </c>
      <c r="B7716" t="s">
        <v>22</v>
      </c>
      <c r="C7716" t="s">
        <v>15</v>
      </c>
      <c r="D7716" t="s">
        <v>164</v>
      </c>
      <c r="E7716" t="s">
        <v>46</v>
      </c>
      <c r="F7716">
        <v>78745</v>
      </c>
      <c r="G7716" t="s">
        <v>47</v>
      </c>
      <c r="H7716" t="s">
        <v>19</v>
      </c>
      <c r="I7716" t="s">
        <v>21</v>
      </c>
      <c r="J7716">
        <v>179.886</v>
      </c>
      <c r="K7716">
        <v>1</v>
      </c>
      <c r="L7716">
        <v>0.3</v>
      </c>
      <c r="M7716">
        <v>-2.5697999999999999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38</v>
      </c>
      <c r="J7717">
        <v>286.25599999999997</v>
      </c>
      <c r="K7717">
        <v>1</v>
      </c>
      <c r="L7717">
        <v>0.2</v>
      </c>
      <c r="M7717">
        <v>17.890999999999998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24.224</v>
      </c>
      <c r="K7718">
        <v>2</v>
      </c>
      <c r="L7718">
        <v>0.2</v>
      </c>
      <c r="M7718">
        <v>-4.8448000000000002</v>
      </c>
    </row>
    <row r="7719" spans="1:13" x14ac:dyDescent="0.3">
      <c r="A7719" t="s">
        <v>28</v>
      </c>
      <c r="B7719" t="s">
        <v>14</v>
      </c>
      <c r="C7719" t="s">
        <v>15</v>
      </c>
      <c r="D7719" t="s">
        <v>221</v>
      </c>
      <c r="E7719" t="s">
        <v>104</v>
      </c>
      <c r="F7719">
        <v>44105</v>
      </c>
      <c r="G7719" t="s">
        <v>57</v>
      </c>
      <c r="H7719" t="s">
        <v>26</v>
      </c>
      <c r="I7719" t="s">
        <v>32</v>
      </c>
      <c r="J7719">
        <v>331.536</v>
      </c>
      <c r="K7719">
        <v>3</v>
      </c>
      <c r="L7719">
        <v>0.2</v>
      </c>
      <c r="M7719">
        <v>-82.884</v>
      </c>
    </row>
    <row r="7720" spans="1:13" x14ac:dyDescent="0.3">
      <c r="A7720" t="s">
        <v>13</v>
      </c>
      <c r="B7720" t="s">
        <v>44</v>
      </c>
      <c r="C7720" t="s">
        <v>15</v>
      </c>
      <c r="D7720" t="s">
        <v>75</v>
      </c>
      <c r="E7720" t="s">
        <v>76</v>
      </c>
      <c r="F7720">
        <v>10009</v>
      </c>
      <c r="G7720" t="s">
        <v>57</v>
      </c>
      <c r="H7720" t="s">
        <v>26</v>
      </c>
      <c r="I7720" t="s">
        <v>34</v>
      </c>
      <c r="J7720">
        <v>17.52</v>
      </c>
      <c r="K7720">
        <v>3</v>
      </c>
      <c r="L7720">
        <v>0</v>
      </c>
      <c r="M7720">
        <v>6.3071999999999999</v>
      </c>
    </row>
    <row r="7721" spans="1:13" x14ac:dyDescent="0.3">
      <c r="A7721" t="s">
        <v>28</v>
      </c>
      <c r="B7721" t="s">
        <v>14</v>
      </c>
      <c r="C7721" t="s">
        <v>15</v>
      </c>
      <c r="D7721" t="s">
        <v>321</v>
      </c>
      <c r="E7721" t="s">
        <v>46</v>
      </c>
      <c r="F7721">
        <v>79907</v>
      </c>
      <c r="G7721" t="s">
        <v>47</v>
      </c>
      <c r="H7721" t="s">
        <v>26</v>
      </c>
      <c r="I7721" t="s">
        <v>34</v>
      </c>
      <c r="J7721">
        <v>17.856000000000002</v>
      </c>
      <c r="K7721">
        <v>4</v>
      </c>
      <c r="L7721">
        <v>0.2</v>
      </c>
      <c r="M7721">
        <v>4.2408000000000001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404</v>
      </c>
      <c r="E7722" t="s">
        <v>30</v>
      </c>
      <c r="F7722">
        <v>32303</v>
      </c>
      <c r="G7722" t="s">
        <v>18</v>
      </c>
      <c r="H7722" t="s">
        <v>35</v>
      </c>
      <c r="I7722" t="s">
        <v>59</v>
      </c>
      <c r="J7722">
        <v>431.976</v>
      </c>
      <c r="K7722">
        <v>3</v>
      </c>
      <c r="L7722">
        <v>0.2</v>
      </c>
      <c r="M7722">
        <v>-75.595799999999997</v>
      </c>
    </row>
    <row r="7723" spans="1:13" x14ac:dyDescent="0.3">
      <c r="A7723" t="s">
        <v>28</v>
      </c>
      <c r="B7723" t="s">
        <v>44</v>
      </c>
      <c r="C7723" t="s">
        <v>15</v>
      </c>
      <c r="D7723" t="s">
        <v>42</v>
      </c>
      <c r="E7723" t="s">
        <v>43</v>
      </c>
      <c r="F7723">
        <v>98103</v>
      </c>
      <c r="G7723" t="s">
        <v>25</v>
      </c>
      <c r="H7723" t="s">
        <v>19</v>
      </c>
      <c r="I7723" t="s">
        <v>21</v>
      </c>
      <c r="J7723">
        <v>291.13600000000002</v>
      </c>
      <c r="K7723">
        <v>4</v>
      </c>
      <c r="L7723">
        <v>0.2</v>
      </c>
      <c r="M7723">
        <v>-25.474399999999999</v>
      </c>
    </row>
    <row r="7724" spans="1:13" x14ac:dyDescent="0.3">
      <c r="A7724" t="s">
        <v>62</v>
      </c>
      <c r="B7724" t="s">
        <v>44</v>
      </c>
      <c r="C7724" t="s">
        <v>15</v>
      </c>
      <c r="D7724" t="s">
        <v>135</v>
      </c>
      <c r="E7724" t="s">
        <v>46</v>
      </c>
      <c r="F7724">
        <v>75220</v>
      </c>
      <c r="G7724" t="s">
        <v>47</v>
      </c>
      <c r="H7724" t="s">
        <v>26</v>
      </c>
      <c r="I7724" t="s">
        <v>60</v>
      </c>
      <c r="J7724">
        <v>114.848</v>
      </c>
      <c r="K7724">
        <v>4</v>
      </c>
      <c r="L7724">
        <v>0.2</v>
      </c>
      <c r="M7724">
        <v>35.89</v>
      </c>
    </row>
    <row r="7725" spans="1:13" x14ac:dyDescent="0.3">
      <c r="A7725" t="s">
        <v>28</v>
      </c>
      <c r="B7725" t="s">
        <v>14</v>
      </c>
      <c r="C7725" t="s">
        <v>15</v>
      </c>
      <c r="D7725" t="s">
        <v>61</v>
      </c>
      <c r="E7725" t="s">
        <v>46</v>
      </c>
      <c r="F7725">
        <v>77070</v>
      </c>
      <c r="G7725" t="s">
        <v>47</v>
      </c>
      <c r="H7725" t="s">
        <v>26</v>
      </c>
      <c r="I7725" t="s">
        <v>41</v>
      </c>
      <c r="J7725">
        <v>10.688000000000001</v>
      </c>
      <c r="K7725">
        <v>2</v>
      </c>
      <c r="L7725">
        <v>0.2</v>
      </c>
      <c r="M7725">
        <v>3.7408000000000001</v>
      </c>
    </row>
    <row r="7726" spans="1:13" x14ac:dyDescent="0.3">
      <c r="A7726" t="s">
        <v>13</v>
      </c>
      <c r="B7726" t="s">
        <v>14</v>
      </c>
      <c r="C7726" t="s">
        <v>15</v>
      </c>
      <c r="D7726" t="s">
        <v>82</v>
      </c>
      <c r="E7726" t="s">
        <v>104</v>
      </c>
      <c r="F7726">
        <v>45503</v>
      </c>
      <c r="G7726" t="s">
        <v>57</v>
      </c>
      <c r="H7726" t="s">
        <v>26</v>
      </c>
      <c r="I7726" t="s">
        <v>41</v>
      </c>
      <c r="J7726">
        <v>15.231999999999999</v>
      </c>
      <c r="K7726">
        <v>4</v>
      </c>
      <c r="L7726">
        <v>0.2</v>
      </c>
      <c r="M7726">
        <v>5.5216000000000003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42</v>
      </c>
      <c r="E7727" t="s">
        <v>43</v>
      </c>
      <c r="F7727">
        <v>98103</v>
      </c>
      <c r="G7727" t="s">
        <v>25</v>
      </c>
      <c r="H7727" t="s">
        <v>26</v>
      </c>
      <c r="I7727" t="s">
        <v>34</v>
      </c>
      <c r="J7727">
        <v>12.42</v>
      </c>
      <c r="K7727">
        <v>3</v>
      </c>
      <c r="L7727">
        <v>0</v>
      </c>
      <c r="M7727">
        <v>5.2164000000000001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75</v>
      </c>
      <c r="E7728" t="s">
        <v>76</v>
      </c>
      <c r="F7728">
        <v>10024</v>
      </c>
      <c r="G7728" t="s">
        <v>57</v>
      </c>
      <c r="H7728" t="s">
        <v>26</v>
      </c>
      <c r="I7728" t="s">
        <v>37</v>
      </c>
      <c r="J7728">
        <v>70.367999999999995</v>
      </c>
      <c r="K7728">
        <v>4</v>
      </c>
      <c r="L7728">
        <v>0.2</v>
      </c>
      <c r="M7728">
        <v>26.388000000000002</v>
      </c>
    </row>
    <row r="7729" spans="1:13" x14ac:dyDescent="0.3">
      <c r="A7729" t="s">
        <v>62</v>
      </c>
      <c r="B7729" t="s">
        <v>14</v>
      </c>
      <c r="C7729" t="s">
        <v>15</v>
      </c>
      <c r="D7729" t="s">
        <v>99</v>
      </c>
      <c r="E7729" t="s">
        <v>40</v>
      </c>
      <c r="F7729">
        <v>28205</v>
      </c>
      <c r="G7729" t="s">
        <v>18</v>
      </c>
      <c r="H7729" t="s">
        <v>26</v>
      </c>
      <c r="I7729" t="s">
        <v>34</v>
      </c>
      <c r="J7729">
        <v>12.672000000000001</v>
      </c>
      <c r="K7729">
        <v>9</v>
      </c>
      <c r="L7729">
        <v>0.2</v>
      </c>
      <c r="M7729">
        <v>1.4256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333</v>
      </c>
      <c r="E7730" t="s">
        <v>248</v>
      </c>
      <c r="F7730">
        <v>21215</v>
      </c>
      <c r="G7730" t="s">
        <v>57</v>
      </c>
      <c r="H7730" t="s">
        <v>35</v>
      </c>
      <c r="I7730" t="s">
        <v>36</v>
      </c>
      <c r="J7730">
        <v>89.95</v>
      </c>
      <c r="K7730">
        <v>5</v>
      </c>
      <c r="L7730">
        <v>0</v>
      </c>
      <c r="M7730">
        <v>43.176000000000002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26</v>
      </c>
      <c r="I7731" t="s">
        <v>41</v>
      </c>
      <c r="J7731">
        <v>6.58</v>
      </c>
      <c r="K7731">
        <v>2</v>
      </c>
      <c r="L7731">
        <v>0</v>
      </c>
      <c r="M7731">
        <v>3.0268000000000002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52</v>
      </c>
      <c r="E7732" t="s">
        <v>24</v>
      </c>
      <c r="F7732">
        <v>94110</v>
      </c>
      <c r="G7732" t="s">
        <v>25</v>
      </c>
      <c r="H7732" t="s">
        <v>35</v>
      </c>
      <c r="I7732" t="s">
        <v>59</v>
      </c>
      <c r="J7732">
        <v>94.99</v>
      </c>
      <c r="K7732">
        <v>1</v>
      </c>
      <c r="L7732">
        <v>0</v>
      </c>
      <c r="M7732">
        <v>28.497</v>
      </c>
    </row>
    <row r="7733" spans="1:13" x14ac:dyDescent="0.3">
      <c r="A7733" t="s">
        <v>13</v>
      </c>
      <c r="B7733" t="s">
        <v>14</v>
      </c>
      <c r="C7733" t="s">
        <v>15</v>
      </c>
      <c r="D7733" t="s">
        <v>171</v>
      </c>
      <c r="E7733" t="s">
        <v>81</v>
      </c>
      <c r="F7733">
        <v>85705</v>
      </c>
      <c r="G7733" t="s">
        <v>25</v>
      </c>
      <c r="H7733" t="s">
        <v>35</v>
      </c>
      <c r="I7733" t="s">
        <v>36</v>
      </c>
      <c r="J7733">
        <v>35.119999999999997</v>
      </c>
      <c r="K7733">
        <v>2</v>
      </c>
      <c r="L7733">
        <v>0.2</v>
      </c>
      <c r="M7733">
        <v>13.17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23</v>
      </c>
      <c r="E7734" t="s">
        <v>24</v>
      </c>
      <c r="F7734">
        <v>90036</v>
      </c>
      <c r="G7734" t="s">
        <v>25</v>
      </c>
      <c r="H7734" t="s">
        <v>26</v>
      </c>
      <c r="I7734" t="s">
        <v>41</v>
      </c>
      <c r="J7734">
        <v>25.92</v>
      </c>
      <c r="K7734">
        <v>4</v>
      </c>
      <c r="L7734">
        <v>0</v>
      </c>
      <c r="M7734">
        <v>12.441599999999999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26</v>
      </c>
      <c r="I7735" t="s">
        <v>37</v>
      </c>
      <c r="J7735">
        <v>7.96</v>
      </c>
      <c r="K7735">
        <v>2</v>
      </c>
      <c r="L7735">
        <v>0</v>
      </c>
      <c r="M7735">
        <v>3.7412000000000001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35</v>
      </c>
      <c r="I7736" t="s">
        <v>36</v>
      </c>
      <c r="J7736">
        <v>566.97</v>
      </c>
      <c r="K7736">
        <v>3</v>
      </c>
      <c r="L7736">
        <v>0</v>
      </c>
      <c r="M7736">
        <v>153.08189999999999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507</v>
      </c>
      <c r="E7737" t="s">
        <v>127</v>
      </c>
      <c r="F7737">
        <v>6708</v>
      </c>
      <c r="G7737" t="s">
        <v>57</v>
      </c>
      <c r="H7737" t="s">
        <v>26</v>
      </c>
      <c r="I7737" t="s">
        <v>34</v>
      </c>
      <c r="J7737">
        <v>9.84</v>
      </c>
      <c r="K7737">
        <v>3</v>
      </c>
      <c r="L7737">
        <v>0</v>
      </c>
      <c r="M7737">
        <v>2.8536000000000001</v>
      </c>
    </row>
    <row r="7738" spans="1:13" x14ac:dyDescent="0.3">
      <c r="A7738" t="s">
        <v>28</v>
      </c>
      <c r="B7738" t="s">
        <v>44</v>
      </c>
      <c r="C7738" t="s">
        <v>15</v>
      </c>
      <c r="D7738" t="s">
        <v>79</v>
      </c>
      <c r="E7738" t="s">
        <v>65</v>
      </c>
      <c r="F7738">
        <v>60610</v>
      </c>
      <c r="G7738" t="s">
        <v>47</v>
      </c>
      <c r="H7738" t="s">
        <v>35</v>
      </c>
      <c r="I7738" t="s">
        <v>59</v>
      </c>
      <c r="J7738">
        <v>25.488</v>
      </c>
      <c r="K7738">
        <v>2</v>
      </c>
      <c r="L7738">
        <v>0.2</v>
      </c>
      <c r="M7738">
        <v>4.7789999999999999</v>
      </c>
    </row>
    <row r="7739" spans="1:13" x14ac:dyDescent="0.3">
      <c r="A7739" t="s">
        <v>13</v>
      </c>
      <c r="B7739" t="s">
        <v>44</v>
      </c>
      <c r="C7739" t="s">
        <v>15</v>
      </c>
      <c r="D7739" t="s">
        <v>159</v>
      </c>
      <c r="E7739" t="s">
        <v>76</v>
      </c>
      <c r="F7739">
        <v>11561</v>
      </c>
      <c r="G7739" t="s">
        <v>57</v>
      </c>
      <c r="H7739" t="s">
        <v>26</v>
      </c>
      <c r="I7739" t="s">
        <v>77</v>
      </c>
      <c r="J7739">
        <v>7.56</v>
      </c>
      <c r="K7739">
        <v>6</v>
      </c>
      <c r="L7739">
        <v>0</v>
      </c>
      <c r="M7739">
        <v>0.3024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19</v>
      </c>
      <c r="I7740" t="s">
        <v>33</v>
      </c>
      <c r="J7740">
        <v>60.84</v>
      </c>
      <c r="K7740">
        <v>3</v>
      </c>
      <c r="L7740">
        <v>0</v>
      </c>
      <c r="M7740">
        <v>19.468800000000002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32</v>
      </c>
      <c r="J7741">
        <v>450.04</v>
      </c>
      <c r="K7741">
        <v>2</v>
      </c>
      <c r="L7741">
        <v>0</v>
      </c>
      <c r="M7741">
        <v>58.505200000000002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26</v>
      </c>
      <c r="I7742" t="s">
        <v>37</v>
      </c>
      <c r="J7742">
        <v>34.6</v>
      </c>
      <c r="K7742">
        <v>2</v>
      </c>
      <c r="L7742">
        <v>0</v>
      </c>
      <c r="M7742">
        <v>16.608000000000001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35</v>
      </c>
      <c r="I7743" t="s">
        <v>36</v>
      </c>
      <c r="J7743">
        <v>467.97</v>
      </c>
      <c r="K7743">
        <v>3</v>
      </c>
      <c r="L7743">
        <v>0</v>
      </c>
      <c r="M7743">
        <v>140.39099999999999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155</v>
      </c>
      <c r="E7744" t="s">
        <v>83</v>
      </c>
      <c r="F7744">
        <v>22204</v>
      </c>
      <c r="G7744" t="s">
        <v>18</v>
      </c>
      <c r="H7744" t="s">
        <v>26</v>
      </c>
      <c r="I7744" t="s">
        <v>37</v>
      </c>
      <c r="J7744">
        <v>33.020000000000003</v>
      </c>
      <c r="K7744">
        <v>2</v>
      </c>
      <c r="L7744">
        <v>0</v>
      </c>
      <c r="M7744">
        <v>15.849600000000001</v>
      </c>
    </row>
    <row r="7745" spans="1:13" x14ac:dyDescent="0.3">
      <c r="A7745" t="s">
        <v>62</v>
      </c>
      <c r="B7745" t="s">
        <v>22</v>
      </c>
      <c r="C7745" t="s">
        <v>15</v>
      </c>
      <c r="D7745" t="s">
        <v>189</v>
      </c>
      <c r="E7745" t="s">
        <v>40</v>
      </c>
      <c r="F7745">
        <v>28540</v>
      </c>
      <c r="G7745" t="s">
        <v>18</v>
      </c>
      <c r="H7745" t="s">
        <v>19</v>
      </c>
      <c r="I7745" t="s">
        <v>33</v>
      </c>
      <c r="J7745">
        <v>17.088000000000001</v>
      </c>
      <c r="K7745">
        <v>2</v>
      </c>
      <c r="L7745">
        <v>0.2</v>
      </c>
      <c r="M7745">
        <v>1.0680000000000001</v>
      </c>
    </row>
    <row r="7746" spans="1:13" x14ac:dyDescent="0.3">
      <c r="A7746" t="s">
        <v>13</v>
      </c>
      <c r="B7746" t="s">
        <v>22</v>
      </c>
      <c r="C7746" t="s">
        <v>15</v>
      </c>
      <c r="D7746" t="s">
        <v>103</v>
      </c>
      <c r="E7746" t="s">
        <v>104</v>
      </c>
      <c r="F7746">
        <v>43229</v>
      </c>
      <c r="G7746" t="s">
        <v>57</v>
      </c>
      <c r="H7746" t="s">
        <v>26</v>
      </c>
      <c r="I7746" t="s">
        <v>34</v>
      </c>
      <c r="J7746">
        <v>3.008</v>
      </c>
      <c r="K7746">
        <v>2</v>
      </c>
      <c r="L7746">
        <v>0.2</v>
      </c>
      <c r="M7746">
        <v>0.33839999999999998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26</v>
      </c>
      <c r="I7747" t="s">
        <v>41</v>
      </c>
      <c r="J7747">
        <v>268.24</v>
      </c>
      <c r="K7747">
        <v>7</v>
      </c>
      <c r="L7747">
        <v>0.2</v>
      </c>
      <c r="M7747">
        <v>93.884</v>
      </c>
    </row>
    <row r="7748" spans="1:13" x14ac:dyDescent="0.3">
      <c r="A7748" t="s">
        <v>28</v>
      </c>
      <c r="B7748" t="s">
        <v>14</v>
      </c>
      <c r="C7748" t="s">
        <v>15</v>
      </c>
      <c r="D7748" t="s">
        <v>99</v>
      </c>
      <c r="E7748" t="s">
        <v>40</v>
      </c>
      <c r="F7748">
        <v>28205</v>
      </c>
      <c r="G7748" t="s">
        <v>18</v>
      </c>
      <c r="H7748" t="s">
        <v>35</v>
      </c>
      <c r="I7748" t="s">
        <v>59</v>
      </c>
      <c r="J7748">
        <v>431.16</v>
      </c>
      <c r="K7748">
        <v>5</v>
      </c>
      <c r="L7748">
        <v>0.2</v>
      </c>
      <c r="M7748">
        <v>107.79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35</v>
      </c>
      <c r="I7749" t="s">
        <v>36</v>
      </c>
      <c r="J7749">
        <v>43.6</v>
      </c>
      <c r="K7749">
        <v>4</v>
      </c>
      <c r="L7749">
        <v>0</v>
      </c>
      <c r="M7749">
        <v>12.208</v>
      </c>
    </row>
    <row r="7750" spans="1:13" x14ac:dyDescent="0.3">
      <c r="A7750" t="s">
        <v>13</v>
      </c>
      <c r="B7750" t="s">
        <v>22</v>
      </c>
      <c r="C7750" t="s">
        <v>15</v>
      </c>
      <c r="D7750" t="s">
        <v>283</v>
      </c>
      <c r="E7750" t="s">
        <v>76</v>
      </c>
      <c r="F7750">
        <v>14215</v>
      </c>
      <c r="G7750" t="s">
        <v>57</v>
      </c>
      <c r="H7750" t="s">
        <v>19</v>
      </c>
      <c r="I7750" t="s">
        <v>33</v>
      </c>
      <c r="J7750">
        <v>154.94999999999999</v>
      </c>
      <c r="K7750">
        <v>3</v>
      </c>
      <c r="L7750">
        <v>0</v>
      </c>
      <c r="M7750">
        <v>30.99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85</v>
      </c>
      <c r="E7751" t="s">
        <v>86</v>
      </c>
      <c r="F7751">
        <v>38109</v>
      </c>
      <c r="G7751" t="s">
        <v>18</v>
      </c>
      <c r="H7751" t="s">
        <v>26</v>
      </c>
      <c r="I7751" t="s">
        <v>41</v>
      </c>
      <c r="J7751">
        <v>42.207999999999998</v>
      </c>
      <c r="K7751">
        <v>2</v>
      </c>
      <c r="L7751">
        <v>0.2</v>
      </c>
      <c r="M7751">
        <v>13.717599999999999</v>
      </c>
    </row>
    <row r="7752" spans="1:13" x14ac:dyDescent="0.3">
      <c r="A7752" t="s">
        <v>62</v>
      </c>
      <c r="B7752" t="s">
        <v>14</v>
      </c>
      <c r="C7752" t="s">
        <v>15</v>
      </c>
      <c r="D7752" t="s">
        <v>328</v>
      </c>
      <c r="E7752" t="s">
        <v>46</v>
      </c>
      <c r="F7752">
        <v>75023</v>
      </c>
      <c r="G7752" t="s">
        <v>47</v>
      </c>
      <c r="H7752" t="s">
        <v>26</v>
      </c>
      <c r="I7752" t="s">
        <v>41</v>
      </c>
      <c r="J7752">
        <v>10.368</v>
      </c>
      <c r="K7752">
        <v>2</v>
      </c>
      <c r="L7752">
        <v>0.2</v>
      </c>
      <c r="M7752">
        <v>3.6288</v>
      </c>
    </row>
    <row r="7753" spans="1:13" x14ac:dyDescent="0.3">
      <c r="A7753" t="s">
        <v>62</v>
      </c>
      <c r="B7753" t="s">
        <v>44</v>
      </c>
      <c r="C7753" t="s">
        <v>15</v>
      </c>
      <c r="D7753" t="s">
        <v>210</v>
      </c>
      <c r="E7753" t="s">
        <v>95</v>
      </c>
      <c r="F7753">
        <v>97301</v>
      </c>
      <c r="G7753" t="s">
        <v>25</v>
      </c>
      <c r="H7753" t="s">
        <v>26</v>
      </c>
      <c r="I7753" t="s">
        <v>34</v>
      </c>
      <c r="J7753">
        <v>2.2240000000000002</v>
      </c>
      <c r="K7753">
        <v>1</v>
      </c>
      <c r="L7753">
        <v>0.2</v>
      </c>
      <c r="M7753">
        <v>0.55600000000000005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103</v>
      </c>
      <c r="E7754" t="s">
        <v>167</v>
      </c>
      <c r="F7754">
        <v>31907</v>
      </c>
      <c r="G7754" t="s">
        <v>18</v>
      </c>
      <c r="H7754" t="s">
        <v>26</v>
      </c>
      <c r="I7754" t="s">
        <v>60</v>
      </c>
      <c r="J7754">
        <v>74.52</v>
      </c>
      <c r="K7754">
        <v>9</v>
      </c>
      <c r="L7754">
        <v>0</v>
      </c>
      <c r="M7754">
        <v>35.0244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26</v>
      </c>
      <c r="I7755" t="s">
        <v>34</v>
      </c>
      <c r="J7755">
        <v>17.52</v>
      </c>
      <c r="K7755">
        <v>3</v>
      </c>
      <c r="L7755">
        <v>0</v>
      </c>
      <c r="M7755">
        <v>5.2560000000000002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19</v>
      </c>
      <c r="I7756" t="s">
        <v>21</v>
      </c>
      <c r="J7756">
        <v>1779.9</v>
      </c>
      <c r="K7756">
        <v>5</v>
      </c>
      <c r="L7756">
        <v>0</v>
      </c>
      <c r="M7756">
        <v>373.779</v>
      </c>
    </row>
    <row r="7757" spans="1:13" x14ac:dyDescent="0.3">
      <c r="A7757" t="s">
        <v>168</v>
      </c>
      <c r="B7757" t="s">
        <v>22</v>
      </c>
      <c r="C7757" t="s">
        <v>15</v>
      </c>
      <c r="D7757" t="s">
        <v>90</v>
      </c>
      <c r="E7757" t="s">
        <v>248</v>
      </c>
      <c r="F7757">
        <v>21044</v>
      </c>
      <c r="G7757" t="s">
        <v>57</v>
      </c>
      <c r="H7757" t="s">
        <v>26</v>
      </c>
      <c r="I7757" t="s">
        <v>34</v>
      </c>
      <c r="J7757">
        <v>219.9</v>
      </c>
      <c r="K7757">
        <v>5</v>
      </c>
      <c r="L7757">
        <v>0</v>
      </c>
      <c r="M7757">
        <v>59.372999999999998</v>
      </c>
    </row>
    <row r="7758" spans="1:13" x14ac:dyDescent="0.3">
      <c r="A7758" t="s">
        <v>62</v>
      </c>
      <c r="B7758" t="s">
        <v>14</v>
      </c>
      <c r="C7758" t="s">
        <v>15</v>
      </c>
      <c r="D7758" t="s">
        <v>94</v>
      </c>
      <c r="E7758" t="s">
        <v>95</v>
      </c>
      <c r="F7758">
        <v>97206</v>
      </c>
      <c r="G7758" t="s">
        <v>25</v>
      </c>
      <c r="H7758" t="s">
        <v>26</v>
      </c>
      <c r="I7758" t="s">
        <v>34</v>
      </c>
      <c r="J7758">
        <v>7.1520000000000001</v>
      </c>
      <c r="K7758">
        <v>3</v>
      </c>
      <c r="L7758">
        <v>0.2</v>
      </c>
      <c r="M7758">
        <v>0.71519999999999995</v>
      </c>
    </row>
    <row r="7759" spans="1:13" x14ac:dyDescent="0.3">
      <c r="A7759" t="s">
        <v>28</v>
      </c>
      <c r="B7759" t="s">
        <v>14</v>
      </c>
      <c r="C7759" t="s">
        <v>15</v>
      </c>
      <c r="D7759" t="s">
        <v>404</v>
      </c>
      <c r="E7759" t="s">
        <v>30</v>
      </c>
      <c r="F7759">
        <v>32303</v>
      </c>
      <c r="G7759" t="s">
        <v>18</v>
      </c>
      <c r="H7759" t="s">
        <v>26</v>
      </c>
      <c r="I7759" t="s">
        <v>41</v>
      </c>
      <c r="J7759">
        <v>26.72</v>
      </c>
      <c r="K7759">
        <v>5</v>
      </c>
      <c r="L7759">
        <v>0.2</v>
      </c>
      <c r="M7759">
        <v>9.3520000000000003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35</v>
      </c>
      <c r="I7760" t="s">
        <v>36</v>
      </c>
      <c r="J7760">
        <v>1039.7280000000001</v>
      </c>
      <c r="K7760">
        <v>2</v>
      </c>
      <c r="L7760">
        <v>0.2</v>
      </c>
      <c r="M7760">
        <v>90.976200000000006</v>
      </c>
    </row>
    <row r="7761" spans="1:13" x14ac:dyDescent="0.3">
      <c r="A7761" t="s">
        <v>168</v>
      </c>
      <c r="B7761" t="s">
        <v>22</v>
      </c>
      <c r="C7761" t="s">
        <v>15</v>
      </c>
      <c r="D7761" t="s">
        <v>254</v>
      </c>
      <c r="E7761" t="s">
        <v>24</v>
      </c>
      <c r="F7761">
        <v>92503</v>
      </c>
      <c r="G7761" t="s">
        <v>25</v>
      </c>
      <c r="H7761" t="s">
        <v>26</v>
      </c>
      <c r="I7761" t="s">
        <v>38</v>
      </c>
      <c r="J7761">
        <v>45.96</v>
      </c>
      <c r="K7761">
        <v>2</v>
      </c>
      <c r="L7761">
        <v>0</v>
      </c>
      <c r="M7761">
        <v>13.788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26</v>
      </c>
      <c r="I7762" t="s">
        <v>37</v>
      </c>
      <c r="J7762">
        <v>456.58800000000002</v>
      </c>
      <c r="K7762">
        <v>2</v>
      </c>
      <c r="L7762">
        <v>0.7</v>
      </c>
      <c r="M7762">
        <v>-304.392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123</v>
      </c>
      <c r="J7763">
        <v>4499.9849999999997</v>
      </c>
      <c r="K7763">
        <v>5</v>
      </c>
      <c r="L7763">
        <v>0.7</v>
      </c>
      <c r="M7763">
        <v>-6599.9780000000001</v>
      </c>
    </row>
    <row r="7764" spans="1:13" x14ac:dyDescent="0.3">
      <c r="A7764" t="s">
        <v>28</v>
      </c>
      <c r="B7764" t="s">
        <v>14</v>
      </c>
      <c r="C7764" t="s">
        <v>15</v>
      </c>
      <c r="D7764" t="s">
        <v>235</v>
      </c>
      <c r="E7764" t="s">
        <v>104</v>
      </c>
      <c r="F7764">
        <v>43130</v>
      </c>
      <c r="G7764" t="s">
        <v>57</v>
      </c>
      <c r="H7764" t="s">
        <v>35</v>
      </c>
      <c r="I7764" t="s">
        <v>59</v>
      </c>
      <c r="J7764">
        <v>59.975999999999999</v>
      </c>
      <c r="K7764">
        <v>3</v>
      </c>
      <c r="L7764">
        <v>0.2</v>
      </c>
      <c r="M7764">
        <v>11.995200000000001</v>
      </c>
    </row>
    <row r="7765" spans="1:13" x14ac:dyDescent="0.3">
      <c r="A7765" t="s">
        <v>62</v>
      </c>
      <c r="B7765" t="s">
        <v>14</v>
      </c>
      <c r="C7765" t="s">
        <v>15</v>
      </c>
      <c r="D7765" t="s">
        <v>52</v>
      </c>
      <c r="E7765" t="s">
        <v>24</v>
      </c>
      <c r="F7765">
        <v>94109</v>
      </c>
      <c r="G7765" t="s">
        <v>25</v>
      </c>
      <c r="H7765" t="s">
        <v>26</v>
      </c>
      <c r="I7765" t="s">
        <v>60</v>
      </c>
      <c r="J7765">
        <v>6.12</v>
      </c>
      <c r="K7765">
        <v>3</v>
      </c>
      <c r="L7765">
        <v>0</v>
      </c>
      <c r="M7765">
        <v>2.8763999999999998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38</v>
      </c>
      <c r="J7766">
        <v>10.98</v>
      </c>
      <c r="K7766">
        <v>1</v>
      </c>
      <c r="L7766">
        <v>0</v>
      </c>
      <c r="M7766">
        <v>2.9645999999999999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77</v>
      </c>
      <c r="J7767">
        <v>7.86</v>
      </c>
      <c r="K7767">
        <v>3</v>
      </c>
      <c r="L7767">
        <v>0</v>
      </c>
      <c r="M7767">
        <v>3.6156000000000001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32</v>
      </c>
      <c r="J7768">
        <v>51.45</v>
      </c>
      <c r="K7768">
        <v>3</v>
      </c>
      <c r="L7768">
        <v>0</v>
      </c>
      <c r="M7768">
        <v>13.891500000000001</v>
      </c>
    </row>
    <row r="7769" spans="1:13" x14ac:dyDescent="0.3">
      <c r="A7769" t="s">
        <v>28</v>
      </c>
      <c r="B7769" t="s">
        <v>44</v>
      </c>
      <c r="C7769" t="s">
        <v>15</v>
      </c>
      <c r="D7769" t="s">
        <v>520</v>
      </c>
      <c r="E7769" t="s">
        <v>24</v>
      </c>
      <c r="F7769">
        <v>92553</v>
      </c>
      <c r="G7769" t="s">
        <v>25</v>
      </c>
      <c r="H7769" t="s">
        <v>26</v>
      </c>
      <c r="I7769" t="s">
        <v>37</v>
      </c>
      <c r="J7769">
        <v>37.055999999999997</v>
      </c>
      <c r="K7769">
        <v>3</v>
      </c>
      <c r="L7769">
        <v>0.2</v>
      </c>
      <c r="M7769">
        <v>13.896000000000001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26</v>
      </c>
      <c r="I7770" t="s">
        <v>38</v>
      </c>
      <c r="J7770">
        <v>203.92</v>
      </c>
      <c r="K7770">
        <v>4</v>
      </c>
      <c r="L7770">
        <v>0</v>
      </c>
      <c r="M7770">
        <v>55.058399999999999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355</v>
      </c>
      <c r="E7771" t="s">
        <v>83</v>
      </c>
      <c r="F7771">
        <v>23320</v>
      </c>
      <c r="G7771" t="s">
        <v>18</v>
      </c>
      <c r="H7771" t="s">
        <v>35</v>
      </c>
      <c r="I7771" t="s">
        <v>36</v>
      </c>
      <c r="J7771">
        <v>29.56</v>
      </c>
      <c r="K7771">
        <v>4</v>
      </c>
      <c r="L7771">
        <v>0</v>
      </c>
      <c r="M7771">
        <v>7.9812000000000003</v>
      </c>
    </row>
    <row r="7772" spans="1:13" x14ac:dyDescent="0.3">
      <c r="A7772" t="s">
        <v>28</v>
      </c>
      <c r="B7772" t="s">
        <v>14</v>
      </c>
      <c r="C7772" t="s">
        <v>15</v>
      </c>
      <c r="D7772" t="s">
        <v>79</v>
      </c>
      <c r="E7772" t="s">
        <v>65</v>
      </c>
      <c r="F7772">
        <v>60623</v>
      </c>
      <c r="G7772" t="s">
        <v>47</v>
      </c>
      <c r="H7772" t="s">
        <v>26</v>
      </c>
      <c r="I7772" t="s">
        <v>37</v>
      </c>
      <c r="J7772">
        <v>8.5679999999999996</v>
      </c>
      <c r="K7772">
        <v>3</v>
      </c>
      <c r="L7772">
        <v>0.8</v>
      </c>
      <c r="M7772">
        <v>-14.5656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26</v>
      </c>
      <c r="I7773" t="s">
        <v>32</v>
      </c>
      <c r="J7773">
        <v>45.247999999999998</v>
      </c>
      <c r="K7773">
        <v>2</v>
      </c>
      <c r="L7773">
        <v>0.2</v>
      </c>
      <c r="M7773">
        <v>3.9592000000000001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19</v>
      </c>
      <c r="I7774" t="s">
        <v>31</v>
      </c>
      <c r="J7774">
        <v>876.3</v>
      </c>
      <c r="K7774">
        <v>10</v>
      </c>
      <c r="L7774">
        <v>0.4</v>
      </c>
      <c r="M7774">
        <v>-292.10000000000002</v>
      </c>
    </row>
    <row r="7775" spans="1:13" x14ac:dyDescent="0.3">
      <c r="A7775" t="s">
        <v>13</v>
      </c>
      <c r="B7775" t="s">
        <v>22</v>
      </c>
      <c r="C7775" t="s">
        <v>15</v>
      </c>
      <c r="D7775" t="s">
        <v>99</v>
      </c>
      <c r="E7775" t="s">
        <v>40</v>
      </c>
      <c r="F7775">
        <v>28205</v>
      </c>
      <c r="G7775" t="s">
        <v>18</v>
      </c>
      <c r="H7775" t="s">
        <v>26</v>
      </c>
      <c r="I7775" t="s">
        <v>110</v>
      </c>
      <c r="J7775">
        <v>185.376</v>
      </c>
      <c r="K7775">
        <v>2</v>
      </c>
      <c r="L7775">
        <v>0.2</v>
      </c>
      <c r="M7775">
        <v>-34.758000000000003</v>
      </c>
    </row>
    <row r="7776" spans="1:13" x14ac:dyDescent="0.3">
      <c r="A7776" t="s">
        <v>28</v>
      </c>
      <c r="B7776" t="s">
        <v>14</v>
      </c>
      <c r="C7776" t="s">
        <v>15</v>
      </c>
      <c r="D7776" t="s">
        <v>75</v>
      </c>
      <c r="E7776" t="s">
        <v>76</v>
      </c>
      <c r="F7776">
        <v>10009</v>
      </c>
      <c r="G7776" t="s">
        <v>57</v>
      </c>
      <c r="H7776" t="s">
        <v>26</v>
      </c>
      <c r="I7776" t="s">
        <v>27</v>
      </c>
      <c r="J7776">
        <v>25.06</v>
      </c>
      <c r="K7776">
        <v>2</v>
      </c>
      <c r="L7776">
        <v>0</v>
      </c>
      <c r="M7776">
        <v>11.7782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37</v>
      </c>
      <c r="J7777">
        <v>2.89</v>
      </c>
      <c r="K7777">
        <v>1</v>
      </c>
      <c r="L7777">
        <v>0.8</v>
      </c>
      <c r="M7777">
        <v>-4.7685000000000004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26</v>
      </c>
      <c r="I7778" t="s">
        <v>77</v>
      </c>
      <c r="J7778">
        <v>7.8959999999999999</v>
      </c>
      <c r="K7778">
        <v>3</v>
      </c>
      <c r="L7778">
        <v>0.2</v>
      </c>
      <c r="M7778">
        <v>2.4674999999999998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19</v>
      </c>
      <c r="I7779" t="s">
        <v>33</v>
      </c>
      <c r="J7779">
        <v>22.608000000000001</v>
      </c>
      <c r="K7779">
        <v>3</v>
      </c>
      <c r="L7779">
        <v>0.6</v>
      </c>
      <c r="M7779">
        <v>-10.1736</v>
      </c>
    </row>
    <row r="7780" spans="1:13" x14ac:dyDescent="0.3">
      <c r="A7780" t="s">
        <v>62</v>
      </c>
      <c r="B7780" t="s">
        <v>14</v>
      </c>
      <c r="C7780" t="s">
        <v>15</v>
      </c>
      <c r="D7780" t="s">
        <v>79</v>
      </c>
      <c r="E7780" t="s">
        <v>65</v>
      </c>
      <c r="F7780">
        <v>60653</v>
      </c>
      <c r="G7780" t="s">
        <v>47</v>
      </c>
      <c r="H7780" t="s">
        <v>26</v>
      </c>
      <c r="I7780" t="s">
        <v>41</v>
      </c>
      <c r="J7780">
        <v>30.527999999999999</v>
      </c>
      <c r="K7780">
        <v>8</v>
      </c>
      <c r="L7780">
        <v>0.2</v>
      </c>
      <c r="M7780">
        <v>9.5399999999999991</v>
      </c>
    </row>
    <row r="7781" spans="1:13" x14ac:dyDescent="0.3">
      <c r="A7781" t="s">
        <v>168</v>
      </c>
      <c r="B7781" t="s">
        <v>44</v>
      </c>
      <c r="C7781" t="s">
        <v>15</v>
      </c>
      <c r="D7781" t="s">
        <v>55</v>
      </c>
      <c r="E7781" t="s">
        <v>56</v>
      </c>
      <c r="F7781">
        <v>19120</v>
      </c>
      <c r="G7781" t="s">
        <v>57</v>
      </c>
      <c r="H7781" t="s">
        <v>26</v>
      </c>
      <c r="I7781" t="s">
        <v>37</v>
      </c>
      <c r="J7781">
        <v>4.8419999999999996</v>
      </c>
      <c r="K7781">
        <v>3</v>
      </c>
      <c r="L7781">
        <v>0.7</v>
      </c>
      <c r="M7781">
        <v>-3.3894000000000002</v>
      </c>
    </row>
    <row r="7782" spans="1:13" x14ac:dyDescent="0.3">
      <c r="A7782" t="s">
        <v>28</v>
      </c>
      <c r="B7782" t="s">
        <v>22</v>
      </c>
      <c r="C7782" t="s">
        <v>15</v>
      </c>
      <c r="D7782" t="s">
        <v>79</v>
      </c>
      <c r="E7782" t="s">
        <v>65</v>
      </c>
      <c r="F7782">
        <v>60623</v>
      </c>
      <c r="G7782" t="s">
        <v>47</v>
      </c>
      <c r="H7782" t="s">
        <v>26</v>
      </c>
      <c r="I7782" t="s">
        <v>37</v>
      </c>
      <c r="J7782">
        <v>1.8</v>
      </c>
      <c r="K7782">
        <v>5</v>
      </c>
      <c r="L7782">
        <v>0.8</v>
      </c>
      <c r="M7782">
        <v>-2.88</v>
      </c>
    </row>
    <row r="7783" spans="1:13" x14ac:dyDescent="0.3">
      <c r="A7783" t="s">
        <v>62</v>
      </c>
      <c r="B7783" t="s">
        <v>22</v>
      </c>
      <c r="C7783" t="s">
        <v>15</v>
      </c>
      <c r="D7783" t="s">
        <v>135</v>
      </c>
      <c r="E7783" t="s">
        <v>46</v>
      </c>
      <c r="F7783">
        <v>75217</v>
      </c>
      <c r="G7783" t="s">
        <v>47</v>
      </c>
      <c r="H7783" t="s">
        <v>35</v>
      </c>
      <c r="I7783" t="s">
        <v>59</v>
      </c>
      <c r="J7783">
        <v>39.984000000000002</v>
      </c>
      <c r="K7783">
        <v>2</v>
      </c>
      <c r="L7783">
        <v>0.2</v>
      </c>
      <c r="M7783">
        <v>-1.4994000000000001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32.4</v>
      </c>
      <c r="K7784">
        <v>5</v>
      </c>
      <c r="L7784">
        <v>0</v>
      </c>
      <c r="M7784">
        <v>15.875999999999999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176</v>
      </c>
      <c r="E7785" t="s">
        <v>177</v>
      </c>
      <c r="F7785">
        <v>89115</v>
      </c>
      <c r="G7785" t="s">
        <v>25</v>
      </c>
      <c r="H7785" t="s">
        <v>26</v>
      </c>
      <c r="I7785" t="s">
        <v>41</v>
      </c>
      <c r="J7785">
        <v>97.88</v>
      </c>
      <c r="K7785">
        <v>2</v>
      </c>
      <c r="L7785">
        <v>0</v>
      </c>
      <c r="M7785">
        <v>48.94</v>
      </c>
    </row>
    <row r="7786" spans="1:13" x14ac:dyDescent="0.3">
      <c r="A7786" t="s">
        <v>28</v>
      </c>
      <c r="B7786" t="s">
        <v>14</v>
      </c>
      <c r="C7786" t="s">
        <v>15</v>
      </c>
      <c r="D7786" t="s">
        <v>193</v>
      </c>
      <c r="E7786" t="s">
        <v>46</v>
      </c>
      <c r="F7786">
        <v>79109</v>
      </c>
      <c r="G7786" t="s">
        <v>47</v>
      </c>
      <c r="H7786" t="s">
        <v>35</v>
      </c>
      <c r="I7786" t="s">
        <v>36</v>
      </c>
      <c r="J7786">
        <v>307.16800000000001</v>
      </c>
      <c r="K7786">
        <v>4</v>
      </c>
      <c r="L7786">
        <v>0.2</v>
      </c>
      <c r="M7786">
        <v>30.716799999999999</v>
      </c>
    </row>
    <row r="7787" spans="1:13" x14ac:dyDescent="0.3">
      <c r="A7787" t="s">
        <v>28</v>
      </c>
      <c r="B7787" t="s">
        <v>22</v>
      </c>
      <c r="C7787" t="s">
        <v>15</v>
      </c>
      <c r="D7787" t="s">
        <v>294</v>
      </c>
      <c r="E7787" t="s">
        <v>127</v>
      </c>
      <c r="F7787">
        <v>6457</v>
      </c>
      <c r="G7787" t="s">
        <v>57</v>
      </c>
      <c r="H7787" t="s">
        <v>26</v>
      </c>
      <c r="I7787" t="s">
        <v>37</v>
      </c>
      <c r="J7787">
        <v>26.9</v>
      </c>
      <c r="K7787">
        <v>5</v>
      </c>
      <c r="L7787">
        <v>0</v>
      </c>
      <c r="M7787">
        <v>13.180999999999999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26</v>
      </c>
      <c r="I7788" t="s">
        <v>60</v>
      </c>
      <c r="J7788">
        <v>47.01</v>
      </c>
      <c r="K7788">
        <v>3</v>
      </c>
      <c r="L7788">
        <v>0</v>
      </c>
      <c r="M7788">
        <v>22.0947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35</v>
      </c>
      <c r="I7789" t="s">
        <v>36</v>
      </c>
      <c r="J7789">
        <v>469.99</v>
      </c>
      <c r="K7789">
        <v>1</v>
      </c>
      <c r="L7789">
        <v>0</v>
      </c>
      <c r="M7789">
        <v>136.2971</v>
      </c>
    </row>
    <row r="7790" spans="1:13" x14ac:dyDescent="0.3">
      <c r="A7790" t="s">
        <v>62</v>
      </c>
      <c r="B7790" t="s">
        <v>22</v>
      </c>
      <c r="C7790" t="s">
        <v>15</v>
      </c>
      <c r="D7790" t="s">
        <v>75</v>
      </c>
      <c r="E7790" t="s">
        <v>76</v>
      </c>
      <c r="F7790">
        <v>10035</v>
      </c>
      <c r="G7790" t="s">
        <v>57</v>
      </c>
      <c r="H7790" t="s">
        <v>19</v>
      </c>
      <c r="I7790" t="s">
        <v>21</v>
      </c>
      <c r="J7790">
        <v>207.846</v>
      </c>
      <c r="K7790">
        <v>3</v>
      </c>
      <c r="L7790">
        <v>0.1</v>
      </c>
      <c r="M7790">
        <v>2.3094000000000001</v>
      </c>
    </row>
    <row r="7791" spans="1:13" x14ac:dyDescent="0.3">
      <c r="A7791" t="s">
        <v>28</v>
      </c>
      <c r="B7791" t="s">
        <v>14</v>
      </c>
      <c r="C7791" t="s">
        <v>15</v>
      </c>
      <c r="D7791" t="s">
        <v>55</v>
      </c>
      <c r="E7791" t="s">
        <v>56</v>
      </c>
      <c r="F7791">
        <v>19120</v>
      </c>
      <c r="G7791" t="s">
        <v>57</v>
      </c>
      <c r="H7791" t="s">
        <v>26</v>
      </c>
      <c r="I7791" t="s">
        <v>32</v>
      </c>
      <c r="J7791">
        <v>324.74400000000003</v>
      </c>
      <c r="K7791">
        <v>3</v>
      </c>
      <c r="L7791">
        <v>0.2</v>
      </c>
      <c r="M7791">
        <v>-77.1267</v>
      </c>
    </row>
    <row r="7792" spans="1:13" x14ac:dyDescent="0.3">
      <c r="A7792" t="s">
        <v>13</v>
      </c>
      <c r="B7792" t="s">
        <v>14</v>
      </c>
      <c r="C7792" t="s">
        <v>15</v>
      </c>
      <c r="D7792" t="s">
        <v>286</v>
      </c>
      <c r="E7792" t="s">
        <v>24</v>
      </c>
      <c r="F7792">
        <v>93727</v>
      </c>
      <c r="G7792" t="s">
        <v>25</v>
      </c>
      <c r="H7792" t="s">
        <v>19</v>
      </c>
      <c r="I7792" t="s">
        <v>33</v>
      </c>
      <c r="J7792">
        <v>40.479999999999997</v>
      </c>
      <c r="K7792">
        <v>2</v>
      </c>
      <c r="L7792">
        <v>0</v>
      </c>
      <c r="M7792">
        <v>14.572800000000001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27</v>
      </c>
      <c r="J7793">
        <v>12</v>
      </c>
      <c r="K7793">
        <v>4</v>
      </c>
      <c r="L7793">
        <v>0.2</v>
      </c>
      <c r="M7793">
        <v>4.2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720.06399999999996</v>
      </c>
      <c r="K7794">
        <v>4</v>
      </c>
      <c r="L7794">
        <v>0.2</v>
      </c>
      <c r="M7794">
        <v>-63.005600000000001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32</v>
      </c>
      <c r="J7795">
        <v>25.423999999999999</v>
      </c>
      <c r="K7795">
        <v>1</v>
      </c>
      <c r="L7795">
        <v>0.2</v>
      </c>
      <c r="M7795">
        <v>-4.7670000000000003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34</v>
      </c>
      <c r="J7796">
        <v>2.8159999999999998</v>
      </c>
      <c r="K7796">
        <v>2</v>
      </c>
      <c r="L7796">
        <v>0.2</v>
      </c>
      <c r="M7796">
        <v>0.31680000000000003</v>
      </c>
    </row>
    <row r="7797" spans="1:13" x14ac:dyDescent="0.3">
      <c r="A7797" t="s">
        <v>28</v>
      </c>
      <c r="B7797" t="s">
        <v>44</v>
      </c>
      <c r="C7797" t="s">
        <v>15</v>
      </c>
      <c r="D7797" t="s">
        <v>115</v>
      </c>
      <c r="E7797" t="s">
        <v>86</v>
      </c>
      <c r="F7797">
        <v>37064</v>
      </c>
      <c r="G7797" t="s">
        <v>18</v>
      </c>
      <c r="H7797" t="s">
        <v>26</v>
      </c>
      <c r="I7797" t="s">
        <v>37</v>
      </c>
      <c r="J7797">
        <v>3.2040000000000002</v>
      </c>
      <c r="K7797">
        <v>2</v>
      </c>
      <c r="L7797">
        <v>0.7</v>
      </c>
      <c r="M7797">
        <v>-2.5632000000000001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37</v>
      </c>
      <c r="J7798">
        <v>30.827999999999999</v>
      </c>
      <c r="K7798">
        <v>7</v>
      </c>
      <c r="L7798">
        <v>0.7</v>
      </c>
      <c r="M7798">
        <v>-24.662400000000002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26</v>
      </c>
      <c r="I7799" t="s">
        <v>34</v>
      </c>
      <c r="J7799">
        <v>47.616</v>
      </c>
      <c r="K7799">
        <v>3</v>
      </c>
      <c r="L7799">
        <v>0.2</v>
      </c>
      <c r="M7799">
        <v>5.952</v>
      </c>
    </row>
    <row r="7800" spans="1:13" x14ac:dyDescent="0.3">
      <c r="A7800" t="s">
        <v>28</v>
      </c>
      <c r="B7800" t="s">
        <v>14</v>
      </c>
      <c r="C7800" t="s">
        <v>15</v>
      </c>
      <c r="D7800" t="s">
        <v>339</v>
      </c>
      <c r="E7800" t="s">
        <v>40</v>
      </c>
      <c r="F7800">
        <v>27604</v>
      </c>
      <c r="G7800" t="s">
        <v>18</v>
      </c>
      <c r="H7800" t="s">
        <v>35</v>
      </c>
      <c r="I7800" t="s">
        <v>36</v>
      </c>
      <c r="J7800">
        <v>108.78400000000001</v>
      </c>
      <c r="K7800">
        <v>2</v>
      </c>
      <c r="L7800">
        <v>0.2</v>
      </c>
      <c r="M7800">
        <v>10.878399999999999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41</v>
      </c>
      <c r="J7801">
        <v>4.7699999999999996</v>
      </c>
      <c r="K7801">
        <v>1</v>
      </c>
      <c r="L7801">
        <v>0</v>
      </c>
      <c r="M7801">
        <v>2.1465000000000001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26</v>
      </c>
      <c r="I7802" t="s">
        <v>34</v>
      </c>
      <c r="J7802">
        <v>7.98</v>
      </c>
      <c r="K7802">
        <v>3</v>
      </c>
      <c r="L7802">
        <v>0</v>
      </c>
      <c r="M7802">
        <v>2.0748000000000002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31</v>
      </c>
      <c r="J7803">
        <v>550.43100000000004</v>
      </c>
      <c r="K7803">
        <v>3</v>
      </c>
      <c r="L7803">
        <v>0.3</v>
      </c>
      <c r="M7803">
        <v>-47.1798</v>
      </c>
    </row>
    <row r="7804" spans="1:13" x14ac:dyDescent="0.3">
      <c r="A7804" t="s">
        <v>62</v>
      </c>
      <c r="B7804" t="s">
        <v>14</v>
      </c>
      <c r="C7804" t="s">
        <v>15</v>
      </c>
      <c r="D7804" t="s">
        <v>268</v>
      </c>
      <c r="E7804" t="s">
        <v>248</v>
      </c>
      <c r="F7804">
        <v>20735</v>
      </c>
      <c r="G7804" t="s">
        <v>57</v>
      </c>
      <c r="H7804" t="s">
        <v>19</v>
      </c>
      <c r="I7804" t="s">
        <v>33</v>
      </c>
      <c r="J7804">
        <v>10.56</v>
      </c>
      <c r="K7804">
        <v>6</v>
      </c>
      <c r="L7804">
        <v>0</v>
      </c>
      <c r="M7804">
        <v>4.6463999999999999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19</v>
      </c>
      <c r="I7805" t="s">
        <v>20</v>
      </c>
      <c r="J7805">
        <v>1497.6659999999999</v>
      </c>
      <c r="K7805">
        <v>2</v>
      </c>
      <c r="L7805">
        <v>0.15</v>
      </c>
      <c r="M7805">
        <v>140.95679999999999</v>
      </c>
    </row>
    <row r="7806" spans="1:13" x14ac:dyDescent="0.3">
      <c r="A7806" t="s">
        <v>62</v>
      </c>
      <c r="B7806" t="s">
        <v>44</v>
      </c>
      <c r="C7806" t="s">
        <v>15</v>
      </c>
      <c r="D7806" t="s">
        <v>23</v>
      </c>
      <c r="E7806" t="s">
        <v>24</v>
      </c>
      <c r="F7806">
        <v>90049</v>
      </c>
      <c r="G7806" t="s">
        <v>25</v>
      </c>
      <c r="H7806" t="s">
        <v>35</v>
      </c>
      <c r="I7806" t="s">
        <v>36</v>
      </c>
      <c r="J7806">
        <v>17.52</v>
      </c>
      <c r="K7806">
        <v>2</v>
      </c>
      <c r="L7806">
        <v>0.2</v>
      </c>
      <c r="M7806">
        <v>-3.504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34</v>
      </c>
      <c r="J7807">
        <v>113.22</v>
      </c>
      <c r="K7807">
        <v>3</v>
      </c>
      <c r="L7807">
        <v>0</v>
      </c>
      <c r="M7807">
        <v>29.437200000000001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41</v>
      </c>
      <c r="J7808">
        <v>35.880000000000003</v>
      </c>
      <c r="K7808">
        <v>6</v>
      </c>
      <c r="L7808">
        <v>0</v>
      </c>
      <c r="M7808">
        <v>17.581199999999999</v>
      </c>
    </row>
    <row r="7809" spans="1:13" x14ac:dyDescent="0.3">
      <c r="A7809" t="s">
        <v>13</v>
      </c>
      <c r="B7809" t="s">
        <v>44</v>
      </c>
      <c r="C7809" t="s">
        <v>15</v>
      </c>
      <c r="D7809" t="s">
        <v>311</v>
      </c>
      <c r="E7809" t="s">
        <v>177</v>
      </c>
      <c r="F7809">
        <v>89031</v>
      </c>
      <c r="G7809" t="s">
        <v>25</v>
      </c>
      <c r="H7809" t="s">
        <v>26</v>
      </c>
      <c r="I7809" t="s">
        <v>37</v>
      </c>
      <c r="J7809">
        <v>4535.9759999999997</v>
      </c>
      <c r="K7809">
        <v>3</v>
      </c>
      <c r="L7809">
        <v>0.2</v>
      </c>
      <c r="M7809">
        <v>1644.2913000000001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52</v>
      </c>
      <c r="E7810" t="s">
        <v>24</v>
      </c>
      <c r="F7810">
        <v>94109</v>
      </c>
      <c r="G7810" t="s">
        <v>25</v>
      </c>
      <c r="H7810" t="s">
        <v>26</v>
      </c>
      <c r="I7810" t="s">
        <v>77</v>
      </c>
      <c r="J7810">
        <v>11.84</v>
      </c>
      <c r="K7810">
        <v>8</v>
      </c>
      <c r="L7810">
        <v>0</v>
      </c>
      <c r="M7810">
        <v>5.6832000000000003</v>
      </c>
    </row>
    <row r="7811" spans="1:13" x14ac:dyDescent="0.3">
      <c r="A7811" t="s">
        <v>13</v>
      </c>
      <c r="B7811" t="s">
        <v>44</v>
      </c>
      <c r="C7811" t="s">
        <v>15</v>
      </c>
      <c r="D7811" t="s">
        <v>485</v>
      </c>
      <c r="E7811" t="s">
        <v>179</v>
      </c>
      <c r="F7811">
        <v>2920</v>
      </c>
      <c r="G7811" t="s">
        <v>57</v>
      </c>
      <c r="H7811" t="s">
        <v>26</v>
      </c>
      <c r="I7811" t="s">
        <v>32</v>
      </c>
      <c r="J7811">
        <v>592.74</v>
      </c>
      <c r="K7811">
        <v>6</v>
      </c>
      <c r="L7811">
        <v>0</v>
      </c>
      <c r="M7811">
        <v>160.03980000000001</v>
      </c>
    </row>
    <row r="7812" spans="1:13" x14ac:dyDescent="0.3">
      <c r="A7812" t="s">
        <v>13</v>
      </c>
      <c r="B7812" t="s">
        <v>14</v>
      </c>
      <c r="C7812" t="s">
        <v>15</v>
      </c>
      <c r="D7812" t="s">
        <v>84</v>
      </c>
      <c r="E7812" t="s">
        <v>86</v>
      </c>
      <c r="F7812">
        <v>38301</v>
      </c>
      <c r="G7812" t="s">
        <v>18</v>
      </c>
      <c r="H7812" t="s">
        <v>26</v>
      </c>
      <c r="I7812" t="s">
        <v>32</v>
      </c>
      <c r="J7812">
        <v>111.672</v>
      </c>
      <c r="K7812">
        <v>9</v>
      </c>
      <c r="L7812">
        <v>0.2</v>
      </c>
      <c r="M7812">
        <v>6.9794999999999998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26</v>
      </c>
      <c r="I7813" t="s">
        <v>34</v>
      </c>
      <c r="J7813">
        <v>8.64</v>
      </c>
      <c r="K7813">
        <v>3</v>
      </c>
      <c r="L7813">
        <v>0</v>
      </c>
      <c r="M7813">
        <v>2.5055999999999998</v>
      </c>
    </row>
    <row r="7814" spans="1:13" x14ac:dyDescent="0.3">
      <c r="A7814" t="s">
        <v>28</v>
      </c>
      <c r="B7814" t="s">
        <v>44</v>
      </c>
      <c r="C7814" t="s">
        <v>15</v>
      </c>
      <c r="D7814" t="s">
        <v>114</v>
      </c>
      <c r="E7814" t="s">
        <v>72</v>
      </c>
      <c r="F7814">
        <v>19711</v>
      </c>
      <c r="G7814" t="s">
        <v>57</v>
      </c>
      <c r="H7814" t="s">
        <v>35</v>
      </c>
      <c r="I7814" t="s">
        <v>59</v>
      </c>
      <c r="J7814">
        <v>149.97</v>
      </c>
      <c r="K7814">
        <v>3</v>
      </c>
      <c r="L7814">
        <v>0</v>
      </c>
      <c r="M7814">
        <v>52.4895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23</v>
      </c>
      <c r="E7815" t="s">
        <v>24</v>
      </c>
      <c r="F7815">
        <v>90036</v>
      </c>
      <c r="G7815" t="s">
        <v>25</v>
      </c>
      <c r="H7815" t="s">
        <v>19</v>
      </c>
      <c r="I7815" t="s">
        <v>21</v>
      </c>
      <c r="J7815">
        <v>232.88</v>
      </c>
      <c r="K7815">
        <v>5</v>
      </c>
      <c r="L7815">
        <v>0.2</v>
      </c>
      <c r="M7815">
        <v>17.466000000000001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501</v>
      </c>
      <c r="E7816" t="s">
        <v>76</v>
      </c>
      <c r="F7816">
        <v>13440</v>
      </c>
      <c r="G7816" t="s">
        <v>57</v>
      </c>
      <c r="H7816" t="s">
        <v>19</v>
      </c>
      <c r="I7816" t="s">
        <v>21</v>
      </c>
      <c r="J7816">
        <v>90.882000000000005</v>
      </c>
      <c r="K7816">
        <v>1</v>
      </c>
      <c r="L7816">
        <v>0.1</v>
      </c>
      <c r="M7816">
        <v>15.147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35</v>
      </c>
      <c r="I7817" t="s">
        <v>36</v>
      </c>
      <c r="J7817">
        <v>508.76799999999997</v>
      </c>
      <c r="K7817">
        <v>4</v>
      </c>
      <c r="L7817">
        <v>0.2</v>
      </c>
      <c r="M7817">
        <v>38.157600000000002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79</v>
      </c>
      <c r="E7818" t="s">
        <v>65</v>
      </c>
      <c r="F7818">
        <v>60610</v>
      </c>
      <c r="G7818" t="s">
        <v>47</v>
      </c>
      <c r="H7818" t="s">
        <v>26</v>
      </c>
      <c r="I7818" t="s">
        <v>60</v>
      </c>
      <c r="J7818">
        <v>9.9120000000000008</v>
      </c>
      <c r="K7818">
        <v>3</v>
      </c>
      <c r="L7818">
        <v>0.2</v>
      </c>
      <c r="M7818">
        <v>3.2214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19</v>
      </c>
      <c r="I7819" t="s">
        <v>21</v>
      </c>
      <c r="J7819">
        <v>63.936</v>
      </c>
      <c r="K7819">
        <v>3</v>
      </c>
      <c r="L7819">
        <v>0.2</v>
      </c>
      <c r="M7819">
        <v>6.3936000000000002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26</v>
      </c>
      <c r="I7820" t="s">
        <v>34</v>
      </c>
      <c r="J7820">
        <v>59.52</v>
      </c>
      <c r="K7820">
        <v>3</v>
      </c>
      <c r="L7820">
        <v>0</v>
      </c>
      <c r="M7820">
        <v>15.475199999999999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35</v>
      </c>
      <c r="I7821" t="s">
        <v>36</v>
      </c>
      <c r="J7821">
        <v>311.976</v>
      </c>
      <c r="K7821">
        <v>3</v>
      </c>
      <c r="L7821">
        <v>0.2</v>
      </c>
      <c r="M7821">
        <v>38.997</v>
      </c>
    </row>
    <row r="7822" spans="1:13" x14ac:dyDescent="0.3">
      <c r="A7822" t="s">
        <v>28</v>
      </c>
      <c r="B7822" t="s">
        <v>22</v>
      </c>
      <c r="C7822" t="s">
        <v>15</v>
      </c>
      <c r="D7822" t="s">
        <v>144</v>
      </c>
      <c r="E7822" t="s">
        <v>24</v>
      </c>
      <c r="F7822">
        <v>92105</v>
      </c>
      <c r="G7822" t="s">
        <v>25</v>
      </c>
      <c r="H7822" t="s">
        <v>26</v>
      </c>
      <c r="I7822" t="s">
        <v>37</v>
      </c>
      <c r="J7822">
        <v>50.351999999999997</v>
      </c>
      <c r="K7822">
        <v>3</v>
      </c>
      <c r="L7822">
        <v>0.2</v>
      </c>
      <c r="M7822">
        <v>17.623200000000001</v>
      </c>
    </row>
    <row r="7823" spans="1:13" x14ac:dyDescent="0.3">
      <c r="A7823" t="s">
        <v>28</v>
      </c>
      <c r="B7823" t="s">
        <v>14</v>
      </c>
      <c r="C7823" t="s">
        <v>15</v>
      </c>
      <c r="D7823" t="s">
        <v>61</v>
      </c>
      <c r="E7823" t="s">
        <v>46</v>
      </c>
      <c r="F7823">
        <v>77036</v>
      </c>
      <c r="G7823" t="s">
        <v>47</v>
      </c>
      <c r="H7823" t="s">
        <v>35</v>
      </c>
      <c r="I7823" t="s">
        <v>36</v>
      </c>
      <c r="J7823">
        <v>19.135999999999999</v>
      </c>
      <c r="K7823">
        <v>2</v>
      </c>
      <c r="L7823">
        <v>0.2</v>
      </c>
      <c r="M7823">
        <v>1.9136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579</v>
      </c>
      <c r="E7824" t="s">
        <v>30</v>
      </c>
      <c r="F7824">
        <v>33407</v>
      </c>
      <c r="G7824" t="s">
        <v>18</v>
      </c>
      <c r="H7824" t="s">
        <v>26</v>
      </c>
      <c r="I7824" t="s">
        <v>34</v>
      </c>
      <c r="J7824">
        <v>13.12</v>
      </c>
      <c r="K7824">
        <v>5</v>
      </c>
      <c r="L7824">
        <v>0.2</v>
      </c>
      <c r="M7824">
        <v>2.1320000000000001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19</v>
      </c>
      <c r="I7825" t="s">
        <v>31</v>
      </c>
      <c r="J7825">
        <v>241.56800000000001</v>
      </c>
      <c r="K7825">
        <v>2</v>
      </c>
      <c r="L7825">
        <v>0.2</v>
      </c>
      <c r="M7825">
        <v>-15.098000000000001</v>
      </c>
    </row>
    <row r="7826" spans="1:13" x14ac:dyDescent="0.3">
      <c r="A7826" t="s">
        <v>13</v>
      </c>
      <c r="B7826" t="s">
        <v>14</v>
      </c>
      <c r="C7826" t="s">
        <v>15</v>
      </c>
      <c r="D7826" t="s">
        <v>23</v>
      </c>
      <c r="E7826" t="s">
        <v>24</v>
      </c>
      <c r="F7826">
        <v>90045</v>
      </c>
      <c r="G7826" t="s">
        <v>25</v>
      </c>
      <c r="H7826" t="s">
        <v>35</v>
      </c>
      <c r="I7826" t="s">
        <v>36</v>
      </c>
      <c r="J7826">
        <v>479.92</v>
      </c>
      <c r="K7826">
        <v>2</v>
      </c>
      <c r="L7826">
        <v>0.2</v>
      </c>
      <c r="M7826">
        <v>41.993000000000002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19</v>
      </c>
      <c r="I7827" t="s">
        <v>21</v>
      </c>
      <c r="J7827">
        <v>307.13600000000002</v>
      </c>
      <c r="K7827">
        <v>4</v>
      </c>
      <c r="L7827">
        <v>0.2</v>
      </c>
      <c r="M7827">
        <v>-11.5176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26</v>
      </c>
      <c r="I7828" t="s">
        <v>27</v>
      </c>
      <c r="J7828">
        <v>12.6</v>
      </c>
      <c r="K7828">
        <v>2</v>
      </c>
      <c r="L7828">
        <v>0</v>
      </c>
      <c r="M7828">
        <v>5.7960000000000003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42</v>
      </c>
      <c r="E7829" t="s">
        <v>43</v>
      </c>
      <c r="F7829">
        <v>98103</v>
      </c>
      <c r="G7829" t="s">
        <v>25</v>
      </c>
      <c r="H7829" t="s">
        <v>35</v>
      </c>
      <c r="I7829" t="s">
        <v>59</v>
      </c>
      <c r="J7829">
        <v>159.97999999999999</v>
      </c>
      <c r="K7829">
        <v>2</v>
      </c>
      <c r="L7829">
        <v>0</v>
      </c>
      <c r="M7829">
        <v>57.592799999999997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26</v>
      </c>
      <c r="I7830" t="s">
        <v>60</v>
      </c>
      <c r="J7830">
        <v>6.12</v>
      </c>
      <c r="K7830">
        <v>3</v>
      </c>
      <c r="L7830">
        <v>0</v>
      </c>
      <c r="M7830">
        <v>2.8763999999999998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174</v>
      </c>
      <c r="E7831" t="s">
        <v>102</v>
      </c>
      <c r="F7831">
        <v>50315</v>
      </c>
      <c r="G7831" t="s">
        <v>47</v>
      </c>
      <c r="H7831" t="s">
        <v>19</v>
      </c>
      <c r="I7831" t="s">
        <v>31</v>
      </c>
      <c r="J7831">
        <v>1184.72</v>
      </c>
      <c r="K7831">
        <v>4</v>
      </c>
      <c r="L7831">
        <v>0</v>
      </c>
      <c r="M7831">
        <v>106.62479999999999</v>
      </c>
    </row>
    <row r="7832" spans="1:13" x14ac:dyDescent="0.3">
      <c r="A7832" t="s">
        <v>28</v>
      </c>
      <c r="B7832" t="s">
        <v>14</v>
      </c>
      <c r="C7832" t="s">
        <v>15</v>
      </c>
      <c r="D7832" t="s">
        <v>75</v>
      </c>
      <c r="E7832" t="s">
        <v>76</v>
      </c>
      <c r="F7832">
        <v>10024</v>
      </c>
      <c r="G7832" t="s">
        <v>57</v>
      </c>
      <c r="H7832" t="s">
        <v>26</v>
      </c>
      <c r="I7832" t="s">
        <v>38</v>
      </c>
      <c r="J7832">
        <v>45.96</v>
      </c>
      <c r="K7832">
        <v>2</v>
      </c>
      <c r="L7832">
        <v>0</v>
      </c>
      <c r="M7832">
        <v>13.788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37</v>
      </c>
      <c r="J7833">
        <v>58.05</v>
      </c>
      <c r="K7833">
        <v>3</v>
      </c>
      <c r="L7833">
        <v>0</v>
      </c>
      <c r="M7833">
        <v>26.702999999999999</v>
      </c>
    </row>
    <row r="7834" spans="1:13" x14ac:dyDescent="0.3">
      <c r="A7834" t="s">
        <v>13</v>
      </c>
      <c r="B7834" t="s">
        <v>14</v>
      </c>
      <c r="C7834" t="s">
        <v>15</v>
      </c>
      <c r="D7834" t="s">
        <v>155</v>
      </c>
      <c r="E7834" t="s">
        <v>83</v>
      </c>
      <c r="F7834">
        <v>22204</v>
      </c>
      <c r="G7834" t="s">
        <v>18</v>
      </c>
      <c r="H7834" t="s">
        <v>26</v>
      </c>
      <c r="I7834" t="s">
        <v>41</v>
      </c>
      <c r="J7834">
        <v>71.28</v>
      </c>
      <c r="K7834">
        <v>11</v>
      </c>
      <c r="L7834">
        <v>0</v>
      </c>
      <c r="M7834">
        <v>34.214399999999998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432</v>
      </c>
      <c r="E7835" t="s">
        <v>46</v>
      </c>
      <c r="F7835">
        <v>78577</v>
      </c>
      <c r="G7835" t="s">
        <v>47</v>
      </c>
      <c r="H7835" t="s">
        <v>19</v>
      </c>
      <c r="I7835" t="s">
        <v>31</v>
      </c>
      <c r="J7835">
        <v>124.404</v>
      </c>
      <c r="K7835">
        <v>4</v>
      </c>
      <c r="L7835">
        <v>0.3</v>
      </c>
      <c r="M7835">
        <v>-21.3264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26</v>
      </c>
      <c r="I7836" t="s">
        <v>41</v>
      </c>
      <c r="J7836">
        <v>154.9</v>
      </c>
      <c r="K7836">
        <v>5</v>
      </c>
      <c r="L7836">
        <v>0</v>
      </c>
      <c r="M7836">
        <v>69.704999999999998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155</v>
      </c>
      <c r="E7837" t="s">
        <v>83</v>
      </c>
      <c r="F7837">
        <v>22204</v>
      </c>
      <c r="G7837" t="s">
        <v>18</v>
      </c>
      <c r="H7837" t="s">
        <v>35</v>
      </c>
      <c r="I7837" t="s">
        <v>36</v>
      </c>
      <c r="J7837">
        <v>1871.88</v>
      </c>
      <c r="K7837">
        <v>12</v>
      </c>
      <c r="L7837">
        <v>0</v>
      </c>
      <c r="M7837">
        <v>561.56399999999996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61</v>
      </c>
      <c r="E7838" t="s">
        <v>46</v>
      </c>
      <c r="F7838">
        <v>77070</v>
      </c>
      <c r="G7838" t="s">
        <v>47</v>
      </c>
      <c r="H7838" t="s">
        <v>19</v>
      </c>
      <c r="I7838" t="s">
        <v>33</v>
      </c>
      <c r="J7838">
        <v>16.192</v>
      </c>
      <c r="K7838">
        <v>2</v>
      </c>
      <c r="L7838">
        <v>0.6</v>
      </c>
      <c r="M7838">
        <v>-6.8815999999999997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18.936</v>
      </c>
      <c r="K7839">
        <v>3</v>
      </c>
      <c r="L7839">
        <v>0.2</v>
      </c>
      <c r="M7839">
        <v>-3.7871999999999999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32</v>
      </c>
      <c r="J7840">
        <v>12.672000000000001</v>
      </c>
      <c r="K7840">
        <v>3</v>
      </c>
      <c r="L7840">
        <v>0.2</v>
      </c>
      <c r="M7840">
        <v>-3.1680000000000001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303</v>
      </c>
      <c r="E7841" t="s">
        <v>46</v>
      </c>
      <c r="F7841">
        <v>75061</v>
      </c>
      <c r="G7841" t="s">
        <v>47</v>
      </c>
      <c r="H7841" t="s">
        <v>26</v>
      </c>
      <c r="I7841" t="s">
        <v>27</v>
      </c>
      <c r="J7841">
        <v>5.04</v>
      </c>
      <c r="K7841">
        <v>2</v>
      </c>
      <c r="L7841">
        <v>0.2</v>
      </c>
      <c r="M7841">
        <v>1.764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41</v>
      </c>
      <c r="J7842">
        <v>8.4480000000000004</v>
      </c>
      <c r="K7842">
        <v>2</v>
      </c>
      <c r="L7842">
        <v>0.2</v>
      </c>
      <c r="M7842">
        <v>2.9567999999999999</v>
      </c>
    </row>
    <row r="7843" spans="1:13" x14ac:dyDescent="0.3">
      <c r="A7843" t="s">
        <v>28</v>
      </c>
      <c r="B7843" t="s">
        <v>22</v>
      </c>
      <c r="C7843" t="s">
        <v>15</v>
      </c>
      <c r="D7843" t="s">
        <v>79</v>
      </c>
      <c r="E7843" t="s">
        <v>65</v>
      </c>
      <c r="F7843">
        <v>60653</v>
      </c>
      <c r="G7843" t="s">
        <v>47</v>
      </c>
      <c r="H7843" t="s">
        <v>26</v>
      </c>
      <c r="I7843" t="s">
        <v>38</v>
      </c>
      <c r="J7843">
        <v>20.388000000000002</v>
      </c>
      <c r="K7843">
        <v>2</v>
      </c>
      <c r="L7843">
        <v>0.8</v>
      </c>
      <c r="M7843">
        <v>-53.008800000000001</v>
      </c>
    </row>
    <row r="7844" spans="1:13" x14ac:dyDescent="0.3">
      <c r="A7844" t="s">
        <v>28</v>
      </c>
      <c r="B7844" t="s">
        <v>44</v>
      </c>
      <c r="C7844" t="s">
        <v>15</v>
      </c>
      <c r="D7844" t="s">
        <v>23</v>
      </c>
      <c r="E7844" t="s">
        <v>24</v>
      </c>
      <c r="F7844">
        <v>90049</v>
      </c>
      <c r="G7844" t="s">
        <v>25</v>
      </c>
      <c r="H7844" t="s">
        <v>26</v>
      </c>
      <c r="I7844" t="s">
        <v>41</v>
      </c>
      <c r="J7844">
        <v>9.9600000000000009</v>
      </c>
      <c r="K7844">
        <v>2</v>
      </c>
      <c r="L7844">
        <v>0</v>
      </c>
      <c r="M7844">
        <v>4.8803999999999998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26</v>
      </c>
      <c r="I7845" t="s">
        <v>38</v>
      </c>
      <c r="J7845">
        <v>320.64</v>
      </c>
      <c r="K7845">
        <v>4</v>
      </c>
      <c r="L7845">
        <v>0</v>
      </c>
      <c r="M7845">
        <v>89.779200000000003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504</v>
      </c>
      <c r="E7846" t="s">
        <v>185</v>
      </c>
      <c r="F7846">
        <v>39401</v>
      </c>
      <c r="G7846" t="s">
        <v>18</v>
      </c>
      <c r="H7846" t="s">
        <v>35</v>
      </c>
      <c r="I7846" t="s">
        <v>59</v>
      </c>
      <c r="J7846">
        <v>52</v>
      </c>
      <c r="K7846">
        <v>4</v>
      </c>
      <c r="L7846">
        <v>0</v>
      </c>
      <c r="M7846">
        <v>23.4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26</v>
      </c>
      <c r="I7847" t="s">
        <v>37</v>
      </c>
      <c r="J7847">
        <v>25.584</v>
      </c>
      <c r="K7847">
        <v>2</v>
      </c>
      <c r="L7847">
        <v>0.2</v>
      </c>
      <c r="M7847">
        <v>8.9543999999999997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35</v>
      </c>
      <c r="I7848" t="s">
        <v>36</v>
      </c>
      <c r="J7848">
        <v>464</v>
      </c>
      <c r="K7848">
        <v>5</v>
      </c>
      <c r="L7848">
        <v>0</v>
      </c>
      <c r="M7848">
        <v>134.56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38</v>
      </c>
      <c r="J7849">
        <v>235.95</v>
      </c>
      <c r="K7849">
        <v>3</v>
      </c>
      <c r="L7849">
        <v>0</v>
      </c>
      <c r="M7849">
        <v>77.863500000000002</v>
      </c>
    </row>
    <row r="7850" spans="1:13" x14ac:dyDescent="0.3">
      <c r="A7850" t="s">
        <v>62</v>
      </c>
      <c r="B7850" t="s">
        <v>22</v>
      </c>
      <c r="C7850" t="s">
        <v>15</v>
      </c>
      <c r="D7850" t="s">
        <v>75</v>
      </c>
      <c r="E7850" t="s">
        <v>76</v>
      </c>
      <c r="F7850">
        <v>10024</v>
      </c>
      <c r="G7850" t="s">
        <v>57</v>
      </c>
      <c r="H7850" t="s">
        <v>26</v>
      </c>
      <c r="I7850" t="s">
        <v>41</v>
      </c>
      <c r="J7850">
        <v>39.96</v>
      </c>
      <c r="K7850">
        <v>4</v>
      </c>
      <c r="L7850">
        <v>0</v>
      </c>
      <c r="M7850">
        <v>17.981999999999999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276</v>
      </c>
      <c r="E7851" t="s">
        <v>104</v>
      </c>
      <c r="F7851">
        <v>44221</v>
      </c>
      <c r="G7851" t="s">
        <v>57</v>
      </c>
      <c r="H7851" t="s">
        <v>26</v>
      </c>
      <c r="I7851" t="s">
        <v>37</v>
      </c>
      <c r="J7851">
        <v>18.527999999999999</v>
      </c>
      <c r="K7851">
        <v>4</v>
      </c>
      <c r="L7851">
        <v>0.7</v>
      </c>
      <c r="M7851">
        <v>-12.352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35</v>
      </c>
      <c r="I7852" t="s">
        <v>59</v>
      </c>
      <c r="J7852">
        <v>17.899999999999999</v>
      </c>
      <c r="K7852">
        <v>2</v>
      </c>
      <c r="L7852">
        <v>0</v>
      </c>
      <c r="M7852">
        <v>3.4009999999999998</v>
      </c>
    </row>
    <row r="7853" spans="1:13" x14ac:dyDescent="0.3">
      <c r="A7853" t="s">
        <v>28</v>
      </c>
      <c r="B7853" t="s">
        <v>14</v>
      </c>
      <c r="C7853" t="s">
        <v>15</v>
      </c>
      <c r="D7853" t="s">
        <v>42</v>
      </c>
      <c r="E7853" t="s">
        <v>43</v>
      </c>
      <c r="F7853">
        <v>98103</v>
      </c>
      <c r="G7853" t="s">
        <v>25</v>
      </c>
      <c r="H7853" t="s">
        <v>26</v>
      </c>
      <c r="I7853" t="s">
        <v>32</v>
      </c>
      <c r="J7853">
        <v>81.96</v>
      </c>
      <c r="K7853">
        <v>2</v>
      </c>
      <c r="L7853">
        <v>0</v>
      </c>
      <c r="M7853">
        <v>0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32</v>
      </c>
      <c r="J7854">
        <v>272.73599999999999</v>
      </c>
      <c r="K7854">
        <v>3</v>
      </c>
      <c r="L7854">
        <v>0.2</v>
      </c>
      <c r="M7854">
        <v>-64.774799999999999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26</v>
      </c>
      <c r="I7855" t="s">
        <v>41</v>
      </c>
      <c r="J7855">
        <v>18.495999999999999</v>
      </c>
      <c r="K7855">
        <v>4</v>
      </c>
      <c r="L7855">
        <v>0.2</v>
      </c>
      <c r="M7855">
        <v>6.7047999999999996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21</v>
      </c>
      <c r="J7856">
        <v>441.92</v>
      </c>
      <c r="K7856">
        <v>2</v>
      </c>
      <c r="L7856">
        <v>0.2</v>
      </c>
      <c r="M7856">
        <v>49.716000000000001</v>
      </c>
    </row>
    <row r="7857" spans="1:13" x14ac:dyDescent="0.3">
      <c r="A7857" t="s">
        <v>13</v>
      </c>
      <c r="B7857" t="s">
        <v>14</v>
      </c>
      <c r="C7857" t="s">
        <v>15</v>
      </c>
      <c r="D7857" t="s">
        <v>206</v>
      </c>
      <c r="E7857" t="s">
        <v>81</v>
      </c>
      <c r="F7857">
        <v>85204</v>
      </c>
      <c r="G7857" t="s">
        <v>25</v>
      </c>
      <c r="H7857" t="s">
        <v>19</v>
      </c>
      <c r="I7857" t="s">
        <v>20</v>
      </c>
      <c r="J7857">
        <v>127.764</v>
      </c>
      <c r="K7857">
        <v>6</v>
      </c>
      <c r="L7857">
        <v>0.7</v>
      </c>
      <c r="M7857">
        <v>-191.64599999999999</v>
      </c>
    </row>
    <row r="7858" spans="1:13" x14ac:dyDescent="0.3">
      <c r="A7858" t="s">
        <v>13</v>
      </c>
      <c r="B7858" t="s">
        <v>44</v>
      </c>
      <c r="C7858" t="s">
        <v>15</v>
      </c>
      <c r="D7858" t="s">
        <v>374</v>
      </c>
      <c r="E7858" t="s">
        <v>51</v>
      </c>
      <c r="F7858">
        <v>84106</v>
      </c>
      <c r="G7858" t="s">
        <v>25</v>
      </c>
      <c r="H7858" t="s">
        <v>26</v>
      </c>
      <c r="I7858" t="s">
        <v>41</v>
      </c>
      <c r="J7858">
        <v>166.44</v>
      </c>
      <c r="K7858">
        <v>3</v>
      </c>
      <c r="L7858">
        <v>0</v>
      </c>
      <c r="M7858">
        <v>79.891199999999998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23</v>
      </c>
      <c r="E7859" t="s">
        <v>24</v>
      </c>
      <c r="F7859">
        <v>90045</v>
      </c>
      <c r="G7859" t="s">
        <v>25</v>
      </c>
      <c r="H7859" t="s">
        <v>26</v>
      </c>
      <c r="I7859" t="s">
        <v>41</v>
      </c>
      <c r="J7859">
        <v>13.38</v>
      </c>
      <c r="K7859">
        <v>2</v>
      </c>
      <c r="L7859">
        <v>0</v>
      </c>
      <c r="M7859">
        <v>6.1547999999999998</v>
      </c>
    </row>
    <row r="7860" spans="1:13" x14ac:dyDescent="0.3">
      <c r="A7860" t="s">
        <v>28</v>
      </c>
      <c r="B7860" t="s">
        <v>14</v>
      </c>
      <c r="C7860" t="s">
        <v>15</v>
      </c>
      <c r="D7860" t="s">
        <v>189</v>
      </c>
      <c r="E7860" t="s">
        <v>40</v>
      </c>
      <c r="F7860">
        <v>28540</v>
      </c>
      <c r="G7860" t="s">
        <v>18</v>
      </c>
      <c r="H7860" t="s">
        <v>35</v>
      </c>
      <c r="I7860" t="s">
        <v>59</v>
      </c>
      <c r="J7860">
        <v>24</v>
      </c>
      <c r="K7860">
        <v>2</v>
      </c>
      <c r="L7860">
        <v>0.2</v>
      </c>
      <c r="M7860">
        <v>-2.7</v>
      </c>
    </row>
    <row r="7861" spans="1:13" x14ac:dyDescent="0.3">
      <c r="A7861" t="s">
        <v>28</v>
      </c>
      <c r="B7861" t="s">
        <v>22</v>
      </c>
      <c r="C7861" t="s">
        <v>15</v>
      </c>
      <c r="D7861" t="s">
        <v>154</v>
      </c>
      <c r="E7861" t="s">
        <v>104</v>
      </c>
      <c r="F7861">
        <v>44107</v>
      </c>
      <c r="G7861" t="s">
        <v>57</v>
      </c>
      <c r="H7861" t="s">
        <v>26</v>
      </c>
      <c r="I7861" t="s">
        <v>60</v>
      </c>
      <c r="J7861">
        <v>24.448</v>
      </c>
      <c r="K7861">
        <v>4</v>
      </c>
      <c r="L7861">
        <v>0.2</v>
      </c>
      <c r="M7861">
        <v>8.8623999999999992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26</v>
      </c>
      <c r="I7862" t="s">
        <v>27</v>
      </c>
      <c r="J7862">
        <v>6.16</v>
      </c>
      <c r="K7862">
        <v>2</v>
      </c>
      <c r="L7862">
        <v>0</v>
      </c>
      <c r="M7862">
        <v>2.9567999999999999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19</v>
      </c>
      <c r="I7863" t="s">
        <v>21</v>
      </c>
      <c r="J7863">
        <v>915.13599999999997</v>
      </c>
      <c r="K7863">
        <v>4</v>
      </c>
      <c r="L7863">
        <v>0.2</v>
      </c>
      <c r="M7863">
        <v>102.9528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8.56</v>
      </c>
      <c r="K7864">
        <v>2</v>
      </c>
      <c r="L7864">
        <v>0</v>
      </c>
      <c r="M7864">
        <v>3.8519999999999999</v>
      </c>
    </row>
    <row r="7865" spans="1:13" x14ac:dyDescent="0.3">
      <c r="A7865" t="s">
        <v>28</v>
      </c>
      <c r="B7865" t="s">
        <v>44</v>
      </c>
      <c r="C7865" t="s">
        <v>15</v>
      </c>
      <c r="D7865" t="s">
        <v>544</v>
      </c>
      <c r="E7865" t="s">
        <v>24</v>
      </c>
      <c r="F7865">
        <v>92630</v>
      </c>
      <c r="G7865" t="s">
        <v>25</v>
      </c>
      <c r="H7865" t="s">
        <v>26</v>
      </c>
      <c r="I7865" t="s">
        <v>41</v>
      </c>
      <c r="J7865">
        <v>97.82</v>
      </c>
      <c r="K7865">
        <v>2</v>
      </c>
      <c r="L7865">
        <v>0</v>
      </c>
      <c r="M7865">
        <v>45.9754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41</v>
      </c>
      <c r="J7866">
        <v>31.103999999999999</v>
      </c>
      <c r="K7866">
        <v>6</v>
      </c>
      <c r="L7866">
        <v>0.2</v>
      </c>
      <c r="M7866">
        <v>11.2752</v>
      </c>
    </row>
    <row r="7867" spans="1:13" x14ac:dyDescent="0.3">
      <c r="A7867" t="s">
        <v>28</v>
      </c>
      <c r="B7867" t="s">
        <v>22</v>
      </c>
      <c r="C7867" t="s">
        <v>15</v>
      </c>
      <c r="D7867" t="s">
        <v>94</v>
      </c>
      <c r="E7867" t="s">
        <v>95</v>
      </c>
      <c r="F7867">
        <v>97206</v>
      </c>
      <c r="G7867" t="s">
        <v>25</v>
      </c>
      <c r="H7867" t="s">
        <v>26</v>
      </c>
      <c r="I7867" t="s">
        <v>38</v>
      </c>
      <c r="J7867">
        <v>11.176</v>
      </c>
      <c r="K7867">
        <v>1</v>
      </c>
      <c r="L7867">
        <v>0.2</v>
      </c>
      <c r="M7867">
        <v>0.83819999999999995</v>
      </c>
    </row>
    <row r="7868" spans="1:13" x14ac:dyDescent="0.3">
      <c r="A7868" t="s">
        <v>28</v>
      </c>
      <c r="B7868" t="s">
        <v>14</v>
      </c>
      <c r="C7868" t="s">
        <v>15</v>
      </c>
      <c r="D7868" t="s">
        <v>99</v>
      </c>
      <c r="E7868" t="s">
        <v>40</v>
      </c>
      <c r="F7868">
        <v>28205</v>
      </c>
      <c r="G7868" t="s">
        <v>18</v>
      </c>
      <c r="H7868" t="s">
        <v>26</v>
      </c>
      <c r="I7868" t="s">
        <v>27</v>
      </c>
      <c r="J7868">
        <v>5.04</v>
      </c>
      <c r="K7868">
        <v>2</v>
      </c>
      <c r="L7868">
        <v>0.2</v>
      </c>
      <c r="M7868">
        <v>1.764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97</v>
      </c>
      <c r="E7869" t="s">
        <v>65</v>
      </c>
      <c r="F7869">
        <v>60505</v>
      </c>
      <c r="G7869" t="s">
        <v>47</v>
      </c>
      <c r="H7869" t="s">
        <v>19</v>
      </c>
      <c r="I7869" t="s">
        <v>33</v>
      </c>
      <c r="J7869">
        <v>242.17599999999999</v>
      </c>
      <c r="K7869">
        <v>4</v>
      </c>
      <c r="L7869">
        <v>0.6</v>
      </c>
      <c r="M7869">
        <v>-302.72000000000003</v>
      </c>
    </row>
    <row r="7870" spans="1:13" x14ac:dyDescent="0.3">
      <c r="A7870" t="s">
        <v>28</v>
      </c>
      <c r="B7870" t="s">
        <v>22</v>
      </c>
      <c r="C7870" t="s">
        <v>15</v>
      </c>
      <c r="D7870" t="s">
        <v>55</v>
      </c>
      <c r="E7870" t="s">
        <v>56</v>
      </c>
      <c r="F7870">
        <v>19140</v>
      </c>
      <c r="G7870" t="s">
        <v>57</v>
      </c>
      <c r="H7870" t="s">
        <v>19</v>
      </c>
      <c r="I7870" t="s">
        <v>31</v>
      </c>
      <c r="J7870">
        <v>337.17599999999999</v>
      </c>
      <c r="K7870">
        <v>2</v>
      </c>
      <c r="L7870">
        <v>0.4</v>
      </c>
      <c r="M7870">
        <v>-118.0116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26</v>
      </c>
      <c r="I7871" t="s">
        <v>34</v>
      </c>
      <c r="J7871">
        <v>13.343999999999999</v>
      </c>
      <c r="K7871">
        <v>6</v>
      </c>
      <c r="L7871">
        <v>0.2</v>
      </c>
      <c r="M7871">
        <v>1.0007999999999999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76.751999999999995</v>
      </c>
      <c r="K7872">
        <v>6</v>
      </c>
      <c r="L7872">
        <v>0.2</v>
      </c>
      <c r="M7872">
        <v>10.5534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35</v>
      </c>
      <c r="I7873" t="s">
        <v>59</v>
      </c>
      <c r="J7873">
        <v>102.336</v>
      </c>
      <c r="K7873">
        <v>8</v>
      </c>
      <c r="L7873">
        <v>0.2</v>
      </c>
      <c r="M7873">
        <v>14.071199999999999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41</v>
      </c>
      <c r="J7874">
        <v>10.32</v>
      </c>
      <c r="K7874">
        <v>2</v>
      </c>
      <c r="L7874">
        <v>0.2</v>
      </c>
      <c r="M7874">
        <v>3.7410000000000001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26</v>
      </c>
      <c r="I7875" t="s">
        <v>110</v>
      </c>
      <c r="J7875">
        <v>47.32</v>
      </c>
      <c r="K7875">
        <v>7</v>
      </c>
      <c r="L7875">
        <v>0.2</v>
      </c>
      <c r="M7875">
        <v>5.915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23.376000000000001</v>
      </c>
      <c r="K7876">
        <v>3</v>
      </c>
      <c r="L7876">
        <v>0.2</v>
      </c>
      <c r="M7876">
        <v>7.0128000000000004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16.72</v>
      </c>
      <c r="K7877">
        <v>5</v>
      </c>
      <c r="L7877">
        <v>0.2</v>
      </c>
      <c r="M7877">
        <v>3.3439999999999999</v>
      </c>
    </row>
    <row r="7878" spans="1:13" x14ac:dyDescent="0.3">
      <c r="A7878" t="s">
        <v>13</v>
      </c>
      <c r="B7878" t="s">
        <v>14</v>
      </c>
      <c r="C7878" t="s">
        <v>15</v>
      </c>
      <c r="D7878" t="s">
        <v>467</v>
      </c>
      <c r="E7878" t="s">
        <v>98</v>
      </c>
      <c r="F7878">
        <v>80229</v>
      </c>
      <c r="G7878" t="s">
        <v>25</v>
      </c>
      <c r="H7878" t="s">
        <v>19</v>
      </c>
      <c r="I7878" t="s">
        <v>33</v>
      </c>
      <c r="J7878">
        <v>16.192</v>
      </c>
      <c r="K7878">
        <v>1</v>
      </c>
      <c r="L7878">
        <v>0.2</v>
      </c>
      <c r="M7878">
        <v>4.6551999999999998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590</v>
      </c>
      <c r="E7879" t="s">
        <v>24</v>
      </c>
      <c r="F7879">
        <v>95616</v>
      </c>
      <c r="G7879" t="s">
        <v>25</v>
      </c>
      <c r="H7879" t="s">
        <v>26</v>
      </c>
      <c r="I7879" t="s">
        <v>41</v>
      </c>
      <c r="J7879">
        <v>32.4</v>
      </c>
      <c r="K7879">
        <v>5</v>
      </c>
      <c r="L7879">
        <v>0</v>
      </c>
      <c r="M7879">
        <v>15.552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26</v>
      </c>
      <c r="I7880" t="s">
        <v>34</v>
      </c>
      <c r="J7880">
        <v>19.89</v>
      </c>
      <c r="K7880">
        <v>9</v>
      </c>
      <c r="L7880">
        <v>0</v>
      </c>
      <c r="M7880">
        <v>5.3703000000000003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35</v>
      </c>
      <c r="I7881" t="s">
        <v>59</v>
      </c>
      <c r="J7881">
        <v>399.98</v>
      </c>
      <c r="K7881">
        <v>2</v>
      </c>
      <c r="L7881">
        <v>0</v>
      </c>
      <c r="M7881">
        <v>171.9914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19</v>
      </c>
      <c r="I7882" t="s">
        <v>33</v>
      </c>
      <c r="J7882">
        <v>343.85</v>
      </c>
      <c r="K7882">
        <v>5</v>
      </c>
      <c r="L7882">
        <v>0</v>
      </c>
      <c r="M7882">
        <v>137.54</v>
      </c>
    </row>
    <row r="7883" spans="1:13" x14ac:dyDescent="0.3">
      <c r="A7883" t="s">
        <v>28</v>
      </c>
      <c r="B7883" t="s">
        <v>14</v>
      </c>
      <c r="C7883" t="s">
        <v>15</v>
      </c>
      <c r="D7883" t="s">
        <v>196</v>
      </c>
      <c r="E7883" t="s">
        <v>197</v>
      </c>
      <c r="F7883">
        <v>72701</v>
      </c>
      <c r="G7883" t="s">
        <v>18</v>
      </c>
      <c r="H7883" t="s">
        <v>26</v>
      </c>
      <c r="I7883" t="s">
        <v>41</v>
      </c>
      <c r="J7883">
        <v>106.32</v>
      </c>
      <c r="K7883">
        <v>3</v>
      </c>
      <c r="L7883">
        <v>0</v>
      </c>
      <c r="M7883">
        <v>49.970399999999998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75</v>
      </c>
      <c r="E7884" t="s">
        <v>76</v>
      </c>
      <c r="F7884">
        <v>10011</v>
      </c>
      <c r="G7884" t="s">
        <v>57</v>
      </c>
      <c r="H7884" t="s">
        <v>26</v>
      </c>
      <c r="I7884" t="s">
        <v>37</v>
      </c>
      <c r="J7884">
        <v>13.92</v>
      </c>
      <c r="K7884">
        <v>3</v>
      </c>
      <c r="L7884">
        <v>0.2</v>
      </c>
      <c r="M7884">
        <v>4.3499999999999996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82.4</v>
      </c>
      <c r="K7885">
        <v>5</v>
      </c>
      <c r="L7885">
        <v>0</v>
      </c>
      <c r="M7885">
        <v>40.375999999999998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37</v>
      </c>
      <c r="J7886">
        <v>6.24</v>
      </c>
      <c r="K7886">
        <v>2</v>
      </c>
      <c r="L7886">
        <v>0</v>
      </c>
      <c r="M7886">
        <v>3.0575999999999999</v>
      </c>
    </row>
    <row r="7887" spans="1:13" x14ac:dyDescent="0.3">
      <c r="A7887" t="s">
        <v>28</v>
      </c>
      <c r="B7887" t="s">
        <v>44</v>
      </c>
      <c r="C7887" t="s">
        <v>15</v>
      </c>
      <c r="D7887" t="s">
        <v>409</v>
      </c>
      <c r="E7887" t="s">
        <v>591</v>
      </c>
      <c r="F7887">
        <v>26003</v>
      </c>
      <c r="G7887" t="s">
        <v>57</v>
      </c>
      <c r="H7887" t="s">
        <v>26</v>
      </c>
      <c r="I7887" t="s">
        <v>41</v>
      </c>
      <c r="J7887">
        <v>447.84</v>
      </c>
      <c r="K7887">
        <v>8</v>
      </c>
      <c r="L7887">
        <v>0</v>
      </c>
      <c r="M7887">
        <v>219.44159999999999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38</v>
      </c>
      <c r="J7888">
        <v>272.048</v>
      </c>
      <c r="K7888">
        <v>7</v>
      </c>
      <c r="L7888">
        <v>0.2</v>
      </c>
      <c r="M7888">
        <v>30.605399999999999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37</v>
      </c>
      <c r="J7889">
        <v>1614.5820000000001</v>
      </c>
      <c r="K7889">
        <v>6</v>
      </c>
      <c r="L7889">
        <v>0.7</v>
      </c>
      <c r="M7889">
        <v>-1237.8462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26</v>
      </c>
      <c r="I7890" t="s">
        <v>77</v>
      </c>
      <c r="J7890">
        <v>24.32</v>
      </c>
      <c r="K7890">
        <v>5</v>
      </c>
      <c r="L7890">
        <v>0.2</v>
      </c>
      <c r="M7890">
        <v>9.1199999999999992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35</v>
      </c>
      <c r="I7891" t="s">
        <v>59</v>
      </c>
      <c r="J7891">
        <v>1.5840000000000001</v>
      </c>
      <c r="K7891">
        <v>2</v>
      </c>
      <c r="L7891">
        <v>0.2</v>
      </c>
      <c r="M7891">
        <v>0.47520000000000001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19</v>
      </c>
      <c r="I7892" t="s">
        <v>33</v>
      </c>
      <c r="J7892">
        <v>31.984000000000002</v>
      </c>
      <c r="K7892">
        <v>1</v>
      </c>
      <c r="L7892">
        <v>0.2</v>
      </c>
      <c r="M7892">
        <v>0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26</v>
      </c>
      <c r="I7893" t="s">
        <v>60</v>
      </c>
      <c r="J7893">
        <v>14.76</v>
      </c>
      <c r="K7893">
        <v>5</v>
      </c>
      <c r="L7893">
        <v>0.2</v>
      </c>
      <c r="M7893">
        <v>4.7969999999999997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85</v>
      </c>
      <c r="E7894" t="s">
        <v>86</v>
      </c>
      <c r="F7894">
        <v>38109</v>
      </c>
      <c r="G7894" t="s">
        <v>18</v>
      </c>
      <c r="H7894" t="s">
        <v>19</v>
      </c>
      <c r="I7894" t="s">
        <v>21</v>
      </c>
      <c r="J7894">
        <v>423.64800000000002</v>
      </c>
      <c r="K7894">
        <v>2</v>
      </c>
      <c r="L7894">
        <v>0.2</v>
      </c>
      <c r="M7894">
        <v>47.660400000000003</v>
      </c>
    </row>
    <row r="7895" spans="1:13" x14ac:dyDescent="0.3">
      <c r="A7895" t="s">
        <v>28</v>
      </c>
      <c r="B7895" t="s">
        <v>14</v>
      </c>
      <c r="C7895" t="s">
        <v>15</v>
      </c>
      <c r="D7895" t="s">
        <v>61</v>
      </c>
      <c r="E7895" t="s">
        <v>46</v>
      </c>
      <c r="F7895">
        <v>77036</v>
      </c>
      <c r="G7895" t="s">
        <v>47</v>
      </c>
      <c r="H7895" t="s">
        <v>26</v>
      </c>
      <c r="I7895" t="s">
        <v>41</v>
      </c>
      <c r="J7895">
        <v>76.64</v>
      </c>
      <c r="K7895">
        <v>2</v>
      </c>
      <c r="L7895">
        <v>0.2</v>
      </c>
      <c r="M7895">
        <v>26.824000000000002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60</v>
      </c>
      <c r="J7896">
        <v>4.4640000000000004</v>
      </c>
      <c r="K7896">
        <v>1</v>
      </c>
      <c r="L7896">
        <v>0.2</v>
      </c>
      <c r="M7896">
        <v>1.6739999999999999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135</v>
      </c>
      <c r="E7897" t="s">
        <v>46</v>
      </c>
      <c r="F7897">
        <v>75217</v>
      </c>
      <c r="G7897" t="s">
        <v>47</v>
      </c>
      <c r="H7897" t="s">
        <v>26</v>
      </c>
      <c r="I7897" t="s">
        <v>37</v>
      </c>
      <c r="J7897">
        <v>3.96</v>
      </c>
      <c r="K7897">
        <v>10</v>
      </c>
      <c r="L7897">
        <v>0.8</v>
      </c>
      <c r="M7897">
        <v>-6.93</v>
      </c>
    </row>
    <row r="7898" spans="1:13" x14ac:dyDescent="0.3">
      <c r="A7898" t="s">
        <v>62</v>
      </c>
      <c r="B7898" t="s">
        <v>22</v>
      </c>
      <c r="C7898" t="s">
        <v>15</v>
      </c>
      <c r="D7898" t="s">
        <v>52</v>
      </c>
      <c r="E7898" t="s">
        <v>24</v>
      </c>
      <c r="F7898">
        <v>94122</v>
      </c>
      <c r="G7898" t="s">
        <v>25</v>
      </c>
      <c r="H7898" t="s">
        <v>26</v>
      </c>
      <c r="I7898" t="s">
        <v>38</v>
      </c>
      <c r="J7898">
        <v>715.64</v>
      </c>
      <c r="K7898">
        <v>2</v>
      </c>
      <c r="L7898">
        <v>0</v>
      </c>
      <c r="M7898">
        <v>178.91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19</v>
      </c>
      <c r="I7899" t="s">
        <v>31</v>
      </c>
      <c r="J7899">
        <v>268.70400000000001</v>
      </c>
      <c r="K7899">
        <v>3</v>
      </c>
      <c r="L7899">
        <v>0.2</v>
      </c>
      <c r="M7899">
        <v>6.7176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34</v>
      </c>
      <c r="J7900">
        <v>21.92</v>
      </c>
      <c r="K7900">
        <v>8</v>
      </c>
      <c r="L7900">
        <v>0</v>
      </c>
      <c r="M7900">
        <v>5.9184000000000001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26</v>
      </c>
      <c r="I7901" t="s">
        <v>32</v>
      </c>
      <c r="J7901">
        <v>48.72</v>
      </c>
      <c r="K7901">
        <v>3</v>
      </c>
      <c r="L7901">
        <v>0</v>
      </c>
      <c r="M7901">
        <v>7.3079999999999998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592</v>
      </c>
      <c r="E7902" t="s">
        <v>24</v>
      </c>
      <c r="F7902">
        <v>95037</v>
      </c>
      <c r="G7902" t="s">
        <v>25</v>
      </c>
      <c r="H7902" t="s">
        <v>19</v>
      </c>
      <c r="I7902" t="s">
        <v>20</v>
      </c>
      <c r="J7902">
        <v>205.666</v>
      </c>
      <c r="K7902">
        <v>2</v>
      </c>
      <c r="L7902">
        <v>0.15</v>
      </c>
      <c r="M7902">
        <v>-12.098000000000001</v>
      </c>
    </row>
    <row r="7903" spans="1:13" x14ac:dyDescent="0.3">
      <c r="A7903" t="s">
        <v>13</v>
      </c>
      <c r="B7903" t="s">
        <v>14</v>
      </c>
      <c r="C7903" t="s">
        <v>15</v>
      </c>
      <c r="D7903" t="s">
        <v>582</v>
      </c>
      <c r="E7903" t="s">
        <v>65</v>
      </c>
      <c r="F7903">
        <v>60174</v>
      </c>
      <c r="G7903" t="s">
        <v>47</v>
      </c>
      <c r="H7903" t="s">
        <v>19</v>
      </c>
      <c r="I7903" t="s">
        <v>33</v>
      </c>
      <c r="J7903">
        <v>30.344000000000001</v>
      </c>
      <c r="K7903">
        <v>2</v>
      </c>
      <c r="L7903">
        <v>0.6</v>
      </c>
      <c r="M7903">
        <v>-31.8612</v>
      </c>
    </row>
    <row r="7904" spans="1:13" x14ac:dyDescent="0.3">
      <c r="A7904" t="s">
        <v>62</v>
      </c>
      <c r="B7904" t="s">
        <v>14</v>
      </c>
      <c r="C7904" t="s">
        <v>15</v>
      </c>
      <c r="D7904" t="s">
        <v>221</v>
      </c>
      <c r="E7904" t="s">
        <v>104</v>
      </c>
      <c r="F7904">
        <v>44105</v>
      </c>
      <c r="G7904" t="s">
        <v>57</v>
      </c>
      <c r="H7904" t="s">
        <v>26</v>
      </c>
      <c r="I7904" t="s">
        <v>32</v>
      </c>
      <c r="J7904">
        <v>25.696000000000002</v>
      </c>
      <c r="K7904">
        <v>2</v>
      </c>
      <c r="L7904">
        <v>0.2</v>
      </c>
      <c r="M7904">
        <v>1.9272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123</v>
      </c>
      <c r="J7905">
        <v>3404.5</v>
      </c>
      <c r="K7905">
        <v>5</v>
      </c>
      <c r="L7905">
        <v>0</v>
      </c>
      <c r="M7905">
        <v>1668.2049999999999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75</v>
      </c>
      <c r="E7906" t="s">
        <v>76</v>
      </c>
      <c r="F7906">
        <v>10024</v>
      </c>
      <c r="G7906" t="s">
        <v>57</v>
      </c>
      <c r="H7906" t="s">
        <v>35</v>
      </c>
      <c r="I7906" t="s">
        <v>59</v>
      </c>
      <c r="J7906">
        <v>101.34</v>
      </c>
      <c r="K7906">
        <v>3</v>
      </c>
      <c r="L7906">
        <v>0</v>
      </c>
      <c r="M7906">
        <v>8.1072000000000006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55</v>
      </c>
      <c r="E7907" t="s">
        <v>56</v>
      </c>
      <c r="F7907">
        <v>19140</v>
      </c>
      <c r="G7907" t="s">
        <v>57</v>
      </c>
      <c r="H7907" t="s">
        <v>19</v>
      </c>
      <c r="I7907" t="s">
        <v>21</v>
      </c>
      <c r="J7907">
        <v>344.37200000000001</v>
      </c>
      <c r="K7907">
        <v>4</v>
      </c>
      <c r="L7907">
        <v>0.3</v>
      </c>
      <c r="M7907">
        <v>-93.472399999999993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249</v>
      </c>
      <c r="E7908" t="s">
        <v>46</v>
      </c>
      <c r="F7908">
        <v>75043</v>
      </c>
      <c r="G7908" t="s">
        <v>47</v>
      </c>
      <c r="H7908" t="s">
        <v>26</v>
      </c>
      <c r="I7908" t="s">
        <v>34</v>
      </c>
      <c r="J7908">
        <v>30.384</v>
      </c>
      <c r="K7908">
        <v>1</v>
      </c>
      <c r="L7908">
        <v>0.2</v>
      </c>
      <c r="M7908">
        <v>3.798</v>
      </c>
    </row>
    <row r="7909" spans="1:13" x14ac:dyDescent="0.3">
      <c r="A7909" t="s">
        <v>13</v>
      </c>
      <c r="B7909" t="s">
        <v>44</v>
      </c>
      <c r="C7909" t="s">
        <v>15</v>
      </c>
      <c r="D7909" t="s">
        <v>144</v>
      </c>
      <c r="E7909" t="s">
        <v>24</v>
      </c>
      <c r="F7909">
        <v>92024</v>
      </c>
      <c r="G7909" t="s">
        <v>25</v>
      </c>
      <c r="H7909" t="s">
        <v>26</v>
      </c>
      <c r="I7909" t="s">
        <v>37</v>
      </c>
      <c r="J7909">
        <v>22.847999999999999</v>
      </c>
      <c r="K7909">
        <v>2</v>
      </c>
      <c r="L7909">
        <v>0.2</v>
      </c>
      <c r="M7909">
        <v>7.4256000000000002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26</v>
      </c>
      <c r="I7910" t="s">
        <v>32</v>
      </c>
      <c r="J7910">
        <v>38.619999999999997</v>
      </c>
      <c r="K7910">
        <v>2</v>
      </c>
      <c r="L7910">
        <v>0</v>
      </c>
      <c r="M7910">
        <v>10.813599999999999</v>
      </c>
    </row>
    <row r="7911" spans="1:13" x14ac:dyDescent="0.3">
      <c r="A7911" t="s">
        <v>28</v>
      </c>
      <c r="B7911" t="s">
        <v>44</v>
      </c>
      <c r="C7911" t="s">
        <v>15</v>
      </c>
      <c r="D7911" t="s">
        <v>507</v>
      </c>
      <c r="E7911" t="s">
        <v>127</v>
      </c>
      <c r="F7911">
        <v>6708</v>
      </c>
      <c r="G7911" t="s">
        <v>57</v>
      </c>
      <c r="H7911" t="s">
        <v>35</v>
      </c>
      <c r="I7911" t="s">
        <v>59</v>
      </c>
      <c r="J7911">
        <v>59.98</v>
      </c>
      <c r="K7911">
        <v>2</v>
      </c>
      <c r="L7911">
        <v>0</v>
      </c>
      <c r="M7911">
        <v>10.7964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90</v>
      </c>
      <c r="E7912" t="s">
        <v>248</v>
      </c>
      <c r="F7912">
        <v>21044</v>
      </c>
      <c r="G7912" t="s">
        <v>57</v>
      </c>
      <c r="H7912" t="s">
        <v>26</v>
      </c>
      <c r="I7912" t="s">
        <v>37</v>
      </c>
      <c r="J7912">
        <v>174.3</v>
      </c>
      <c r="K7912">
        <v>3</v>
      </c>
      <c r="L7912">
        <v>0</v>
      </c>
      <c r="M7912">
        <v>81.921000000000006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35</v>
      </c>
      <c r="I7913" t="s">
        <v>36</v>
      </c>
      <c r="J7913">
        <v>383.96</v>
      </c>
      <c r="K7913">
        <v>5</v>
      </c>
      <c r="L7913">
        <v>0.2</v>
      </c>
      <c r="M7913">
        <v>38.396000000000001</v>
      </c>
    </row>
    <row r="7914" spans="1:13" x14ac:dyDescent="0.3">
      <c r="A7914" t="s">
        <v>28</v>
      </c>
      <c r="B7914" t="s">
        <v>44</v>
      </c>
      <c r="C7914" t="s">
        <v>15</v>
      </c>
      <c r="D7914" t="s">
        <v>479</v>
      </c>
      <c r="E7914" t="s">
        <v>30</v>
      </c>
      <c r="F7914">
        <v>33021</v>
      </c>
      <c r="G7914" t="s">
        <v>18</v>
      </c>
      <c r="H7914" t="s">
        <v>26</v>
      </c>
      <c r="I7914" t="s">
        <v>37</v>
      </c>
      <c r="J7914">
        <v>15.57</v>
      </c>
      <c r="K7914">
        <v>3</v>
      </c>
      <c r="L7914">
        <v>0.7</v>
      </c>
      <c r="M7914">
        <v>-11.417999999999999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37</v>
      </c>
      <c r="J7915">
        <v>22.32</v>
      </c>
      <c r="K7915">
        <v>4</v>
      </c>
      <c r="L7915">
        <v>0</v>
      </c>
      <c r="M7915">
        <v>10.7136</v>
      </c>
    </row>
    <row r="7916" spans="1:13" x14ac:dyDescent="0.3">
      <c r="A7916" t="s">
        <v>62</v>
      </c>
      <c r="B7916" t="s">
        <v>14</v>
      </c>
      <c r="C7916" t="s">
        <v>15</v>
      </c>
      <c r="D7916" t="s">
        <v>82</v>
      </c>
      <c r="E7916" t="s">
        <v>83</v>
      </c>
      <c r="F7916">
        <v>22153</v>
      </c>
      <c r="G7916" t="s">
        <v>18</v>
      </c>
      <c r="H7916" t="s">
        <v>26</v>
      </c>
      <c r="I7916" t="s">
        <v>27</v>
      </c>
      <c r="J7916">
        <v>103.6</v>
      </c>
      <c r="K7916">
        <v>7</v>
      </c>
      <c r="L7916">
        <v>0</v>
      </c>
      <c r="M7916">
        <v>51.8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59</v>
      </c>
      <c r="J7917">
        <v>2.97</v>
      </c>
      <c r="K7917">
        <v>3</v>
      </c>
      <c r="L7917">
        <v>0</v>
      </c>
      <c r="M7917">
        <v>1.3365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35</v>
      </c>
      <c r="I7918" t="s">
        <v>36</v>
      </c>
      <c r="J7918">
        <v>569.99</v>
      </c>
      <c r="K7918">
        <v>1</v>
      </c>
      <c r="L7918">
        <v>0</v>
      </c>
      <c r="M7918">
        <v>170.99700000000001</v>
      </c>
    </row>
    <row r="7919" spans="1:13" x14ac:dyDescent="0.3">
      <c r="A7919" t="s">
        <v>13</v>
      </c>
      <c r="B7919" t="s">
        <v>22</v>
      </c>
      <c r="C7919" t="s">
        <v>15</v>
      </c>
      <c r="D7919" t="s">
        <v>75</v>
      </c>
      <c r="E7919" t="s">
        <v>76</v>
      </c>
      <c r="F7919">
        <v>10035</v>
      </c>
      <c r="G7919" t="s">
        <v>57</v>
      </c>
      <c r="H7919" t="s">
        <v>19</v>
      </c>
      <c r="I7919" t="s">
        <v>33</v>
      </c>
      <c r="J7919">
        <v>50.97</v>
      </c>
      <c r="K7919">
        <v>3</v>
      </c>
      <c r="L7919">
        <v>0</v>
      </c>
      <c r="M7919">
        <v>9.1745999999999999</v>
      </c>
    </row>
    <row r="7920" spans="1:13" x14ac:dyDescent="0.3">
      <c r="A7920" t="s">
        <v>62</v>
      </c>
      <c r="B7920" t="s">
        <v>44</v>
      </c>
      <c r="C7920" t="s">
        <v>15</v>
      </c>
      <c r="D7920" t="s">
        <v>135</v>
      </c>
      <c r="E7920" t="s">
        <v>46</v>
      </c>
      <c r="F7920">
        <v>75217</v>
      </c>
      <c r="G7920" t="s">
        <v>47</v>
      </c>
      <c r="H7920" t="s">
        <v>19</v>
      </c>
      <c r="I7920" t="s">
        <v>31</v>
      </c>
      <c r="J7920">
        <v>298.11599999999999</v>
      </c>
      <c r="K7920">
        <v>6</v>
      </c>
      <c r="L7920">
        <v>0.3</v>
      </c>
      <c r="M7920">
        <v>-4.2587999999999999</v>
      </c>
    </row>
    <row r="7921" spans="1:13" x14ac:dyDescent="0.3">
      <c r="A7921" t="s">
        <v>13</v>
      </c>
      <c r="B7921" t="s">
        <v>22</v>
      </c>
      <c r="C7921" t="s">
        <v>15</v>
      </c>
      <c r="D7921" t="s">
        <v>75</v>
      </c>
      <c r="E7921" t="s">
        <v>76</v>
      </c>
      <c r="F7921">
        <v>10024</v>
      </c>
      <c r="G7921" t="s">
        <v>57</v>
      </c>
      <c r="H7921" t="s">
        <v>26</v>
      </c>
      <c r="I7921" t="s">
        <v>34</v>
      </c>
      <c r="J7921">
        <v>59.52</v>
      </c>
      <c r="K7921">
        <v>3</v>
      </c>
      <c r="L7921">
        <v>0</v>
      </c>
      <c r="M7921">
        <v>17.856000000000002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19</v>
      </c>
      <c r="I7922" t="s">
        <v>21</v>
      </c>
      <c r="J7922">
        <v>230.28</v>
      </c>
      <c r="K7922">
        <v>3</v>
      </c>
      <c r="L7922">
        <v>0.2</v>
      </c>
      <c r="M7922">
        <v>23.027999999999999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94</v>
      </c>
      <c r="E7923" t="s">
        <v>95</v>
      </c>
      <c r="F7923">
        <v>97206</v>
      </c>
      <c r="G7923" t="s">
        <v>25</v>
      </c>
      <c r="H7923" t="s">
        <v>26</v>
      </c>
      <c r="I7923" t="s">
        <v>41</v>
      </c>
      <c r="J7923">
        <v>105.52</v>
      </c>
      <c r="K7923">
        <v>5</v>
      </c>
      <c r="L7923">
        <v>0.2</v>
      </c>
      <c r="M7923">
        <v>34.293999999999997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26</v>
      </c>
      <c r="I7924" t="s">
        <v>60</v>
      </c>
      <c r="J7924">
        <v>23.36</v>
      </c>
      <c r="K7924">
        <v>2</v>
      </c>
      <c r="L7924">
        <v>0</v>
      </c>
      <c r="M7924">
        <v>11.68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35</v>
      </c>
      <c r="I7925" t="s">
        <v>36</v>
      </c>
      <c r="J7925">
        <v>71.975999999999999</v>
      </c>
      <c r="K7925">
        <v>3</v>
      </c>
      <c r="L7925">
        <v>0.2</v>
      </c>
      <c r="M7925">
        <v>8.9969999999999999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41</v>
      </c>
      <c r="J7926">
        <v>8.56</v>
      </c>
      <c r="K7926">
        <v>2</v>
      </c>
      <c r="L7926">
        <v>0</v>
      </c>
      <c r="M7926">
        <v>3.8519999999999999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37</v>
      </c>
      <c r="J7927">
        <v>13.92</v>
      </c>
      <c r="K7927">
        <v>3</v>
      </c>
      <c r="L7927">
        <v>0.2</v>
      </c>
      <c r="M7927">
        <v>4.8719999999999999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38</v>
      </c>
      <c r="J7928">
        <v>2518.29</v>
      </c>
      <c r="K7928">
        <v>9</v>
      </c>
      <c r="L7928">
        <v>0</v>
      </c>
      <c r="M7928">
        <v>654.75540000000001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32</v>
      </c>
      <c r="J7929">
        <v>540.57000000000005</v>
      </c>
      <c r="K7929">
        <v>3</v>
      </c>
      <c r="L7929">
        <v>0</v>
      </c>
      <c r="M7929">
        <v>140.54820000000001</v>
      </c>
    </row>
    <row r="7930" spans="1:13" x14ac:dyDescent="0.3">
      <c r="A7930" t="s">
        <v>28</v>
      </c>
      <c r="B7930" t="s">
        <v>22</v>
      </c>
      <c r="C7930" t="s">
        <v>15</v>
      </c>
      <c r="D7930" t="s">
        <v>145</v>
      </c>
      <c r="E7930" t="s">
        <v>24</v>
      </c>
      <c r="F7930">
        <v>94513</v>
      </c>
      <c r="G7930" t="s">
        <v>25</v>
      </c>
      <c r="H7930" t="s">
        <v>26</v>
      </c>
      <c r="I7930" t="s">
        <v>37</v>
      </c>
      <c r="J7930">
        <v>221.05600000000001</v>
      </c>
      <c r="K7930">
        <v>8</v>
      </c>
      <c r="L7930">
        <v>0.2</v>
      </c>
      <c r="M7930">
        <v>77.369600000000005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19</v>
      </c>
      <c r="I7931" t="s">
        <v>21</v>
      </c>
      <c r="J7931">
        <v>81.424000000000007</v>
      </c>
      <c r="K7931">
        <v>2</v>
      </c>
      <c r="L7931">
        <v>0.2</v>
      </c>
      <c r="M7931">
        <v>-9.1601999999999997</v>
      </c>
    </row>
    <row r="7932" spans="1:13" x14ac:dyDescent="0.3">
      <c r="A7932" t="s">
        <v>62</v>
      </c>
      <c r="B7932" t="s">
        <v>22</v>
      </c>
      <c r="C7932" t="s">
        <v>15</v>
      </c>
      <c r="D7932" t="s">
        <v>144</v>
      </c>
      <c r="E7932" t="s">
        <v>24</v>
      </c>
      <c r="F7932">
        <v>92037</v>
      </c>
      <c r="G7932" t="s">
        <v>25</v>
      </c>
      <c r="H7932" t="s">
        <v>26</v>
      </c>
      <c r="I7932" t="s">
        <v>32</v>
      </c>
      <c r="J7932">
        <v>134.80000000000001</v>
      </c>
      <c r="K7932">
        <v>10</v>
      </c>
      <c r="L7932">
        <v>0</v>
      </c>
      <c r="M7932">
        <v>35.048000000000002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37</v>
      </c>
      <c r="J7933">
        <v>39.582000000000001</v>
      </c>
      <c r="K7933">
        <v>9</v>
      </c>
      <c r="L7933">
        <v>0.8</v>
      </c>
      <c r="M7933">
        <v>-59.372999999999998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110</v>
      </c>
      <c r="J7934">
        <v>44.688000000000002</v>
      </c>
      <c r="K7934">
        <v>7</v>
      </c>
      <c r="L7934">
        <v>0.2</v>
      </c>
      <c r="M7934">
        <v>5.0274000000000001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34</v>
      </c>
      <c r="J7935">
        <v>31.744</v>
      </c>
      <c r="K7935">
        <v>2</v>
      </c>
      <c r="L7935">
        <v>0.2</v>
      </c>
      <c r="M7935">
        <v>2.3807999999999998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40.98</v>
      </c>
      <c r="K7936">
        <v>5</v>
      </c>
      <c r="L7936">
        <v>0.8</v>
      </c>
      <c r="M7936">
        <v>-65.567999999999998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135</v>
      </c>
      <c r="E7937" t="s">
        <v>46</v>
      </c>
      <c r="F7937">
        <v>75081</v>
      </c>
      <c r="G7937" t="s">
        <v>47</v>
      </c>
      <c r="H7937" t="s">
        <v>26</v>
      </c>
      <c r="I7937" t="s">
        <v>37</v>
      </c>
      <c r="J7937">
        <v>3.1680000000000001</v>
      </c>
      <c r="K7937">
        <v>3</v>
      </c>
      <c r="L7937">
        <v>0.8</v>
      </c>
      <c r="M7937">
        <v>-5.0688000000000004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26</v>
      </c>
      <c r="I7938" t="s">
        <v>77</v>
      </c>
      <c r="J7938">
        <v>18.84</v>
      </c>
      <c r="K7938">
        <v>5</v>
      </c>
      <c r="L7938">
        <v>0.2</v>
      </c>
      <c r="M7938">
        <v>-3.5325000000000002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21</v>
      </c>
      <c r="J7939">
        <v>362.25</v>
      </c>
      <c r="K7939">
        <v>6</v>
      </c>
      <c r="L7939">
        <v>0.3</v>
      </c>
      <c r="M7939">
        <v>0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19</v>
      </c>
      <c r="I7940" t="s">
        <v>33</v>
      </c>
      <c r="J7940">
        <v>63.552</v>
      </c>
      <c r="K7940">
        <v>6</v>
      </c>
      <c r="L7940">
        <v>0.6</v>
      </c>
      <c r="M7940">
        <v>-34.953600000000002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321</v>
      </c>
      <c r="E7941" t="s">
        <v>46</v>
      </c>
      <c r="F7941">
        <v>79907</v>
      </c>
      <c r="G7941" t="s">
        <v>47</v>
      </c>
      <c r="H7941" t="s">
        <v>26</v>
      </c>
      <c r="I7941" t="s">
        <v>32</v>
      </c>
      <c r="J7941">
        <v>129.55199999999999</v>
      </c>
      <c r="K7941">
        <v>3</v>
      </c>
      <c r="L7941">
        <v>0.2</v>
      </c>
      <c r="M7941">
        <v>-22.671600000000002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26</v>
      </c>
      <c r="I7942" t="s">
        <v>37</v>
      </c>
      <c r="J7942">
        <v>5.984</v>
      </c>
      <c r="K7942">
        <v>2</v>
      </c>
      <c r="L7942">
        <v>0.2</v>
      </c>
      <c r="M7942">
        <v>2.2440000000000002</v>
      </c>
    </row>
    <row r="7943" spans="1:13" x14ac:dyDescent="0.3">
      <c r="A7943" t="s">
        <v>28</v>
      </c>
      <c r="B7943" t="s">
        <v>14</v>
      </c>
      <c r="C7943" t="s">
        <v>15</v>
      </c>
      <c r="D7943" t="s">
        <v>75</v>
      </c>
      <c r="E7943" t="s">
        <v>76</v>
      </c>
      <c r="F7943">
        <v>10035</v>
      </c>
      <c r="G7943" t="s">
        <v>57</v>
      </c>
      <c r="H7943" t="s">
        <v>35</v>
      </c>
      <c r="I7943" t="s">
        <v>36</v>
      </c>
      <c r="J7943">
        <v>861.76</v>
      </c>
      <c r="K7943">
        <v>4</v>
      </c>
      <c r="L7943">
        <v>0</v>
      </c>
      <c r="M7943">
        <v>249.91040000000001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32</v>
      </c>
      <c r="J7944">
        <v>66.959999999999994</v>
      </c>
      <c r="K7944">
        <v>4</v>
      </c>
      <c r="L7944">
        <v>0</v>
      </c>
      <c r="M7944">
        <v>2.6783999999999999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449</v>
      </c>
      <c r="E7945" t="s">
        <v>166</v>
      </c>
      <c r="F7945">
        <v>2151</v>
      </c>
      <c r="G7945" t="s">
        <v>57</v>
      </c>
      <c r="H7945" t="s">
        <v>26</v>
      </c>
      <c r="I7945" t="s">
        <v>37</v>
      </c>
      <c r="J7945">
        <v>6.24</v>
      </c>
      <c r="K7945">
        <v>2</v>
      </c>
      <c r="L7945">
        <v>0</v>
      </c>
      <c r="M7945">
        <v>3.0575999999999999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19</v>
      </c>
      <c r="I7946" t="s">
        <v>21</v>
      </c>
      <c r="J7946">
        <v>435.16800000000001</v>
      </c>
      <c r="K7946">
        <v>4</v>
      </c>
      <c r="L7946">
        <v>0.2</v>
      </c>
      <c r="M7946">
        <v>-59.835599999999999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77</v>
      </c>
      <c r="J7947">
        <v>14.9</v>
      </c>
      <c r="K7947">
        <v>5</v>
      </c>
      <c r="L7947">
        <v>0</v>
      </c>
      <c r="M7947">
        <v>6.8540000000000001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26</v>
      </c>
      <c r="I7948" t="s">
        <v>38</v>
      </c>
      <c r="J7948">
        <v>15.8</v>
      </c>
      <c r="K7948">
        <v>4</v>
      </c>
      <c r="L7948">
        <v>0</v>
      </c>
      <c r="M7948">
        <v>4.1079999999999997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33</v>
      </c>
      <c r="J7949">
        <v>72.900000000000006</v>
      </c>
      <c r="K7949">
        <v>5</v>
      </c>
      <c r="L7949">
        <v>0</v>
      </c>
      <c r="M7949">
        <v>26.972999999999999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19</v>
      </c>
      <c r="I7950" t="s">
        <v>31</v>
      </c>
      <c r="J7950">
        <v>206.352</v>
      </c>
      <c r="K7950">
        <v>3</v>
      </c>
      <c r="L7950">
        <v>0.2</v>
      </c>
      <c r="M7950">
        <v>5.1588000000000003</v>
      </c>
    </row>
    <row r="7951" spans="1:13" x14ac:dyDescent="0.3">
      <c r="A7951" t="s">
        <v>28</v>
      </c>
      <c r="B7951" t="s">
        <v>22</v>
      </c>
      <c r="C7951" t="s">
        <v>15</v>
      </c>
      <c r="D7951" t="s">
        <v>546</v>
      </c>
      <c r="E7951" t="s">
        <v>24</v>
      </c>
      <c r="F7951">
        <v>95928</v>
      </c>
      <c r="G7951" t="s">
        <v>25</v>
      </c>
      <c r="H7951" t="s">
        <v>35</v>
      </c>
      <c r="I7951" t="s">
        <v>36</v>
      </c>
      <c r="J7951">
        <v>7.992</v>
      </c>
      <c r="K7951">
        <v>1</v>
      </c>
      <c r="L7951">
        <v>0.2</v>
      </c>
      <c r="M7951">
        <v>2.6972999999999998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32</v>
      </c>
      <c r="J7952">
        <v>81.36</v>
      </c>
      <c r="K7952">
        <v>5</v>
      </c>
      <c r="L7952">
        <v>0.2</v>
      </c>
      <c r="M7952">
        <v>-19.323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37</v>
      </c>
      <c r="J7953">
        <v>20.231999999999999</v>
      </c>
      <c r="K7953">
        <v>8</v>
      </c>
      <c r="L7953">
        <v>0.7</v>
      </c>
      <c r="M7953">
        <v>-16.185600000000001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38</v>
      </c>
      <c r="J7954">
        <v>389.05599999999998</v>
      </c>
      <c r="K7954">
        <v>4</v>
      </c>
      <c r="L7954">
        <v>0.2</v>
      </c>
      <c r="M7954">
        <v>48.631999999999998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20.736000000000001</v>
      </c>
      <c r="K7955">
        <v>4</v>
      </c>
      <c r="L7955">
        <v>0.2</v>
      </c>
      <c r="M7955">
        <v>7.2576000000000001</v>
      </c>
    </row>
    <row r="7956" spans="1:13" x14ac:dyDescent="0.3">
      <c r="A7956" t="s">
        <v>13</v>
      </c>
      <c r="B7956" t="s">
        <v>22</v>
      </c>
      <c r="C7956" t="s">
        <v>15</v>
      </c>
      <c r="D7956" t="s">
        <v>478</v>
      </c>
      <c r="E7956" t="s">
        <v>30</v>
      </c>
      <c r="F7956">
        <v>33023</v>
      </c>
      <c r="G7956" t="s">
        <v>18</v>
      </c>
      <c r="H7956" t="s">
        <v>26</v>
      </c>
      <c r="I7956" t="s">
        <v>41</v>
      </c>
      <c r="J7956">
        <v>41.472000000000001</v>
      </c>
      <c r="K7956">
        <v>8</v>
      </c>
      <c r="L7956">
        <v>0.2</v>
      </c>
      <c r="M7956">
        <v>14.5152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23</v>
      </c>
      <c r="E7957" t="s">
        <v>24</v>
      </c>
      <c r="F7957">
        <v>90049</v>
      </c>
      <c r="G7957" t="s">
        <v>25</v>
      </c>
      <c r="H7957" t="s">
        <v>26</v>
      </c>
      <c r="I7957" t="s">
        <v>41</v>
      </c>
      <c r="J7957">
        <v>33.36</v>
      </c>
      <c r="K7957">
        <v>4</v>
      </c>
      <c r="L7957">
        <v>0</v>
      </c>
      <c r="M7957">
        <v>16.68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19</v>
      </c>
      <c r="I7958" t="s">
        <v>20</v>
      </c>
      <c r="J7958">
        <v>90.882000000000005</v>
      </c>
      <c r="K7958">
        <v>3</v>
      </c>
      <c r="L7958">
        <v>0.7</v>
      </c>
      <c r="M7958">
        <v>-190.85220000000001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35</v>
      </c>
      <c r="I7959" t="s">
        <v>36</v>
      </c>
      <c r="J7959">
        <v>15.992000000000001</v>
      </c>
      <c r="K7959">
        <v>1</v>
      </c>
      <c r="L7959">
        <v>0.2</v>
      </c>
      <c r="M7959">
        <v>-2.9984999999999999</v>
      </c>
    </row>
    <row r="7960" spans="1:13" x14ac:dyDescent="0.3">
      <c r="A7960" t="s">
        <v>62</v>
      </c>
      <c r="B7960" t="s">
        <v>22</v>
      </c>
      <c r="C7960" t="s">
        <v>15</v>
      </c>
      <c r="D7960" t="s">
        <v>134</v>
      </c>
      <c r="E7960" t="s">
        <v>98</v>
      </c>
      <c r="F7960">
        <v>80219</v>
      </c>
      <c r="G7960" t="s">
        <v>25</v>
      </c>
      <c r="H7960" t="s">
        <v>19</v>
      </c>
      <c r="I7960" t="s">
        <v>21</v>
      </c>
      <c r="J7960">
        <v>120.78400000000001</v>
      </c>
      <c r="K7960">
        <v>1</v>
      </c>
      <c r="L7960">
        <v>0.2</v>
      </c>
      <c r="M7960">
        <v>13.588200000000001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36</v>
      </c>
      <c r="J7961">
        <v>519.79200000000003</v>
      </c>
      <c r="K7961">
        <v>4</v>
      </c>
      <c r="L7961">
        <v>0.4</v>
      </c>
      <c r="M7961">
        <v>-112.6216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35</v>
      </c>
      <c r="I7962" t="s">
        <v>59</v>
      </c>
      <c r="J7962">
        <v>31.175999999999998</v>
      </c>
      <c r="K7962">
        <v>3</v>
      </c>
      <c r="L7962">
        <v>0.2</v>
      </c>
      <c r="M7962">
        <v>-5.4558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41</v>
      </c>
      <c r="J7963">
        <v>10.368</v>
      </c>
      <c r="K7963">
        <v>2</v>
      </c>
      <c r="L7963">
        <v>0.2</v>
      </c>
      <c r="M7963">
        <v>3.6288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26</v>
      </c>
      <c r="I7964" t="s">
        <v>37</v>
      </c>
      <c r="J7964">
        <v>2.7240000000000002</v>
      </c>
      <c r="K7964">
        <v>2</v>
      </c>
      <c r="L7964">
        <v>0.7</v>
      </c>
      <c r="M7964">
        <v>-1.9068000000000001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19</v>
      </c>
      <c r="I7965" t="s">
        <v>33</v>
      </c>
      <c r="J7965">
        <v>254.352</v>
      </c>
      <c r="K7965">
        <v>3</v>
      </c>
      <c r="L7965">
        <v>0.2</v>
      </c>
      <c r="M7965">
        <v>0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37</v>
      </c>
      <c r="J7966">
        <v>3.762</v>
      </c>
      <c r="K7966">
        <v>3</v>
      </c>
      <c r="L7966">
        <v>0.7</v>
      </c>
      <c r="M7966">
        <v>-2.7587999999999999</v>
      </c>
    </row>
    <row r="7967" spans="1:13" x14ac:dyDescent="0.3">
      <c r="A7967" t="s">
        <v>28</v>
      </c>
      <c r="B7967" t="s">
        <v>22</v>
      </c>
      <c r="C7967" t="s">
        <v>15</v>
      </c>
      <c r="D7967" t="s">
        <v>55</v>
      </c>
      <c r="E7967" t="s">
        <v>56</v>
      </c>
      <c r="F7967">
        <v>19134</v>
      </c>
      <c r="G7967" t="s">
        <v>57</v>
      </c>
      <c r="H7967" t="s">
        <v>26</v>
      </c>
      <c r="I7967" t="s">
        <v>41</v>
      </c>
      <c r="J7967">
        <v>10.272</v>
      </c>
      <c r="K7967">
        <v>3</v>
      </c>
      <c r="L7967">
        <v>0.2</v>
      </c>
      <c r="M7967">
        <v>3.21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659.97</v>
      </c>
      <c r="K7968">
        <v>3</v>
      </c>
      <c r="L7968">
        <v>0</v>
      </c>
      <c r="M7968">
        <v>197.99100000000001</v>
      </c>
    </row>
    <row r="7969" spans="1:13" x14ac:dyDescent="0.3">
      <c r="A7969" t="s">
        <v>28</v>
      </c>
      <c r="B7969" t="s">
        <v>14</v>
      </c>
      <c r="C7969" t="s">
        <v>15</v>
      </c>
      <c r="D7969" t="s">
        <v>84</v>
      </c>
      <c r="E7969" t="s">
        <v>185</v>
      </c>
      <c r="F7969">
        <v>39212</v>
      </c>
      <c r="G7969" t="s">
        <v>18</v>
      </c>
      <c r="H7969" t="s">
        <v>35</v>
      </c>
      <c r="I7969" t="s">
        <v>36</v>
      </c>
      <c r="J7969">
        <v>113.73</v>
      </c>
      <c r="K7969">
        <v>3</v>
      </c>
      <c r="L7969">
        <v>0</v>
      </c>
      <c r="M7969">
        <v>32.981699999999996</v>
      </c>
    </row>
    <row r="7970" spans="1:13" x14ac:dyDescent="0.3">
      <c r="A7970" t="s">
        <v>28</v>
      </c>
      <c r="B7970" t="s">
        <v>44</v>
      </c>
      <c r="C7970" t="s">
        <v>15</v>
      </c>
      <c r="D7970" t="s">
        <v>23</v>
      </c>
      <c r="E7970" t="s">
        <v>24</v>
      </c>
      <c r="F7970">
        <v>90045</v>
      </c>
      <c r="G7970" t="s">
        <v>25</v>
      </c>
      <c r="H7970" t="s">
        <v>26</v>
      </c>
      <c r="I7970" t="s">
        <v>37</v>
      </c>
      <c r="J7970">
        <v>5.1040000000000001</v>
      </c>
      <c r="K7970">
        <v>1</v>
      </c>
      <c r="L7970">
        <v>0.2</v>
      </c>
      <c r="M7970">
        <v>1.6588000000000001</v>
      </c>
    </row>
    <row r="7971" spans="1:13" x14ac:dyDescent="0.3">
      <c r="A7971" t="s">
        <v>28</v>
      </c>
      <c r="B7971" t="s">
        <v>14</v>
      </c>
      <c r="C7971" t="s">
        <v>15</v>
      </c>
      <c r="D7971" t="s">
        <v>61</v>
      </c>
      <c r="E7971" t="s">
        <v>46</v>
      </c>
      <c r="F7971">
        <v>77095</v>
      </c>
      <c r="G7971" t="s">
        <v>47</v>
      </c>
      <c r="H7971" t="s">
        <v>26</v>
      </c>
      <c r="I7971" t="s">
        <v>41</v>
      </c>
      <c r="J7971">
        <v>16.448</v>
      </c>
      <c r="K7971">
        <v>2</v>
      </c>
      <c r="L7971">
        <v>0.2</v>
      </c>
      <c r="M7971">
        <v>5.5511999999999997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26</v>
      </c>
      <c r="I7972" t="s">
        <v>38</v>
      </c>
      <c r="J7972">
        <v>81.92</v>
      </c>
      <c r="K7972">
        <v>4</v>
      </c>
      <c r="L7972">
        <v>0</v>
      </c>
      <c r="M7972">
        <v>22.118400000000001</v>
      </c>
    </row>
    <row r="7973" spans="1:13" x14ac:dyDescent="0.3">
      <c r="A7973" t="s">
        <v>62</v>
      </c>
      <c r="B7973" t="s">
        <v>14</v>
      </c>
      <c r="C7973" t="s">
        <v>15</v>
      </c>
      <c r="D7973" t="s">
        <v>593</v>
      </c>
      <c r="E7973" t="s">
        <v>132</v>
      </c>
      <c r="F7973">
        <v>7011</v>
      </c>
      <c r="G7973" t="s">
        <v>57</v>
      </c>
      <c r="H7973" t="s">
        <v>19</v>
      </c>
      <c r="I7973" t="s">
        <v>33</v>
      </c>
      <c r="J7973">
        <v>254.9</v>
      </c>
      <c r="K7973">
        <v>5</v>
      </c>
      <c r="L7973">
        <v>0</v>
      </c>
      <c r="M7973">
        <v>76.47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77</v>
      </c>
      <c r="J7974">
        <v>15.12</v>
      </c>
      <c r="K7974">
        <v>5</v>
      </c>
      <c r="L7974">
        <v>0.2</v>
      </c>
      <c r="M7974">
        <v>4.9139999999999997</v>
      </c>
    </row>
    <row r="7975" spans="1:13" x14ac:dyDescent="0.3">
      <c r="A7975" t="s">
        <v>13</v>
      </c>
      <c r="B7975" t="s">
        <v>22</v>
      </c>
      <c r="C7975" t="s">
        <v>15</v>
      </c>
      <c r="D7975" t="s">
        <v>79</v>
      </c>
      <c r="E7975" t="s">
        <v>65</v>
      </c>
      <c r="F7975">
        <v>60623</v>
      </c>
      <c r="G7975" t="s">
        <v>47</v>
      </c>
      <c r="H7975" t="s">
        <v>26</v>
      </c>
      <c r="I7975" t="s">
        <v>34</v>
      </c>
      <c r="J7975">
        <v>7.8719999999999999</v>
      </c>
      <c r="K7975">
        <v>3</v>
      </c>
      <c r="L7975">
        <v>0.2</v>
      </c>
      <c r="M7975">
        <v>0.88560000000000005</v>
      </c>
    </row>
    <row r="7976" spans="1:13" x14ac:dyDescent="0.3">
      <c r="A7976" t="s">
        <v>62</v>
      </c>
      <c r="B7976" t="s">
        <v>14</v>
      </c>
      <c r="C7976" t="s">
        <v>15</v>
      </c>
      <c r="D7976" t="s">
        <v>42</v>
      </c>
      <c r="E7976" t="s">
        <v>43</v>
      </c>
      <c r="F7976">
        <v>98115</v>
      </c>
      <c r="G7976" t="s">
        <v>25</v>
      </c>
      <c r="H7976" t="s">
        <v>26</v>
      </c>
      <c r="I7976" t="s">
        <v>37</v>
      </c>
      <c r="J7976">
        <v>8.32</v>
      </c>
      <c r="K7976">
        <v>5</v>
      </c>
      <c r="L7976">
        <v>0.2</v>
      </c>
      <c r="M7976">
        <v>2.8079999999999998</v>
      </c>
    </row>
    <row r="7977" spans="1:13" x14ac:dyDescent="0.3">
      <c r="A7977" t="s">
        <v>13</v>
      </c>
      <c r="B7977" t="s">
        <v>14</v>
      </c>
      <c r="C7977" t="s">
        <v>15</v>
      </c>
      <c r="D7977" t="s">
        <v>159</v>
      </c>
      <c r="E7977" t="s">
        <v>76</v>
      </c>
      <c r="F7977">
        <v>11561</v>
      </c>
      <c r="G7977" t="s">
        <v>57</v>
      </c>
      <c r="H7977" t="s">
        <v>35</v>
      </c>
      <c r="I7977" t="s">
        <v>36</v>
      </c>
      <c r="J7977">
        <v>89.95</v>
      </c>
      <c r="K7977">
        <v>5</v>
      </c>
      <c r="L7977">
        <v>0</v>
      </c>
      <c r="M7977">
        <v>43.176000000000002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25.2</v>
      </c>
      <c r="K7978">
        <v>4</v>
      </c>
      <c r="L7978">
        <v>0</v>
      </c>
      <c r="M7978">
        <v>11.592000000000001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27</v>
      </c>
      <c r="J7979">
        <v>37.590000000000003</v>
      </c>
      <c r="K7979">
        <v>3</v>
      </c>
      <c r="L7979">
        <v>0</v>
      </c>
      <c r="M7979">
        <v>17.667300000000001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26</v>
      </c>
      <c r="I7980" t="s">
        <v>32</v>
      </c>
      <c r="J7980">
        <v>14.97</v>
      </c>
      <c r="K7980">
        <v>1</v>
      </c>
      <c r="L7980">
        <v>0</v>
      </c>
      <c r="M7980">
        <v>4.1916000000000002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594</v>
      </c>
      <c r="E7981" t="s">
        <v>49</v>
      </c>
      <c r="F7981">
        <v>53081</v>
      </c>
      <c r="G7981" t="s">
        <v>47</v>
      </c>
      <c r="H7981" t="s">
        <v>35</v>
      </c>
      <c r="I7981" t="s">
        <v>59</v>
      </c>
      <c r="J7981">
        <v>1.98</v>
      </c>
      <c r="K7981">
        <v>2</v>
      </c>
      <c r="L7981">
        <v>0</v>
      </c>
      <c r="M7981">
        <v>0.89100000000000001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26</v>
      </c>
      <c r="I7982" t="s">
        <v>37</v>
      </c>
      <c r="J7982">
        <v>39.936</v>
      </c>
      <c r="K7982">
        <v>4</v>
      </c>
      <c r="L7982">
        <v>0.7</v>
      </c>
      <c r="M7982">
        <v>-26.623999999999999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257</v>
      </c>
      <c r="E7983" t="s">
        <v>30</v>
      </c>
      <c r="F7983">
        <v>33433</v>
      </c>
      <c r="G7983" t="s">
        <v>18</v>
      </c>
      <c r="H7983" t="s">
        <v>35</v>
      </c>
      <c r="I7983" t="s">
        <v>59</v>
      </c>
      <c r="J7983">
        <v>18.463999999999999</v>
      </c>
      <c r="K7983">
        <v>2</v>
      </c>
      <c r="L7983">
        <v>0.2</v>
      </c>
      <c r="M7983">
        <v>2.3079999999999998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26</v>
      </c>
      <c r="I7984" t="s">
        <v>37</v>
      </c>
      <c r="J7984">
        <v>4.8959999999999999</v>
      </c>
      <c r="K7984">
        <v>3</v>
      </c>
      <c r="L7984">
        <v>0.7</v>
      </c>
      <c r="M7984">
        <v>-3.4272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19</v>
      </c>
      <c r="I7985" t="s">
        <v>20</v>
      </c>
      <c r="J7985">
        <v>145.76400000000001</v>
      </c>
      <c r="K7985">
        <v>6</v>
      </c>
      <c r="L7985">
        <v>0.7</v>
      </c>
      <c r="M7985">
        <v>-247.7988</v>
      </c>
    </row>
    <row r="7986" spans="1:13" x14ac:dyDescent="0.3">
      <c r="A7986" t="s">
        <v>13</v>
      </c>
      <c r="B7986" t="s">
        <v>14</v>
      </c>
      <c r="C7986" t="s">
        <v>15</v>
      </c>
      <c r="D7986" t="s">
        <v>97</v>
      </c>
      <c r="E7986" t="s">
        <v>98</v>
      </c>
      <c r="F7986">
        <v>80013</v>
      </c>
      <c r="G7986" t="s">
        <v>25</v>
      </c>
      <c r="H7986" t="s">
        <v>26</v>
      </c>
      <c r="I7986" t="s">
        <v>37</v>
      </c>
      <c r="J7986">
        <v>9.6120000000000001</v>
      </c>
      <c r="K7986">
        <v>6</v>
      </c>
      <c r="L7986">
        <v>0.7</v>
      </c>
      <c r="M7986">
        <v>-7.3692000000000002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35</v>
      </c>
      <c r="I7987" t="s">
        <v>59</v>
      </c>
      <c r="J7987">
        <v>199.75</v>
      </c>
      <c r="K7987">
        <v>5</v>
      </c>
      <c r="L7987">
        <v>0</v>
      </c>
      <c r="M7987">
        <v>87.89</v>
      </c>
    </row>
    <row r="7988" spans="1:13" x14ac:dyDescent="0.3">
      <c r="A7988" t="s">
        <v>62</v>
      </c>
      <c r="B7988" t="s">
        <v>44</v>
      </c>
      <c r="C7988" t="s">
        <v>15</v>
      </c>
      <c r="D7988" t="s">
        <v>144</v>
      </c>
      <c r="E7988" t="s">
        <v>24</v>
      </c>
      <c r="F7988">
        <v>92037</v>
      </c>
      <c r="G7988" t="s">
        <v>25</v>
      </c>
      <c r="H7988" t="s">
        <v>19</v>
      </c>
      <c r="I7988" t="s">
        <v>31</v>
      </c>
      <c r="J7988">
        <v>1673.184</v>
      </c>
      <c r="K7988">
        <v>12</v>
      </c>
      <c r="L7988">
        <v>0.2</v>
      </c>
      <c r="M7988">
        <v>20.9148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19</v>
      </c>
      <c r="I7989" t="s">
        <v>33</v>
      </c>
      <c r="J7989">
        <v>12.18</v>
      </c>
      <c r="K7989">
        <v>7</v>
      </c>
      <c r="L7989">
        <v>0</v>
      </c>
      <c r="M7989">
        <v>3.8976000000000002</v>
      </c>
    </row>
    <row r="7990" spans="1:13" x14ac:dyDescent="0.3">
      <c r="A7990" t="s">
        <v>62</v>
      </c>
      <c r="B7990" t="s">
        <v>22</v>
      </c>
      <c r="C7990" t="s">
        <v>15</v>
      </c>
      <c r="D7990" t="s">
        <v>42</v>
      </c>
      <c r="E7990" t="s">
        <v>43</v>
      </c>
      <c r="F7990">
        <v>98105</v>
      </c>
      <c r="G7990" t="s">
        <v>25</v>
      </c>
      <c r="H7990" t="s">
        <v>26</v>
      </c>
      <c r="I7990" t="s">
        <v>38</v>
      </c>
      <c r="J7990">
        <v>57.68</v>
      </c>
      <c r="K7990">
        <v>4</v>
      </c>
      <c r="L7990">
        <v>0</v>
      </c>
      <c r="M7990">
        <v>19.034400000000002</v>
      </c>
    </row>
    <row r="7991" spans="1:13" x14ac:dyDescent="0.3">
      <c r="A7991" t="s">
        <v>28</v>
      </c>
      <c r="B7991" t="s">
        <v>14</v>
      </c>
      <c r="C7991" t="s">
        <v>15</v>
      </c>
      <c r="D7991" t="s">
        <v>452</v>
      </c>
      <c r="E7991" t="s">
        <v>102</v>
      </c>
      <c r="F7991">
        <v>52001</v>
      </c>
      <c r="G7991" t="s">
        <v>47</v>
      </c>
      <c r="H7991" t="s">
        <v>35</v>
      </c>
      <c r="I7991" t="s">
        <v>36</v>
      </c>
      <c r="J7991">
        <v>263.95999999999998</v>
      </c>
      <c r="K7991">
        <v>4</v>
      </c>
      <c r="L7991">
        <v>0</v>
      </c>
      <c r="M7991">
        <v>76.548400000000001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35</v>
      </c>
      <c r="I7992" t="s">
        <v>59</v>
      </c>
      <c r="J7992">
        <v>299.94</v>
      </c>
      <c r="K7992">
        <v>6</v>
      </c>
      <c r="L7992">
        <v>0</v>
      </c>
      <c r="M7992">
        <v>128.9742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23</v>
      </c>
      <c r="E7993" t="s">
        <v>24</v>
      </c>
      <c r="F7993">
        <v>90032</v>
      </c>
      <c r="G7993" t="s">
        <v>25</v>
      </c>
      <c r="H7993" t="s">
        <v>26</v>
      </c>
      <c r="I7993" t="s">
        <v>110</v>
      </c>
      <c r="J7993">
        <v>25.76</v>
      </c>
      <c r="K7993">
        <v>7</v>
      </c>
      <c r="L7993">
        <v>0</v>
      </c>
      <c r="M7993">
        <v>0.51519999999999999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35</v>
      </c>
      <c r="I7994" t="s">
        <v>36</v>
      </c>
      <c r="J7994">
        <v>271.89999999999998</v>
      </c>
      <c r="K7994">
        <v>2</v>
      </c>
      <c r="L7994">
        <v>0</v>
      </c>
      <c r="M7994">
        <v>78.850999999999999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45.84</v>
      </c>
      <c r="K7995">
        <v>3</v>
      </c>
      <c r="L7995">
        <v>0</v>
      </c>
      <c r="M7995">
        <v>15.585599999999999</v>
      </c>
    </row>
    <row r="7996" spans="1:13" x14ac:dyDescent="0.3">
      <c r="A7996" t="s">
        <v>62</v>
      </c>
      <c r="B7996" t="s">
        <v>14</v>
      </c>
      <c r="C7996" t="s">
        <v>15</v>
      </c>
      <c r="D7996" t="s">
        <v>165</v>
      </c>
      <c r="E7996" t="s">
        <v>166</v>
      </c>
      <c r="F7996">
        <v>1852</v>
      </c>
      <c r="G7996" t="s">
        <v>57</v>
      </c>
      <c r="H7996" t="s">
        <v>19</v>
      </c>
      <c r="I7996" t="s">
        <v>33</v>
      </c>
      <c r="J7996">
        <v>9.82</v>
      </c>
      <c r="K7996">
        <v>2</v>
      </c>
      <c r="L7996">
        <v>0</v>
      </c>
      <c r="M7996">
        <v>3.2406000000000001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209</v>
      </c>
      <c r="E7997" t="s">
        <v>43</v>
      </c>
      <c r="F7997">
        <v>98270</v>
      </c>
      <c r="G7997" t="s">
        <v>25</v>
      </c>
      <c r="H7997" t="s">
        <v>26</v>
      </c>
      <c r="I7997" t="s">
        <v>77</v>
      </c>
      <c r="J7997">
        <v>93.36</v>
      </c>
      <c r="K7997">
        <v>12</v>
      </c>
      <c r="L7997">
        <v>0</v>
      </c>
      <c r="M7997">
        <v>0.93359999999999999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32</v>
      </c>
      <c r="J7998">
        <v>541.24</v>
      </c>
      <c r="K7998">
        <v>4</v>
      </c>
      <c r="L7998">
        <v>0</v>
      </c>
      <c r="M7998">
        <v>5.4123999999999999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26</v>
      </c>
      <c r="I7999" t="s">
        <v>41</v>
      </c>
      <c r="J7999">
        <v>106.32</v>
      </c>
      <c r="K7999">
        <v>3</v>
      </c>
      <c r="L7999">
        <v>0</v>
      </c>
      <c r="M7999">
        <v>49.970399999999998</v>
      </c>
    </row>
    <row r="8000" spans="1:13" x14ac:dyDescent="0.3">
      <c r="A8000" t="s">
        <v>28</v>
      </c>
      <c r="B8000" t="s">
        <v>14</v>
      </c>
      <c r="C8000" t="s">
        <v>15</v>
      </c>
      <c r="D8000" t="s">
        <v>354</v>
      </c>
      <c r="E8000" t="s">
        <v>119</v>
      </c>
      <c r="F8000">
        <v>73120</v>
      </c>
      <c r="G8000" t="s">
        <v>47</v>
      </c>
      <c r="H8000" t="s">
        <v>19</v>
      </c>
      <c r="I8000" t="s">
        <v>21</v>
      </c>
      <c r="J8000">
        <v>1323.9</v>
      </c>
      <c r="K8000">
        <v>5</v>
      </c>
      <c r="L8000">
        <v>0</v>
      </c>
      <c r="M8000">
        <v>383.93099999999998</v>
      </c>
    </row>
    <row r="8001" spans="1:13" x14ac:dyDescent="0.3">
      <c r="A8001" t="s">
        <v>13</v>
      </c>
      <c r="B8001" t="s">
        <v>22</v>
      </c>
      <c r="C8001" t="s">
        <v>15</v>
      </c>
      <c r="D8001" t="s">
        <v>55</v>
      </c>
      <c r="E8001" t="s">
        <v>56</v>
      </c>
      <c r="F8001">
        <v>19134</v>
      </c>
      <c r="G8001" t="s">
        <v>57</v>
      </c>
      <c r="H8001" t="s">
        <v>26</v>
      </c>
      <c r="I8001" t="s">
        <v>41</v>
      </c>
      <c r="J8001">
        <v>126.624</v>
      </c>
      <c r="K8001">
        <v>6</v>
      </c>
      <c r="L8001">
        <v>0.2</v>
      </c>
      <c r="M8001">
        <v>41.152799999999999</v>
      </c>
    </row>
    <row r="8002" spans="1:13" x14ac:dyDescent="0.3">
      <c r="A8002" t="s">
        <v>62</v>
      </c>
      <c r="B8002" t="s">
        <v>14</v>
      </c>
      <c r="C8002" t="s">
        <v>15</v>
      </c>
      <c r="D8002" t="s">
        <v>97</v>
      </c>
      <c r="E8002" t="s">
        <v>98</v>
      </c>
      <c r="F8002">
        <v>80013</v>
      </c>
      <c r="G8002" t="s">
        <v>25</v>
      </c>
      <c r="H8002" t="s">
        <v>35</v>
      </c>
      <c r="I8002" t="s">
        <v>36</v>
      </c>
      <c r="J8002">
        <v>125.944</v>
      </c>
      <c r="K8002">
        <v>7</v>
      </c>
      <c r="L8002">
        <v>0.2</v>
      </c>
      <c r="M8002">
        <v>15.743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26</v>
      </c>
      <c r="I8003" t="s">
        <v>37</v>
      </c>
      <c r="J8003">
        <v>663.92</v>
      </c>
      <c r="K8003">
        <v>5</v>
      </c>
      <c r="L8003">
        <v>0.2</v>
      </c>
      <c r="M8003">
        <v>207.47499999999999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35</v>
      </c>
      <c r="I8004" t="s">
        <v>59</v>
      </c>
      <c r="J8004">
        <v>120</v>
      </c>
      <c r="K8004">
        <v>8</v>
      </c>
      <c r="L8004">
        <v>0</v>
      </c>
      <c r="M8004">
        <v>13.2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26</v>
      </c>
      <c r="I8005" t="s">
        <v>77</v>
      </c>
      <c r="J8005">
        <v>3.29</v>
      </c>
      <c r="K8005">
        <v>1</v>
      </c>
      <c r="L8005">
        <v>0</v>
      </c>
      <c r="M8005">
        <v>1.4804999999999999</v>
      </c>
    </row>
    <row r="8006" spans="1:13" x14ac:dyDescent="0.3">
      <c r="A8006" t="s">
        <v>168</v>
      </c>
      <c r="B8006" t="s">
        <v>14</v>
      </c>
      <c r="C8006" t="s">
        <v>15</v>
      </c>
      <c r="D8006" t="s">
        <v>75</v>
      </c>
      <c r="E8006" t="s">
        <v>76</v>
      </c>
      <c r="F8006">
        <v>10009</v>
      </c>
      <c r="G8006" t="s">
        <v>57</v>
      </c>
      <c r="H8006" t="s">
        <v>19</v>
      </c>
      <c r="I8006" t="s">
        <v>33</v>
      </c>
      <c r="J8006">
        <v>18.84</v>
      </c>
      <c r="K8006">
        <v>3</v>
      </c>
      <c r="L8006">
        <v>0</v>
      </c>
      <c r="M8006">
        <v>6.0288000000000004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19</v>
      </c>
      <c r="I8007" t="s">
        <v>33</v>
      </c>
      <c r="J8007">
        <v>60.671999999999997</v>
      </c>
      <c r="K8007">
        <v>6</v>
      </c>
      <c r="L8007">
        <v>0.2</v>
      </c>
      <c r="M8007">
        <v>12.892799999999999</v>
      </c>
    </row>
    <row r="8008" spans="1:13" x14ac:dyDescent="0.3">
      <c r="A8008" t="s">
        <v>62</v>
      </c>
      <c r="B8008" t="s">
        <v>44</v>
      </c>
      <c r="C8008" t="s">
        <v>15</v>
      </c>
      <c r="D8008" t="s">
        <v>235</v>
      </c>
      <c r="E8008" t="s">
        <v>104</v>
      </c>
      <c r="F8008">
        <v>43130</v>
      </c>
      <c r="G8008" t="s">
        <v>57</v>
      </c>
      <c r="H8008" t="s">
        <v>26</v>
      </c>
      <c r="I8008" t="s">
        <v>34</v>
      </c>
      <c r="J8008">
        <v>30.815999999999999</v>
      </c>
      <c r="K8008">
        <v>9</v>
      </c>
      <c r="L8008">
        <v>0.2</v>
      </c>
      <c r="M8008">
        <v>2.6964000000000001</v>
      </c>
    </row>
    <row r="8009" spans="1:13" x14ac:dyDescent="0.3">
      <c r="A8009" t="s">
        <v>13</v>
      </c>
      <c r="B8009" t="s">
        <v>22</v>
      </c>
      <c r="C8009" t="s">
        <v>15</v>
      </c>
      <c r="D8009" t="s">
        <v>586</v>
      </c>
      <c r="E8009" t="s">
        <v>24</v>
      </c>
      <c r="F8009">
        <v>95351</v>
      </c>
      <c r="G8009" t="s">
        <v>25</v>
      </c>
      <c r="H8009" t="s">
        <v>35</v>
      </c>
      <c r="I8009" t="s">
        <v>36</v>
      </c>
      <c r="J8009">
        <v>52.792000000000002</v>
      </c>
      <c r="K8009">
        <v>1</v>
      </c>
      <c r="L8009">
        <v>0.2</v>
      </c>
      <c r="M8009">
        <v>4.6193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38</v>
      </c>
      <c r="J8010">
        <v>83.9</v>
      </c>
      <c r="K8010">
        <v>10</v>
      </c>
      <c r="L8010">
        <v>0</v>
      </c>
      <c r="M8010">
        <v>20.975000000000001</v>
      </c>
    </row>
    <row r="8011" spans="1:13" x14ac:dyDescent="0.3">
      <c r="A8011" t="s">
        <v>62</v>
      </c>
      <c r="B8011" t="s">
        <v>14</v>
      </c>
      <c r="C8011" t="s">
        <v>15</v>
      </c>
      <c r="D8011" t="s">
        <v>371</v>
      </c>
      <c r="E8011" t="s">
        <v>112</v>
      </c>
      <c r="F8011">
        <v>63116</v>
      </c>
      <c r="G8011" t="s">
        <v>47</v>
      </c>
      <c r="H8011" t="s">
        <v>26</v>
      </c>
      <c r="I8011" t="s">
        <v>41</v>
      </c>
      <c r="J8011">
        <v>11.76</v>
      </c>
      <c r="K8011">
        <v>2</v>
      </c>
      <c r="L8011">
        <v>0</v>
      </c>
      <c r="M8011">
        <v>5.7624000000000004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38</v>
      </c>
      <c r="J8012">
        <v>4.992</v>
      </c>
      <c r="K8012">
        <v>3</v>
      </c>
      <c r="L8012">
        <v>0.8</v>
      </c>
      <c r="M8012">
        <v>-12.979200000000001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26</v>
      </c>
      <c r="I8013" t="s">
        <v>60</v>
      </c>
      <c r="J8013">
        <v>87.92</v>
      </c>
      <c r="K8013">
        <v>5</v>
      </c>
      <c r="L8013">
        <v>0.2</v>
      </c>
      <c r="M8013">
        <v>29.672999999999998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19</v>
      </c>
      <c r="I8014" t="s">
        <v>21</v>
      </c>
      <c r="J8014">
        <v>657.93</v>
      </c>
      <c r="K8014">
        <v>5</v>
      </c>
      <c r="L8014">
        <v>0.3</v>
      </c>
      <c r="M8014">
        <v>-93.99</v>
      </c>
    </row>
    <row r="8015" spans="1:13" x14ac:dyDescent="0.3">
      <c r="A8015" t="s">
        <v>28</v>
      </c>
      <c r="B8015" t="s">
        <v>22</v>
      </c>
      <c r="C8015" t="s">
        <v>15</v>
      </c>
      <c r="D8015" t="s">
        <v>135</v>
      </c>
      <c r="E8015" t="s">
        <v>46</v>
      </c>
      <c r="F8015">
        <v>75217</v>
      </c>
      <c r="G8015" t="s">
        <v>47</v>
      </c>
      <c r="H8015" t="s">
        <v>26</v>
      </c>
      <c r="I8015" t="s">
        <v>37</v>
      </c>
      <c r="J8015">
        <v>1.044</v>
      </c>
      <c r="K8015">
        <v>1</v>
      </c>
      <c r="L8015">
        <v>0.8</v>
      </c>
      <c r="M8015">
        <v>-1.827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19</v>
      </c>
      <c r="I8016" t="s">
        <v>33</v>
      </c>
      <c r="J8016">
        <v>210.68</v>
      </c>
      <c r="K8016">
        <v>2</v>
      </c>
      <c r="L8016">
        <v>0</v>
      </c>
      <c r="M8016">
        <v>50.563200000000002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26</v>
      </c>
      <c r="I8017" t="s">
        <v>32</v>
      </c>
      <c r="J8017">
        <v>78.8</v>
      </c>
      <c r="K8017">
        <v>1</v>
      </c>
      <c r="L8017">
        <v>0</v>
      </c>
      <c r="M8017">
        <v>1.5760000000000001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35</v>
      </c>
      <c r="I8018" t="s">
        <v>59</v>
      </c>
      <c r="J8018">
        <v>19.989999999999998</v>
      </c>
      <c r="K8018">
        <v>1</v>
      </c>
      <c r="L8018">
        <v>0</v>
      </c>
      <c r="M8018">
        <v>6.7965999999999998</v>
      </c>
    </row>
    <row r="8019" spans="1:13" x14ac:dyDescent="0.3">
      <c r="A8019" t="s">
        <v>13</v>
      </c>
      <c r="B8019" t="s">
        <v>22</v>
      </c>
      <c r="C8019" t="s">
        <v>15</v>
      </c>
      <c r="D8019" t="s">
        <v>75</v>
      </c>
      <c r="E8019" t="s">
        <v>76</v>
      </c>
      <c r="F8019">
        <v>10035</v>
      </c>
      <c r="G8019" t="s">
        <v>57</v>
      </c>
      <c r="H8019" t="s">
        <v>26</v>
      </c>
      <c r="I8019" t="s">
        <v>32</v>
      </c>
      <c r="J8019">
        <v>772.68</v>
      </c>
      <c r="K8019">
        <v>4</v>
      </c>
      <c r="L8019">
        <v>0</v>
      </c>
      <c r="M8019">
        <v>108.1752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122</v>
      </c>
      <c r="E8020" t="s">
        <v>46</v>
      </c>
      <c r="F8020">
        <v>78207</v>
      </c>
      <c r="G8020" t="s">
        <v>47</v>
      </c>
      <c r="H8020" t="s">
        <v>35</v>
      </c>
      <c r="I8020" t="s">
        <v>59</v>
      </c>
      <c r="J8020">
        <v>106.08</v>
      </c>
      <c r="K8020">
        <v>6</v>
      </c>
      <c r="L8020">
        <v>0.2</v>
      </c>
      <c r="M8020">
        <v>-9.282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19</v>
      </c>
      <c r="I8021" t="s">
        <v>33</v>
      </c>
      <c r="J8021">
        <v>23.076000000000001</v>
      </c>
      <c r="K8021">
        <v>3</v>
      </c>
      <c r="L8021">
        <v>0.6</v>
      </c>
      <c r="M8021">
        <v>-10.9611</v>
      </c>
    </row>
    <row r="8022" spans="1:13" x14ac:dyDescent="0.3">
      <c r="A8022" t="s">
        <v>28</v>
      </c>
      <c r="B8022" t="s">
        <v>14</v>
      </c>
      <c r="C8022" t="s">
        <v>15</v>
      </c>
      <c r="D8022" t="s">
        <v>193</v>
      </c>
      <c r="E8022" t="s">
        <v>46</v>
      </c>
      <c r="F8022">
        <v>79109</v>
      </c>
      <c r="G8022" t="s">
        <v>47</v>
      </c>
      <c r="H8022" t="s">
        <v>26</v>
      </c>
      <c r="I8022" t="s">
        <v>41</v>
      </c>
      <c r="J8022">
        <v>25.92</v>
      </c>
      <c r="K8022">
        <v>5</v>
      </c>
      <c r="L8022">
        <v>0.2</v>
      </c>
      <c r="M8022">
        <v>9.0719999999999992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26</v>
      </c>
      <c r="I8023" t="s">
        <v>37</v>
      </c>
      <c r="J8023">
        <v>0.98399999999999999</v>
      </c>
      <c r="K8023">
        <v>2</v>
      </c>
      <c r="L8023">
        <v>0.8</v>
      </c>
      <c r="M8023">
        <v>-1.476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19</v>
      </c>
      <c r="I8024" t="s">
        <v>33</v>
      </c>
      <c r="J8024">
        <v>75.384</v>
      </c>
      <c r="K8024">
        <v>9</v>
      </c>
      <c r="L8024">
        <v>0.6</v>
      </c>
      <c r="M8024">
        <v>-20.730599999999999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61</v>
      </c>
      <c r="E8025" t="s">
        <v>46</v>
      </c>
      <c r="F8025">
        <v>77041</v>
      </c>
      <c r="G8025" t="s">
        <v>47</v>
      </c>
      <c r="H8025" t="s">
        <v>26</v>
      </c>
      <c r="I8025" t="s">
        <v>27</v>
      </c>
      <c r="J8025">
        <v>4.6079999999999997</v>
      </c>
      <c r="K8025">
        <v>2</v>
      </c>
      <c r="L8025">
        <v>0.2</v>
      </c>
      <c r="M8025">
        <v>1.6704000000000001</v>
      </c>
    </row>
    <row r="8026" spans="1:13" x14ac:dyDescent="0.3">
      <c r="A8026" t="s">
        <v>62</v>
      </c>
      <c r="B8026" t="s">
        <v>14</v>
      </c>
      <c r="C8026" t="s">
        <v>15</v>
      </c>
      <c r="D8026" t="s">
        <v>184</v>
      </c>
      <c r="E8026" t="s">
        <v>166</v>
      </c>
      <c r="F8026">
        <v>1841</v>
      </c>
      <c r="G8026" t="s">
        <v>57</v>
      </c>
      <c r="H8026" t="s">
        <v>26</v>
      </c>
      <c r="I8026" t="s">
        <v>37</v>
      </c>
      <c r="J8026">
        <v>37.68</v>
      </c>
      <c r="K8026">
        <v>6</v>
      </c>
      <c r="L8026">
        <v>0</v>
      </c>
      <c r="M8026">
        <v>16.956</v>
      </c>
    </row>
    <row r="8027" spans="1:13" x14ac:dyDescent="0.3">
      <c r="A8027" t="s">
        <v>28</v>
      </c>
      <c r="B8027" t="s">
        <v>22</v>
      </c>
      <c r="C8027" t="s">
        <v>15</v>
      </c>
      <c r="D8027" t="s">
        <v>103</v>
      </c>
      <c r="E8027" t="s">
        <v>167</v>
      </c>
      <c r="F8027">
        <v>31907</v>
      </c>
      <c r="G8027" t="s">
        <v>18</v>
      </c>
      <c r="H8027" t="s">
        <v>26</v>
      </c>
      <c r="I8027" t="s">
        <v>38</v>
      </c>
      <c r="J8027">
        <v>41.91</v>
      </c>
      <c r="K8027">
        <v>3</v>
      </c>
      <c r="L8027">
        <v>0</v>
      </c>
      <c r="M8027">
        <v>10.896599999999999</v>
      </c>
    </row>
    <row r="8028" spans="1:13" x14ac:dyDescent="0.3">
      <c r="A8028" t="s">
        <v>13</v>
      </c>
      <c r="B8028" t="s">
        <v>14</v>
      </c>
      <c r="C8028" t="s">
        <v>15</v>
      </c>
      <c r="D8028" t="s">
        <v>23</v>
      </c>
      <c r="E8028" t="s">
        <v>24</v>
      </c>
      <c r="F8028">
        <v>90032</v>
      </c>
      <c r="G8028" t="s">
        <v>25</v>
      </c>
      <c r="H8028" t="s">
        <v>19</v>
      </c>
      <c r="I8028" t="s">
        <v>20</v>
      </c>
      <c r="J8028">
        <v>435.99900000000002</v>
      </c>
      <c r="K8028">
        <v>3</v>
      </c>
      <c r="L8028">
        <v>0.15</v>
      </c>
      <c r="M8028">
        <v>5.1294000000000004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19</v>
      </c>
      <c r="I8029" t="s">
        <v>21</v>
      </c>
      <c r="J8029">
        <v>388.70400000000001</v>
      </c>
      <c r="K8029">
        <v>6</v>
      </c>
      <c r="L8029">
        <v>0.2</v>
      </c>
      <c r="M8029">
        <v>38.870399999999997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26</v>
      </c>
      <c r="I8030" t="s">
        <v>32</v>
      </c>
      <c r="J8030">
        <v>572.58000000000004</v>
      </c>
      <c r="K8030">
        <v>6</v>
      </c>
      <c r="L8030">
        <v>0</v>
      </c>
      <c r="M8030">
        <v>34.354799999999997</v>
      </c>
    </row>
    <row r="8031" spans="1:13" x14ac:dyDescent="0.3">
      <c r="A8031" t="s">
        <v>13</v>
      </c>
      <c r="B8031" t="s">
        <v>22</v>
      </c>
      <c r="C8031" t="s">
        <v>15</v>
      </c>
      <c r="D8031" t="s">
        <v>42</v>
      </c>
      <c r="E8031" t="s">
        <v>43</v>
      </c>
      <c r="F8031">
        <v>98115</v>
      </c>
      <c r="G8031" t="s">
        <v>25</v>
      </c>
      <c r="H8031" t="s">
        <v>35</v>
      </c>
      <c r="I8031" t="s">
        <v>59</v>
      </c>
      <c r="J8031">
        <v>33.18</v>
      </c>
      <c r="K8031">
        <v>2</v>
      </c>
      <c r="L8031">
        <v>0</v>
      </c>
      <c r="M8031">
        <v>11.613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35</v>
      </c>
      <c r="I8032" t="s">
        <v>59</v>
      </c>
      <c r="J8032">
        <v>63.88</v>
      </c>
      <c r="K8032">
        <v>4</v>
      </c>
      <c r="L8032">
        <v>0</v>
      </c>
      <c r="M8032">
        <v>24.9132</v>
      </c>
    </row>
    <row r="8033" spans="1:13" x14ac:dyDescent="0.3">
      <c r="A8033" t="s">
        <v>28</v>
      </c>
      <c r="B8033" t="s">
        <v>44</v>
      </c>
      <c r="C8033" t="s">
        <v>15</v>
      </c>
      <c r="D8033" t="s">
        <v>563</v>
      </c>
      <c r="E8033" t="s">
        <v>166</v>
      </c>
      <c r="F8033">
        <v>2138</v>
      </c>
      <c r="G8033" t="s">
        <v>57</v>
      </c>
      <c r="H8033" t="s">
        <v>19</v>
      </c>
      <c r="I8033" t="s">
        <v>33</v>
      </c>
      <c r="J8033">
        <v>26.72</v>
      </c>
      <c r="K8033">
        <v>1</v>
      </c>
      <c r="L8033">
        <v>0</v>
      </c>
      <c r="M8033">
        <v>11.7568</v>
      </c>
    </row>
    <row r="8034" spans="1:13" x14ac:dyDescent="0.3">
      <c r="A8034" t="s">
        <v>13</v>
      </c>
      <c r="B8034" t="s">
        <v>14</v>
      </c>
      <c r="C8034" t="s">
        <v>15</v>
      </c>
      <c r="D8034" t="s">
        <v>374</v>
      </c>
      <c r="E8034" t="s">
        <v>51</v>
      </c>
      <c r="F8034">
        <v>84106</v>
      </c>
      <c r="G8034" t="s">
        <v>25</v>
      </c>
      <c r="H8034" t="s">
        <v>26</v>
      </c>
      <c r="I8034" t="s">
        <v>37</v>
      </c>
      <c r="J8034">
        <v>295.05599999999998</v>
      </c>
      <c r="K8034">
        <v>9</v>
      </c>
      <c r="L8034">
        <v>0.2</v>
      </c>
      <c r="M8034">
        <v>106.95780000000001</v>
      </c>
    </row>
    <row r="8035" spans="1:13" x14ac:dyDescent="0.3">
      <c r="A8035" t="s">
        <v>28</v>
      </c>
      <c r="B8035" t="s">
        <v>14</v>
      </c>
      <c r="C8035" t="s">
        <v>15</v>
      </c>
      <c r="D8035" t="s">
        <v>75</v>
      </c>
      <c r="E8035" t="s">
        <v>76</v>
      </c>
      <c r="F8035">
        <v>10035</v>
      </c>
      <c r="G8035" t="s">
        <v>57</v>
      </c>
      <c r="H8035" t="s">
        <v>26</v>
      </c>
      <c r="I8035" t="s">
        <v>38</v>
      </c>
      <c r="J8035">
        <v>393.25</v>
      </c>
      <c r="K8035">
        <v>5</v>
      </c>
      <c r="L8035">
        <v>0</v>
      </c>
      <c r="M8035">
        <v>129.77250000000001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276</v>
      </c>
      <c r="E8036" t="s">
        <v>104</v>
      </c>
      <c r="F8036">
        <v>44221</v>
      </c>
      <c r="G8036" t="s">
        <v>57</v>
      </c>
      <c r="H8036" t="s">
        <v>26</v>
      </c>
      <c r="I8036" t="s">
        <v>37</v>
      </c>
      <c r="J8036">
        <v>2.214</v>
      </c>
      <c r="K8036">
        <v>3</v>
      </c>
      <c r="L8036">
        <v>0.7</v>
      </c>
      <c r="M8036">
        <v>-1.476</v>
      </c>
    </row>
    <row r="8037" spans="1:13" x14ac:dyDescent="0.3">
      <c r="A8037" t="s">
        <v>13</v>
      </c>
      <c r="B8037" t="s">
        <v>14</v>
      </c>
      <c r="C8037" t="s">
        <v>15</v>
      </c>
      <c r="D8037" t="s">
        <v>106</v>
      </c>
      <c r="E8037" t="s">
        <v>40</v>
      </c>
      <c r="F8037">
        <v>28403</v>
      </c>
      <c r="G8037" t="s">
        <v>18</v>
      </c>
      <c r="H8037" t="s">
        <v>26</v>
      </c>
      <c r="I8037" t="s">
        <v>41</v>
      </c>
      <c r="J8037">
        <v>16.271999999999998</v>
      </c>
      <c r="K8037">
        <v>3</v>
      </c>
      <c r="L8037">
        <v>0.2</v>
      </c>
      <c r="M8037">
        <v>5.2884000000000002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75</v>
      </c>
      <c r="E8038" t="s">
        <v>76</v>
      </c>
      <c r="F8038">
        <v>10035</v>
      </c>
      <c r="G8038" t="s">
        <v>57</v>
      </c>
      <c r="H8038" t="s">
        <v>26</v>
      </c>
      <c r="I8038" t="s">
        <v>38</v>
      </c>
      <c r="J8038">
        <v>706.86</v>
      </c>
      <c r="K8038">
        <v>7</v>
      </c>
      <c r="L8038">
        <v>0</v>
      </c>
      <c r="M8038">
        <v>197.92080000000001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26</v>
      </c>
      <c r="I8039" t="s">
        <v>37</v>
      </c>
      <c r="J8039">
        <v>5.97</v>
      </c>
      <c r="K8039">
        <v>5</v>
      </c>
      <c r="L8039">
        <v>0.7</v>
      </c>
      <c r="M8039">
        <v>-4.577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19</v>
      </c>
      <c r="I8040" t="s">
        <v>33</v>
      </c>
      <c r="J8040">
        <v>21.184000000000001</v>
      </c>
      <c r="K8040">
        <v>1</v>
      </c>
      <c r="L8040">
        <v>0.2</v>
      </c>
      <c r="M8040">
        <v>4.7664</v>
      </c>
    </row>
    <row r="8041" spans="1:13" x14ac:dyDescent="0.3">
      <c r="A8041" t="s">
        <v>28</v>
      </c>
      <c r="B8041" t="s">
        <v>22</v>
      </c>
      <c r="C8041" t="s">
        <v>15</v>
      </c>
      <c r="D8041" t="s">
        <v>55</v>
      </c>
      <c r="E8041" t="s">
        <v>56</v>
      </c>
      <c r="F8041">
        <v>19140</v>
      </c>
      <c r="G8041" t="s">
        <v>57</v>
      </c>
      <c r="H8041" t="s">
        <v>26</v>
      </c>
      <c r="I8041" t="s">
        <v>38</v>
      </c>
      <c r="J8041">
        <v>41.375999999999998</v>
      </c>
      <c r="K8041">
        <v>6</v>
      </c>
      <c r="L8041">
        <v>0.2</v>
      </c>
      <c r="M8041">
        <v>3.1032000000000002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75</v>
      </c>
      <c r="E8042" t="s">
        <v>76</v>
      </c>
      <c r="F8042">
        <v>10009</v>
      </c>
      <c r="G8042" t="s">
        <v>57</v>
      </c>
      <c r="H8042" t="s">
        <v>26</v>
      </c>
      <c r="I8042" t="s">
        <v>34</v>
      </c>
      <c r="J8042">
        <v>17.940000000000001</v>
      </c>
      <c r="K8042">
        <v>3</v>
      </c>
      <c r="L8042">
        <v>0</v>
      </c>
      <c r="M8042">
        <v>4.4850000000000003</v>
      </c>
    </row>
    <row r="8043" spans="1:13" x14ac:dyDescent="0.3">
      <c r="A8043" t="s">
        <v>28</v>
      </c>
      <c r="B8043" t="s">
        <v>22</v>
      </c>
      <c r="C8043" t="s">
        <v>15</v>
      </c>
      <c r="D8043" t="s">
        <v>55</v>
      </c>
      <c r="E8043" t="s">
        <v>56</v>
      </c>
      <c r="F8043">
        <v>19134</v>
      </c>
      <c r="G8043" t="s">
        <v>57</v>
      </c>
      <c r="H8043" t="s">
        <v>26</v>
      </c>
      <c r="I8043" t="s">
        <v>37</v>
      </c>
      <c r="J8043">
        <v>2.6549999999999998</v>
      </c>
      <c r="K8043">
        <v>1</v>
      </c>
      <c r="L8043">
        <v>0.7</v>
      </c>
      <c r="M8043">
        <v>-1.8585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26</v>
      </c>
      <c r="I8044" t="s">
        <v>32</v>
      </c>
      <c r="J8044">
        <v>892.35</v>
      </c>
      <c r="K8044">
        <v>5</v>
      </c>
      <c r="L8044">
        <v>0</v>
      </c>
      <c r="M8044">
        <v>267.70499999999998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19</v>
      </c>
      <c r="I8045" t="s">
        <v>20</v>
      </c>
      <c r="J8045">
        <v>307.666</v>
      </c>
      <c r="K8045">
        <v>2</v>
      </c>
      <c r="L8045">
        <v>0.15</v>
      </c>
      <c r="M8045">
        <v>28.956800000000001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32</v>
      </c>
      <c r="J8046">
        <v>728.82</v>
      </c>
      <c r="K8046">
        <v>9</v>
      </c>
      <c r="L8046">
        <v>0</v>
      </c>
      <c r="M8046">
        <v>29.152799999999999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26</v>
      </c>
      <c r="I8047" t="s">
        <v>37</v>
      </c>
      <c r="J8047">
        <v>41.36</v>
      </c>
      <c r="K8047">
        <v>5</v>
      </c>
      <c r="L8047">
        <v>0.2</v>
      </c>
      <c r="M8047">
        <v>13.959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35</v>
      </c>
      <c r="I8048" t="s">
        <v>36</v>
      </c>
      <c r="J8048">
        <v>43.176000000000002</v>
      </c>
      <c r="K8048">
        <v>3</v>
      </c>
      <c r="L8048">
        <v>0.2</v>
      </c>
      <c r="M8048">
        <v>15.111599999999999</v>
      </c>
    </row>
    <row r="8049" spans="1:13" x14ac:dyDescent="0.3">
      <c r="A8049" t="s">
        <v>28</v>
      </c>
      <c r="B8049" t="s">
        <v>14</v>
      </c>
      <c r="C8049" t="s">
        <v>15</v>
      </c>
      <c r="D8049" t="s">
        <v>23</v>
      </c>
      <c r="E8049" t="s">
        <v>24</v>
      </c>
      <c r="F8049">
        <v>90049</v>
      </c>
      <c r="G8049" t="s">
        <v>25</v>
      </c>
      <c r="H8049" t="s">
        <v>19</v>
      </c>
      <c r="I8049" t="s">
        <v>33</v>
      </c>
      <c r="J8049">
        <v>4.16</v>
      </c>
      <c r="K8049">
        <v>2</v>
      </c>
      <c r="L8049">
        <v>0</v>
      </c>
      <c r="M8049">
        <v>1.7472000000000001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41</v>
      </c>
      <c r="J8050">
        <v>61.4</v>
      </c>
      <c r="K8050">
        <v>5</v>
      </c>
      <c r="L8050">
        <v>0</v>
      </c>
      <c r="M8050">
        <v>28.858000000000001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159</v>
      </c>
      <c r="E8051" t="s">
        <v>76</v>
      </c>
      <c r="F8051">
        <v>11561</v>
      </c>
      <c r="G8051" t="s">
        <v>57</v>
      </c>
      <c r="H8051" t="s">
        <v>26</v>
      </c>
      <c r="I8051" t="s">
        <v>37</v>
      </c>
      <c r="J8051">
        <v>24.448</v>
      </c>
      <c r="K8051">
        <v>2</v>
      </c>
      <c r="L8051">
        <v>0.2</v>
      </c>
      <c r="M8051">
        <v>8.8623999999999992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263.95999999999998</v>
      </c>
      <c r="K8052">
        <v>4</v>
      </c>
      <c r="L8052">
        <v>0</v>
      </c>
      <c r="M8052">
        <v>71.269199999999998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35</v>
      </c>
      <c r="I8053" t="s">
        <v>36</v>
      </c>
      <c r="J8053">
        <v>359.97</v>
      </c>
      <c r="K8053">
        <v>3</v>
      </c>
      <c r="L8053">
        <v>0</v>
      </c>
      <c r="M8053">
        <v>100.7916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41</v>
      </c>
      <c r="J8054">
        <v>12.96</v>
      </c>
      <c r="K8054">
        <v>2</v>
      </c>
      <c r="L8054">
        <v>0</v>
      </c>
      <c r="M8054">
        <v>6.2207999999999997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32</v>
      </c>
      <c r="J8055">
        <v>116.82</v>
      </c>
      <c r="K8055">
        <v>3</v>
      </c>
      <c r="L8055">
        <v>0</v>
      </c>
      <c r="M8055">
        <v>5.8410000000000002</v>
      </c>
    </row>
    <row r="8056" spans="1:13" x14ac:dyDescent="0.3">
      <c r="A8056" t="s">
        <v>62</v>
      </c>
      <c r="B8056" t="s">
        <v>14</v>
      </c>
      <c r="C8056" t="s">
        <v>15</v>
      </c>
      <c r="D8056" t="s">
        <v>92</v>
      </c>
      <c r="E8056" t="s">
        <v>76</v>
      </c>
      <c r="F8056">
        <v>14609</v>
      </c>
      <c r="G8056" t="s">
        <v>57</v>
      </c>
      <c r="H8056" t="s">
        <v>26</v>
      </c>
      <c r="I8056" t="s">
        <v>37</v>
      </c>
      <c r="J8056">
        <v>276.78399999999999</v>
      </c>
      <c r="K8056">
        <v>2</v>
      </c>
      <c r="L8056">
        <v>0.2</v>
      </c>
      <c r="M8056">
        <v>89.954800000000006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35</v>
      </c>
      <c r="I8057" t="s">
        <v>59</v>
      </c>
      <c r="J8057">
        <v>239.97</v>
      </c>
      <c r="K8057">
        <v>3</v>
      </c>
      <c r="L8057">
        <v>0</v>
      </c>
      <c r="M8057">
        <v>86.389200000000002</v>
      </c>
    </row>
    <row r="8058" spans="1:13" x14ac:dyDescent="0.3">
      <c r="A8058" t="s">
        <v>28</v>
      </c>
      <c r="B8058" t="s">
        <v>22</v>
      </c>
      <c r="C8058" t="s">
        <v>15</v>
      </c>
      <c r="D8058" t="s">
        <v>52</v>
      </c>
      <c r="E8058" t="s">
        <v>24</v>
      </c>
      <c r="F8058">
        <v>94109</v>
      </c>
      <c r="G8058" t="s">
        <v>25</v>
      </c>
      <c r="H8058" t="s">
        <v>19</v>
      </c>
      <c r="I8058" t="s">
        <v>33</v>
      </c>
      <c r="J8058">
        <v>16.02</v>
      </c>
      <c r="K8058">
        <v>6</v>
      </c>
      <c r="L8058">
        <v>0</v>
      </c>
      <c r="M8058">
        <v>6.0876000000000001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26</v>
      </c>
      <c r="I8059" t="s">
        <v>32</v>
      </c>
      <c r="J8059">
        <v>454.56</v>
      </c>
      <c r="K8059">
        <v>5</v>
      </c>
      <c r="L8059">
        <v>0.2</v>
      </c>
      <c r="M8059">
        <v>-107.958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33</v>
      </c>
      <c r="J8060">
        <v>141.41999999999999</v>
      </c>
      <c r="K8060">
        <v>5</v>
      </c>
      <c r="L8060">
        <v>0.6</v>
      </c>
      <c r="M8060">
        <v>-187.38149999999999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19</v>
      </c>
      <c r="I8061" t="s">
        <v>21</v>
      </c>
      <c r="J8061">
        <v>310.74400000000003</v>
      </c>
      <c r="K8061">
        <v>4</v>
      </c>
      <c r="L8061">
        <v>0.3</v>
      </c>
      <c r="M8061">
        <v>-26.635200000000001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34</v>
      </c>
      <c r="J8062">
        <v>12.736000000000001</v>
      </c>
      <c r="K8062">
        <v>4</v>
      </c>
      <c r="L8062">
        <v>0.2</v>
      </c>
      <c r="M8062">
        <v>2.2288000000000001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6.47</v>
      </c>
      <c r="K8063">
        <v>5</v>
      </c>
      <c r="L8063">
        <v>0.8</v>
      </c>
      <c r="M8063">
        <v>-9.7050000000000001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37</v>
      </c>
      <c r="J8064">
        <v>13.747999999999999</v>
      </c>
      <c r="K8064">
        <v>14</v>
      </c>
      <c r="L8064">
        <v>0.8</v>
      </c>
      <c r="M8064">
        <v>-22.684200000000001</v>
      </c>
    </row>
    <row r="8065" spans="1:13" x14ac:dyDescent="0.3">
      <c r="A8065" t="s">
        <v>28</v>
      </c>
      <c r="B8065" t="s">
        <v>14</v>
      </c>
      <c r="C8065" t="s">
        <v>15</v>
      </c>
      <c r="D8065" t="s">
        <v>195</v>
      </c>
      <c r="E8065" t="s">
        <v>46</v>
      </c>
      <c r="F8065">
        <v>77340</v>
      </c>
      <c r="G8065" t="s">
        <v>47</v>
      </c>
      <c r="H8065" t="s">
        <v>26</v>
      </c>
      <c r="I8065" t="s">
        <v>38</v>
      </c>
      <c r="J8065">
        <v>15.224</v>
      </c>
      <c r="K8065">
        <v>2</v>
      </c>
      <c r="L8065">
        <v>0.8</v>
      </c>
      <c r="M8065">
        <v>-38.821199999999997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19</v>
      </c>
      <c r="I8066" t="s">
        <v>33</v>
      </c>
      <c r="J8066">
        <v>27.42</v>
      </c>
      <c r="K8066">
        <v>3</v>
      </c>
      <c r="L8066">
        <v>0</v>
      </c>
      <c r="M8066">
        <v>9.3228000000000009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26</v>
      </c>
      <c r="I8067" t="s">
        <v>37</v>
      </c>
      <c r="J8067">
        <v>165.98</v>
      </c>
      <c r="K8067">
        <v>1</v>
      </c>
      <c r="L8067">
        <v>0</v>
      </c>
      <c r="M8067">
        <v>74.691000000000003</v>
      </c>
    </row>
    <row r="8068" spans="1:13" x14ac:dyDescent="0.3">
      <c r="A8068" t="s">
        <v>28</v>
      </c>
      <c r="B8068" t="s">
        <v>22</v>
      </c>
      <c r="C8068" t="s">
        <v>15</v>
      </c>
      <c r="D8068" t="s">
        <v>595</v>
      </c>
      <c r="E8068" t="s">
        <v>167</v>
      </c>
      <c r="F8068">
        <v>30344</v>
      </c>
      <c r="G8068" t="s">
        <v>18</v>
      </c>
      <c r="H8068" t="s">
        <v>35</v>
      </c>
      <c r="I8068" t="s">
        <v>59</v>
      </c>
      <c r="J8068">
        <v>75</v>
      </c>
      <c r="K8068">
        <v>3</v>
      </c>
      <c r="L8068">
        <v>0</v>
      </c>
      <c r="M8068">
        <v>18</v>
      </c>
    </row>
    <row r="8069" spans="1:13" x14ac:dyDescent="0.3">
      <c r="A8069" t="s">
        <v>28</v>
      </c>
      <c r="B8069" t="s">
        <v>44</v>
      </c>
      <c r="C8069" t="s">
        <v>15</v>
      </c>
      <c r="D8069" t="s">
        <v>75</v>
      </c>
      <c r="E8069" t="s">
        <v>76</v>
      </c>
      <c r="F8069">
        <v>10009</v>
      </c>
      <c r="G8069" t="s">
        <v>57</v>
      </c>
      <c r="H8069" t="s">
        <v>26</v>
      </c>
      <c r="I8069" t="s">
        <v>37</v>
      </c>
      <c r="J8069">
        <v>134.27199999999999</v>
      </c>
      <c r="K8069">
        <v>8</v>
      </c>
      <c r="L8069">
        <v>0.2</v>
      </c>
      <c r="M8069">
        <v>46.995199999999997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27</v>
      </c>
      <c r="J8070">
        <v>146.54400000000001</v>
      </c>
      <c r="K8070">
        <v>6</v>
      </c>
      <c r="L8070">
        <v>0.2</v>
      </c>
      <c r="M8070">
        <v>47.626800000000003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41</v>
      </c>
      <c r="J8071">
        <v>131.904</v>
      </c>
      <c r="K8071">
        <v>3</v>
      </c>
      <c r="L8071">
        <v>0.2</v>
      </c>
      <c r="M8071">
        <v>47.815199999999997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38</v>
      </c>
      <c r="J8072">
        <v>203.88</v>
      </c>
      <c r="K8072">
        <v>5</v>
      </c>
      <c r="L8072">
        <v>0.2</v>
      </c>
      <c r="M8072">
        <v>20.388000000000002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37</v>
      </c>
      <c r="J8073">
        <v>14.301</v>
      </c>
      <c r="K8073">
        <v>7</v>
      </c>
      <c r="L8073">
        <v>0.7</v>
      </c>
      <c r="M8073">
        <v>-10.487399999999999</v>
      </c>
    </row>
    <row r="8074" spans="1:13" x14ac:dyDescent="0.3">
      <c r="A8074" t="s">
        <v>28</v>
      </c>
      <c r="B8074" t="s">
        <v>22</v>
      </c>
      <c r="C8074" t="s">
        <v>15</v>
      </c>
      <c r="D8074" t="s">
        <v>82</v>
      </c>
      <c r="E8074" t="s">
        <v>95</v>
      </c>
      <c r="F8074">
        <v>97477</v>
      </c>
      <c r="G8074" t="s">
        <v>25</v>
      </c>
      <c r="H8074" t="s">
        <v>26</v>
      </c>
      <c r="I8074" t="s">
        <v>32</v>
      </c>
      <c r="J8074">
        <v>718.64</v>
      </c>
      <c r="K8074">
        <v>10</v>
      </c>
      <c r="L8074">
        <v>0.2</v>
      </c>
      <c r="M8074">
        <v>-161.69399999999999</v>
      </c>
    </row>
    <row r="8075" spans="1:13" x14ac:dyDescent="0.3">
      <c r="A8075" t="s">
        <v>28</v>
      </c>
      <c r="B8075" t="s">
        <v>44</v>
      </c>
      <c r="C8075" t="s">
        <v>15</v>
      </c>
      <c r="D8075" t="s">
        <v>155</v>
      </c>
      <c r="E8075" t="s">
        <v>83</v>
      </c>
      <c r="F8075">
        <v>22204</v>
      </c>
      <c r="G8075" t="s">
        <v>18</v>
      </c>
      <c r="H8075" t="s">
        <v>19</v>
      </c>
      <c r="I8075" t="s">
        <v>33</v>
      </c>
      <c r="J8075">
        <v>61.1</v>
      </c>
      <c r="K8075">
        <v>5</v>
      </c>
      <c r="L8075">
        <v>0</v>
      </c>
      <c r="M8075">
        <v>18.329999999999998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106</v>
      </c>
      <c r="E8076" t="s">
        <v>40</v>
      </c>
      <c r="F8076">
        <v>28403</v>
      </c>
      <c r="G8076" t="s">
        <v>18</v>
      </c>
      <c r="H8076" t="s">
        <v>26</v>
      </c>
      <c r="I8076" t="s">
        <v>38</v>
      </c>
      <c r="J8076">
        <v>28.08</v>
      </c>
      <c r="K8076">
        <v>3</v>
      </c>
      <c r="L8076">
        <v>0.2</v>
      </c>
      <c r="M8076">
        <v>5.2649999999999997</v>
      </c>
    </row>
    <row r="8077" spans="1:13" x14ac:dyDescent="0.3">
      <c r="A8077" t="s">
        <v>13</v>
      </c>
      <c r="B8077" t="s">
        <v>22</v>
      </c>
      <c r="C8077" t="s">
        <v>15</v>
      </c>
      <c r="D8077" t="s">
        <v>511</v>
      </c>
      <c r="E8077" t="s">
        <v>81</v>
      </c>
      <c r="F8077">
        <v>85364</v>
      </c>
      <c r="G8077" t="s">
        <v>25</v>
      </c>
      <c r="H8077" t="s">
        <v>26</v>
      </c>
      <c r="I8077" t="s">
        <v>34</v>
      </c>
      <c r="J8077">
        <v>10.496</v>
      </c>
      <c r="K8077">
        <v>4</v>
      </c>
      <c r="L8077">
        <v>0.2</v>
      </c>
      <c r="M8077">
        <v>1.1808000000000001</v>
      </c>
    </row>
    <row r="8078" spans="1:13" x14ac:dyDescent="0.3">
      <c r="A8078" t="s">
        <v>28</v>
      </c>
      <c r="B8078" t="s">
        <v>14</v>
      </c>
      <c r="C8078" t="s">
        <v>15</v>
      </c>
      <c r="D8078" t="s">
        <v>358</v>
      </c>
      <c r="E8078" t="s">
        <v>24</v>
      </c>
      <c r="F8078">
        <v>92404</v>
      </c>
      <c r="G8078" t="s">
        <v>25</v>
      </c>
      <c r="H8078" t="s">
        <v>26</v>
      </c>
      <c r="I8078" t="s">
        <v>37</v>
      </c>
      <c r="J8078">
        <v>39.92</v>
      </c>
      <c r="K8078">
        <v>2</v>
      </c>
      <c r="L8078">
        <v>0.2</v>
      </c>
      <c r="M8078">
        <v>12.974</v>
      </c>
    </row>
    <row r="8079" spans="1:13" x14ac:dyDescent="0.3">
      <c r="A8079" t="s">
        <v>62</v>
      </c>
      <c r="B8079" t="s">
        <v>22</v>
      </c>
      <c r="C8079" t="s">
        <v>15</v>
      </c>
      <c r="D8079" t="s">
        <v>333</v>
      </c>
      <c r="E8079" t="s">
        <v>248</v>
      </c>
      <c r="F8079">
        <v>21215</v>
      </c>
      <c r="G8079" t="s">
        <v>57</v>
      </c>
      <c r="H8079" t="s">
        <v>26</v>
      </c>
      <c r="I8079" t="s">
        <v>38</v>
      </c>
      <c r="J8079">
        <v>77.58</v>
      </c>
      <c r="K8079">
        <v>9</v>
      </c>
      <c r="L8079">
        <v>0</v>
      </c>
      <c r="M8079">
        <v>20.1708</v>
      </c>
    </row>
    <row r="8080" spans="1:13" x14ac:dyDescent="0.3">
      <c r="A8080" t="s">
        <v>28</v>
      </c>
      <c r="B8080" t="s">
        <v>44</v>
      </c>
      <c r="C8080" t="s">
        <v>15</v>
      </c>
      <c r="D8080" t="s">
        <v>42</v>
      </c>
      <c r="E8080" t="s">
        <v>43</v>
      </c>
      <c r="F8080">
        <v>98103</v>
      </c>
      <c r="G8080" t="s">
        <v>25</v>
      </c>
      <c r="H8080" t="s">
        <v>26</v>
      </c>
      <c r="I8080" t="s">
        <v>32</v>
      </c>
      <c r="J8080">
        <v>269.36</v>
      </c>
      <c r="K8080">
        <v>7</v>
      </c>
      <c r="L8080">
        <v>0</v>
      </c>
      <c r="M8080">
        <v>70.033600000000007</v>
      </c>
    </row>
    <row r="8081" spans="1:13" x14ac:dyDescent="0.3">
      <c r="A8081" t="s">
        <v>28</v>
      </c>
      <c r="B8081" t="s">
        <v>14</v>
      </c>
      <c r="C8081" t="s">
        <v>15</v>
      </c>
      <c r="D8081" t="s">
        <v>52</v>
      </c>
      <c r="E8081" t="s">
        <v>24</v>
      </c>
      <c r="F8081">
        <v>94110</v>
      </c>
      <c r="G8081" t="s">
        <v>25</v>
      </c>
      <c r="H8081" t="s">
        <v>26</v>
      </c>
      <c r="I8081" t="s">
        <v>27</v>
      </c>
      <c r="J8081">
        <v>5.76</v>
      </c>
      <c r="K8081">
        <v>2</v>
      </c>
      <c r="L8081">
        <v>0</v>
      </c>
      <c r="M8081">
        <v>2.8224</v>
      </c>
    </row>
    <row r="8082" spans="1:13" x14ac:dyDescent="0.3">
      <c r="A8082" t="s">
        <v>13</v>
      </c>
      <c r="B8082" t="s">
        <v>44</v>
      </c>
      <c r="C8082" t="s">
        <v>15</v>
      </c>
      <c r="D8082" t="s">
        <v>75</v>
      </c>
      <c r="E8082" t="s">
        <v>76</v>
      </c>
      <c r="F8082">
        <v>10035</v>
      </c>
      <c r="G8082" t="s">
        <v>57</v>
      </c>
      <c r="H8082" t="s">
        <v>26</v>
      </c>
      <c r="I8082" t="s">
        <v>34</v>
      </c>
      <c r="J8082">
        <v>109.9</v>
      </c>
      <c r="K8082">
        <v>5</v>
      </c>
      <c r="L8082">
        <v>0</v>
      </c>
      <c r="M8082">
        <v>32.97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19</v>
      </c>
      <c r="I8083" t="s">
        <v>33</v>
      </c>
      <c r="J8083">
        <v>23.88</v>
      </c>
      <c r="K8083">
        <v>3</v>
      </c>
      <c r="L8083">
        <v>0</v>
      </c>
      <c r="M8083">
        <v>10.507199999999999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26</v>
      </c>
      <c r="I8084" t="s">
        <v>41</v>
      </c>
      <c r="J8084">
        <v>26.2</v>
      </c>
      <c r="K8084">
        <v>4</v>
      </c>
      <c r="L8084">
        <v>0</v>
      </c>
      <c r="M8084">
        <v>12.052</v>
      </c>
    </row>
    <row r="8085" spans="1:13" x14ac:dyDescent="0.3">
      <c r="A8085" t="s">
        <v>13</v>
      </c>
      <c r="B8085" t="s">
        <v>14</v>
      </c>
      <c r="C8085" t="s">
        <v>15</v>
      </c>
      <c r="D8085" t="s">
        <v>42</v>
      </c>
      <c r="E8085" t="s">
        <v>43</v>
      </c>
      <c r="F8085">
        <v>98115</v>
      </c>
      <c r="G8085" t="s">
        <v>25</v>
      </c>
      <c r="H8085" t="s">
        <v>35</v>
      </c>
      <c r="I8085" t="s">
        <v>59</v>
      </c>
      <c r="J8085">
        <v>234.95</v>
      </c>
      <c r="K8085">
        <v>5</v>
      </c>
      <c r="L8085">
        <v>0</v>
      </c>
      <c r="M8085">
        <v>32.893000000000001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32</v>
      </c>
      <c r="J8086">
        <v>118.25</v>
      </c>
      <c r="K8086">
        <v>5</v>
      </c>
      <c r="L8086">
        <v>0</v>
      </c>
      <c r="M8086">
        <v>34.292499999999997</v>
      </c>
    </row>
    <row r="8087" spans="1:13" x14ac:dyDescent="0.3">
      <c r="A8087" t="s">
        <v>28</v>
      </c>
      <c r="B8087" t="s">
        <v>14</v>
      </c>
      <c r="C8087" t="s">
        <v>15</v>
      </c>
      <c r="D8087" t="s">
        <v>394</v>
      </c>
      <c r="E8087" t="s">
        <v>121</v>
      </c>
      <c r="F8087">
        <v>87105</v>
      </c>
      <c r="G8087" t="s">
        <v>25</v>
      </c>
      <c r="H8087" t="s">
        <v>26</v>
      </c>
      <c r="I8087" t="s">
        <v>41</v>
      </c>
      <c r="J8087">
        <v>4.28</v>
      </c>
      <c r="K8087">
        <v>1</v>
      </c>
      <c r="L8087">
        <v>0</v>
      </c>
      <c r="M8087">
        <v>1.9259999999999999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59</v>
      </c>
      <c r="J8088">
        <v>26.85</v>
      </c>
      <c r="K8088">
        <v>3</v>
      </c>
      <c r="L8088">
        <v>0</v>
      </c>
      <c r="M8088">
        <v>5.1014999999999997</v>
      </c>
    </row>
    <row r="8089" spans="1:13" x14ac:dyDescent="0.3">
      <c r="A8089" t="s">
        <v>62</v>
      </c>
      <c r="B8089" t="s">
        <v>44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35</v>
      </c>
      <c r="I8089" t="s">
        <v>123</v>
      </c>
      <c r="J8089">
        <v>3357.6</v>
      </c>
      <c r="K8089">
        <v>3</v>
      </c>
      <c r="L8089">
        <v>0.2</v>
      </c>
      <c r="M8089">
        <v>377.73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26</v>
      </c>
      <c r="I8090" t="s">
        <v>27</v>
      </c>
      <c r="J8090">
        <v>8.26</v>
      </c>
      <c r="K8090">
        <v>2</v>
      </c>
      <c r="L8090">
        <v>0</v>
      </c>
      <c r="M8090">
        <v>3.7995999999999999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35</v>
      </c>
      <c r="I8091" t="s">
        <v>123</v>
      </c>
      <c r="J8091">
        <v>2973.32</v>
      </c>
      <c r="K8091">
        <v>7</v>
      </c>
      <c r="L8091">
        <v>0.2</v>
      </c>
      <c r="M8091">
        <v>334.49849999999998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26</v>
      </c>
      <c r="I8092" t="s">
        <v>32</v>
      </c>
      <c r="J8092">
        <v>104.79</v>
      </c>
      <c r="K8092">
        <v>7</v>
      </c>
      <c r="L8092">
        <v>0</v>
      </c>
      <c r="M8092">
        <v>29.341200000000001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23</v>
      </c>
      <c r="E8093" t="s">
        <v>24</v>
      </c>
      <c r="F8093">
        <v>90045</v>
      </c>
      <c r="G8093" t="s">
        <v>25</v>
      </c>
      <c r="H8093" t="s">
        <v>35</v>
      </c>
      <c r="I8093" t="s">
        <v>36</v>
      </c>
      <c r="J8093">
        <v>775.72799999999995</v>
      </c>
      <c r="K8093">
        <v>6</v>
      </c>
      <c r="L8093">
        <v>0.2</v>
      </c>
      <c r="M8093">
        <v>58.179600000000001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19</v>
      </c>
      <c r="I8094" t="s">
        <v>20</v>
      </c>
      <c r="J8094">
        <v>89.066400000000002</v>
      </c>
      <c r="K8094">
        <v>1</v>
      </c>
      <c r="L8094">
        <v>0.32</v>
      </c>
      <c r="M8094">
        <v>-17.0274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26</v>
      </c>
      <c r="I8095" t="s">
        <v>34</v>
      </c>
      <c r="J8095">
        <v>175.44</v>
      </c>
      <c r="K8095">
        <v>6</v>
      </c>
      <c r="L8095">
        <v>0.2</v>
      </c>
      <c r="M8095">
        <v>52.631999999999998</v>
      </c>
    </row>
    <row r="8096" spans="1:13" x14ac:dyDescent="0.3">
      <c r="A8096" t="s">
        <v>62</v>
      </c>
      <c r="B8096" t="s">
        <v>44</v>
      </c>
      <c r="C8096" t="s">
        <v>15</v>
      </c>
      <c r="D8096" t="s">
        <v>61</v>
      </c>
      <c r="E8096" t="s">
        <v>46</v>
      </c>
      <c r="F8096">
        <v>77041</v>
      </c>
      <c r="G8096" t="s">
        <v>47</v>
      </c>
      <c r="H8096" t="s">
        <v>35</v>
      </c>
      <c r="I8096" t="s">
        <v>36</v>
      </c>
      <c r="J8096">
        <v>438.33600000000001</v>
      </c>
      <c r="K8096">
        <v>4</v>
      </c>
      <c r="L8096">
        <v>0.2</v>
      </c>
      <c r="M8096">
        <v>-87.667199999999994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55</v>
      </c>
      <c r="E8097" t="s">
        <v>56</v>
      </c>
      <c r="F8097">
        <v>19140</v>
      </c>
      <c r="G8097" t="s">
        <v>57</v>
      </c>
      <c r="H8097" t="s">
        <v>19</v>
      </c>
      <c r="I8097" t="s">
        <v>21</v>
      </c>
      <c r="J8097">
        <v>215.54400000000001</v>
      </c>
      <c r="K8097">
        <v>4</v>
      </c>
      <c r="L8097">
        <v>0.3</v>
      </c>
      <c r="M8097">
        <v>-58.504800000000003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26</v>
      </c>
      <c r="I8098" t="s">
        <v>60</v>
      </c>
      <c r="J8098">
        <v>55.584000000000003</v>
      </c>
      <c r="K8098">
        <v>6</v>
      </c>
      <c r="L8098">
        <v>0.2</v>
      </c>
      <c r="M8098">
        <v>20.844000000000001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79</v>
      </c>
      <c r="E8099" t="s">
        <v>65</v>
      </c>
      <c r="F8099">
        <v>60623</v>
      </c>
      <c r="G8099" t="s">
        <v>47</v>
      </c>
      <c r="H8099" t="s">
        <v>19</v>
      </c>
      <c r="I8099" t="s">
        <v>21</v>
      </c>
      <c r="J8099">
        <v>127.386</v>
      </c>
      <c r="K8099">
        <v>2</v>
      </c>
      <c r="L8099">
        <v>0.3</v>
      </c>
      <c r="M8099">
        <v>-25.4772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19</v>
      </c>
      <c r="I8100" t="s">
        <v>21</v>
      </c>
      <c r="J8100">
        <v>248.43</v>
      </c>
      <c r="K8100">
        <v>5</v>
      </c>
      <c r="L8100">
        <v>0.3</v>
      </c>
      <c r="M8100">
        <v>-17.745000000000001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26</v>
      </c>
      <c r="I8101" t="s">
        <v>38</v>
      </c>
      <c r="J8101">
        <v>11.648</v>
      </c>
      <c r="K8101">
        <v>4</v>
      </c>
      <c r="L8101">
        <v>0.8</v>
      </c>
      <c r="M8101">
        <v>-30.8672</v>
      </c>
    </row>
    <row r="8102" spans="1:13" x14ac:dyDescent="0.3">
      <c r="A8102" t="s">
        <v>13</v>
      </c>
      <c r="B8102" t="s">
        <v>14</v>
      </c>
      <c r="C8102" t="s">
        <v>15</v>
      </c>
      <c r="D8102" t="s">
        <v>373</v>
      </c>
      <c r="E8102" t="s">
        <v>46</v>
      </c>
      <c r="F8102">
        <v>76903</v>
      </c>
      <c r="G8102" t="s">
        <v>47</v>
      </c>
      <c r="H8102" t="s">
        <v>19</v>
      </c>
      <c r="I8102" t="s">
        <v>21</v>
      </c>
      <c r="J8102">
        <v>85.245999999999995</v>
      </c>
      <c r="K8102">
        <v>2</v>
      </c>
      <c r="L8102">
        <v>0.3</v>
      </c>
      <c r="M8102">
        <v>-1.2178</v>
      </c>
    </row>
    <row r="8103" spans="1:13" x14ac:dyDescent="0.3">
      <c r="A8103" t="s">
        <v>13</v>
      </c>
      <c r="B8103" t="s">
        <v>22</v>
      </c>
      <c r="C8103" t="s">
        <v>15</v>
      </c>
      <c r="D8103" t="s">
        <v>113</v>
      </c>
      <c r="E8103" t="s">
        <v>46</v>
      </c>
      <c r="F8103">
        <v>77506</v>
      </c>
      <c r="G8103" t="s">
        <v>47</v>
      </c>
      <c r="H8103" t="s">
        <v>26</v>
      </c>
      <c r="I8103" t="s">
        <v>34</v>
      </c>
      <c r="J8103">
        <v>20.64</v>
      </c>
      <c r="K8103">
        <v>5</v>
      </c>
      <c r="L8103">
        <v>0.2</v>
      </c>
      <c r="M8103">
        <v>2.3220000000000001</v>
      </c>
    </row>
    <row r="8104" spans="1:13" x14ac:dyDescent="0.3">
      <c r="A8104" t="s">
        <v>28</v>
      </c>
      <c r="B8104" t="s">
        <v>22</v>
      </c>
      <c r="C8104" t="s">
        <v>15</v>
      </c>
      <c r="D8104" t="s">
        <v>23</v>
      </c>
      <c r="E8104" t="s">
        <v>24</v>
      </c>
      <c r="F8104">
        <v>90049</v>
      </c>
      <c r="G8104" t="s">
        <v>25</v>
      </c>
      <c r="H8104" t="s">
        <v>19</v>
      </c>
      <c r="I8104" t="s">
        <v>33</v>
      </c>
      <c r="J8104">
        <v>148.02000000000001</v>
      </c>
      <c r="K8104">
        <v>3</v>
      </c>
      <c r="L8104">
        <v>0</v>
      </c>
      <c r="M8104">
        <v>41.445599999999999</v>
      </c>
    </row>
    <row r="8105" spans="1:13" x14ac:dyDescent="0.3">
      <c r="A8105" t="s">
        <v>168</v>
      </c>
      <c r="B8105" t="s">
        <v>22</v>
      </c>
      <c r="C8105" t="s">
        <v>15</v>
      </c>
      <c r="D8105" t="s">
        <v>587</v>
      </c>
      <c r="E8105" t="s">
        <v>336</v>
      </c>
      <c r="F8105">
        <v>67846</v>
      </c>
      <c r="G8105" t="s">
        <v>47</v>
      </c>
      <c r="H8105" t="s">
        <v>26</v>
      </c>
      <c r="I8105" t="s">
        <v>32</v>
      </c>
      <c r="J8105">
        <v>33.29</v>
      </c>
      <c r="K8105">
        <v>1</v>
      </c>
      <c r="L8105">
        <v>0</v>
      </c>
      <c r="M8105">
        <v>7.9896000000000003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26</v>
      </c>
      <c r="I8106" t="s">
        <v>41</v>
      </c>
      <c r="J8106">
        <v>204.95</v>
      </c>
      <c r="K8106">
        <v>5</v>
      </c>
      <c r="L8106">
        <v>0</v>
      </c>
      <c r="M8106">
        <v>100.4255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79</v>
      </c>
      <c r="E8107" t="s">
        <v>65</v>
      </c>
      <c r="F8107">
        <v>60653</v>
      </c>
      <c r="G8107" t="s">
        <v>47</v>
      </c>
      <c r="H8107" t="s">
        <v>19</v>
      </c>
      <c r="I8107" t="s">
        <v>21</v>
      </c>
      <c r="J8107">
        <v>526.34400000000005</v>
      </c>
      <c r="K8107">
        <v>4</v>
      </c>
      <c r="L8107">
        <v>0.3</v>
      </c>
      <c r="M8107">
        <v>-75.191999999999993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33</v>
      </c>
      <c r="J8108">
        <v>41.96</v>
      </c>
      <c r="K8108">
        <v>2</v>
      </c>
      <c r="L8108">
        <v>0</v>
      </c>
      <c r="M8108">
        <v>10.909599999999999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19</v>
      </c>
      <c r="I8109" t="s">
        <v>21</v>
      </c>
      <c r="J8109">
        <v>451.15199999999999</v>
      </c>
      <c r="K8109">
        <v>3</v>
      </c>
      <c r="L8109">
        <v>0.2</v>
      </c>
      <c r="M8109">
        <v>0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52</v>
      </c>
      <c r="E8110" t="s">
        <v>24</v>
      </c>
      <c r="F8110">
        <v>94110</v>
      </c>
      <c r="G8110" t="s">
        <v>25</v>
      </c>
      <c r="H8110" t="s">
        <v>26</v>
      </c>
      <c r="I8110" t="s">
        <v>37</v>
      </c>
      <c r="J8110">
        <v>31.504000000000001</v>
      </c>
      <c r="K8110">
        <v>11</v>
      </c>
      <c r="L8110">
        <v>0.2</v>
      </c>
      <c r="M8110">
        <v>11.026400000000001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26</v>
      </c>
      <c r="I8111" t="s">
        <v>60</v>
      </c>
      <c r="J8111">
        <v>30.672000000000001</v>
      </c>
      <c r="K8111">
        <v>3</v>
      </c>
      <c r="L8111">
        <v>0.2</v>
      </c>
      <c r="M8111">
        <v>9.5850000000000009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55</v>
      </c>
      <c r="E8112" t="s">
        <v>56</v>
      </c>
      <c r="F8112">
        <v>19134</v>
      </c>
      <c r="G8112" t="s">
        <v>57</v>
      </c>
      <c r="H8112" t="s">
        <v>35</v>
      </c>
      <c r="I8112" t="s">
        <v>162</v>
      </c>
      <c r="J8112">
        <v>1079.9760000000001</v>
      </c>
      <c r="K8112">
        <v>4</v>
      </c>
      <c r="L8112">
        <v>0.4</v>
      </c>
      <c r="M8112">
        <v>125.99720000000001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586</v>
      </c>
      <c r="E8113" t="s">
        <v>24</v>
      </c>
      <c r="F8113">
        <v>95351</v>
      </c>
      <c r="G8113" t="s">
        <v>25</v>
      </c>
      <c r="H8113" t="s">
        <v>19</v>
      </c>
      <c r="I8113" t="s">
        <v>21</v>
      </c>
      <c r="J8113">
        <v>161.56800000000001</v>
      </c>
      <c r="K8113">
        <v>2</v>
      </c>
      <c r="L8113">
        <v>0.2</v>
      </c>
      <c r="M8113">
        <v>-28.2744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26</v>
      </c>
      <c r="I8114" t="s">
        <v>37</v>
      </c>
      <c r="J8114">
        <v>2.9340000000000002</v>
      </c>
      <c r="K8114">
        <v>3</v>
      </c>
      <c r="L8114">
        <v>0.8</v>
      </c>
      <c r="M8114">
        <v>-4.9878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35</v>
      </c>
      <c r="I8115" t="s">
        <v>59</v>
      </c>
      <c r="J8115">
        <v>18.527999999999999</v>
      </c>
      <c r="K8115">
        <v>2</v>
      </c>
      <c r="L8115">
        <v>0.2</v>
      </c>
      <c r="M8115">
        <v>4.4004000000000003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61</v>
      </c>
      <c r="E8116" t="s">
        <v>46</v>
      </c>
      <c r="F8116">
        <v>77070</v>
      </c>
      <c r="G8116" t="s">
        <v>47</v>
      </c>
      <c r="H8116" t="s">
        <v>26</v>
      </c>
      <c r="I8116" t="s">
        <v>32</v>
      </c>
      <c r="J8116">
        <v>670.75199999999995</v>
      </c>
      <c r="K8116">
        <v>3</v>
      </c>
      <c r="L8116">
        <v>0.2</v>
      </c>
      <c r="M8116">
        <v>-125.76600000000001</v>
      </c>
    </row>
    <row r="8117" spans="1:13" x14ac:dyDescent="0.3">
      <c r="A8117" t="s">
        <v>28</v>
      </c>
      <c r="B8117" t="s">
        <v>14</v>
      </c>
      <c r="C8117" t="s">
        <v>15</v>
      </c>
      <c r="D8117" t="s">
        <v>79</v>
      </c>
      <c r="E8117" t="s">
        <v>65</v>
      </c>
      <c r="F8117">
        <v>60610</v>
      </c>
      <c r="G8117" t="s">
        <v>47</v>
      </c>
      <c r="H8117" t="s">
        <v>19</v>
      </c>
      <c r="I8117" t="s">
        <v>33</v>
      </c>
      <c r="J8117">
        <v>64.959999999999994</v>
      </c>
      <c r="K8117">
        <v>5</v>
      </c>
      <c r="L8117">
        <v>0.6</v>
      </c>
      <c r="M8117">
        <v>-43.847999999999999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35</v>
      </c>
      <c r="I8118" t="s">
        <v>59</v>
      </c>
      <c r="J8118">
        <v>41.94</v>
      </c>
      <c r="K8118">
        <v>2</v>
      </c>
      <c r="L8118">
        <v>0</v>
      </c>
      <c r="M8118">
        <v>15.0984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41</v>
      </c>
      <c r="J8119">
        <v>11.96</v>
      </c>
      <c r="K8119">
        <v>2</v>
      </c>
      <c r="L8119">
        <v>0</v>
      </c>
      <c r="M8119">
        <v>5.8604000000000003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34</v>
      </c>
      <c r="J8120">
        <v>13.12</v>
      </c>
      <c r="K8120">
        <v>4</v>
      </c>
      <c r="L8120">
        <v>0</v>
      </c>
      <c r="M8120">
        <v>3.8048000000000002</v>
      </c>
    </row>
    <row r="8121" spans="1:13" x14ac:dyDescent="0.3">
      <c r="A8121" t="s">
        <v>62</v>
      </c>
      <c r="B8121" t="s">
        <v>22</v>
      </c>
      <c r="C8121" t="s">
        <v>15</v>
      </c>
      <c r="D8121" t="s">
        <v>254</v>
      </c>
      <c r="E8121" t="s">
        <v>24</v>
      </c>
      <c r="F8121">
        <v>92503</v>
      </c>
      <c r="G8121" t="s">
        <v>25</v>
      </c>
      <c r="H8121" t="s">
        <v>26</v>
      </c>
      <c r="I8121" t="s">
        <v>32</v>
      </c>
      <c r="J8121">
        <v>535.41</v>
      </c>
      <c r="K8121">
        <v>3</v>
      </c>
      <c r="L8121">
        <v>0</v>
      </c>
      <c r="M8121">
        <v>160.62299999999999</v>
      </c>
    </row>
    <row r="8122" spans="1:13" x14ac:dyDescent="0.3">
      <c r="A8122" t="s">
        <v>28</v>
      </c>
      <c r="B8122" t="s">
        <v>22</v>
      </c>
      <c r="C8122" t="s">
        <v>15</v>
      </c>
      <c r="D8122" t="s">
        <v>135</v>
      </c>
      <c r="E8122" t="s">
        <v>46</v>
      </c>
      <c r="F8122">
        <v>75081</v>
      </c>
      <c r="G8122" t="s">
        <v>47</v>
      </c>
      <c r="H8122" t="s">
        <v>19</v>
      </c>
      <c r="I8122" t="s">
        <v>33</v>
      </c>
      <c r="J8122">
        <v>72.78</v>
      </c>
      <c r="K8122">
        <v>3</v>
      </c>
      <c r="L8122">
        <v>0.6</v>
      </c>
      <c r="M8122">
        <v>-70.960499999999996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41</v>
      </c>
      <c r="J8123">
        <v>36.840000000000003</v>
      </c>
      <c r="K8123">
        <v>3</v>
      </c>
      <c r="L8123">
        <v>0</v>
      </c>
      <c r="M8123">
        <v>17.314800000000002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23</v>
      </c>
      <c r="E8124" t="s">
        <v>24</v>
      </c>
      <c r="F8124">
        <v>90008</v>
      </c>
      <c r="G8124" t="s">
        <v>25</v>
      </c>
      <c r="H8124" t="s">
        <v>26</v>
      </c>
      <c r="I8124" t="s">
        <v>27</v>
      </c>
      <c r="J8124">
        <v>87.71</v>
      </c>
      <c r="K8124">
        <v>7</v>
      </c>
      <c r="L8124">
        <v>0</v>
      </c>
      <c r="M8124">
        <v>41.223700000000001</v>
      </c>
    </row>
    <row r="8125" spans="1:13" x14ac:dyDescent="0.3">
      <c r="A8125" t="s">
        <v>28</v>
      </c>
      <c r="B8125" t="s">
        <v>22</v>
      </c>
      <c r="C8125" t="s">
        <v>15</v>
      </c>
      <c r="D8125" t="s">
        <v>204</v>
      </c>
      <c r="E8125" t="s">
        <v>30</v>
      </c>
      <c r="F8125">
        <v>33801</v>
      </c>
      <c r="G8125" t="s">
        <v>18</v>
      </c>
      <c r="H8125" t="s">
        <v>19</v>
      </c>
      <c r="I8125" t="s">
        <v>31</v>
      </c>
      <c r="J8125">
        <v>562.29250000000002</v>
      </c>
      <c r="K8125">
        <v>7</v>
      </c>
      <c r="L8125">
        <v>0.45</v>
      </c>
      <c r="M8125">
        <v>-255.58750000000001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75</v>
      </c>
      <c r="E8126" t="s">
        <v>76</v>
      </c>
      <c r="F8126">
        <v>10035</v>
      </c>
      <c r="G8126" t="s">
        <v>57</v>
      </c>
      <c r="H8126" t="s">
        <v>19</v>
      </c>
      <c r="I8126" t="s">
        <v>33</v>
      </c>
      <c r="J8126">
        <v>56.52</v>
      </c>
      <c r="K8126">
        <v>9</v>
      </c>
      <c r="L8126">
        <v>0</v>
      </c>
      <c r="M8126">
        <v>21.477599999999999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34</v>
      </c>
      <c r="J8127">
        <v>11.263999999999999</v>
      </c>
      <c r="K8127">
        <v>8</v>
      </c>
      <c r="L8127">
        <v>0.2</v>
      </c>
      <c r="M8127">
        <v>1.2672000000000001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32</v>
      </c>
      <c r="J8128">
        <v>284.08</v>
      </c>
      <c r="K8128">
        <v>10</v>
      </c>
      <c r="L8128">
        <v>0.2</v>
      </c>
      <c r="M8128">
        <v>24.856999999999999</v>
      </c>
    </row>
    <row r="8129" spans="1:13" x14ac:dyDescent="0.3">
      <c r="A8129" t="s">
        <v>28</v>
      </c>
      <c r="B8129" t="s">
        <v>44</v>
      </c>
      <c r="C8129" t="s">
        <v>15</v>
      </c>
      <c r="D8129" t="s">
        <v>55</v>
      </c>
      <c r="E8129" t="s">
        <v>56</v>
      </c>
      <c r="F8129">
        <v>19140</v>
      </c>
      <c r="G8129" t="s">
        <v>57</v>
      </c>
      <c r="H8129" t="s">
        <v>26</v>
      </c>
      <c r="I8129" t="s">
        <v>41</v>
      </c>
      <c r="J8129">
        <v>18.495999999999999</v>
      </c>
      <c r="K8129">
        <v>4</v>
      </c>
      <c r="L8129">
        <v>0.2</v>
      </c>
      <c r="M8129">
        <v>6.7047999999999996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27</v>
      </c>
      <c r="J8130">
        <v>14.73</v>
      </c>
      <c r="K8130">
        <v>3</v>
      </c>
      <c r="L8130">
        <v>0</v>
      </c>
      <c r="M8130">
        <v>7.2176999999999998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26</v>
      </c>
      <c r="I8131" t="s">
        <v>32</v>
      </c>
      <c r="J8131">
        <v>186.54</v>
      </c>
      <c r="K8131">
        <v>3</v>
      </c>
      <c r="L8131">
        <v>0</v>
      </c>
      <c r="M8131">
        <v>50.3658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19</v>
      </c>
      <c r="I8132" t="s">
        <v>31</v>
      </c>
      <c r="J8132">
        <v>557.72799999999995</v>
      </c>
      <c r="K8132">
        <v>4</v>
      </c>
      <c r="L8132">
        <v>0.2</v>
      </c>
      <c r="M8132">
        <v>6.9715999999999996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144</v>
      </c>
      <c r="E8133" t="s">
        <v>24</v>
      </c>
      <c r="F8133">
        <v>92037</v>
      </c>
      <c r="G8133" t="s">
        <v>25</v>
      </c>
      <c r="H8133" t="s">
        <v>35</v>
      </c>
      <c r="I8133" t="s">
        <v>36</v>
      </c>
      <c r="J8133">
        <v>159.96799999999999</v>
      </c>
      <c r="K8133">
        <v>4</v>
      </c>
      <c r="L8133">
        <v>0.2</v>
      </c>
      <c r="M8133">
        <v>-31.993600000000001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38</v>
      </c>
      <c r="J8134">
        <v>471.9</v>
      </c>
      <c r="K8134">
        <v>6</v>
      </c>
      <c r="L8134">
        <v>0</v>
      </c>
      <c r="M8134">
        <v>155.727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499</v>
      </c>
      <c r="E8135" t="s">
        <v>119</v>
      </c>
      <c r="F8135">
        <v>73505</v>
      </c>
      <c r="G8135" t="s">
        <v>47</v>
      </c>
      <c r="H8135" t="s">
        <v>26</v>
      </c>
      <c r="I8135" t="s">
        <v>34</v>
      </c>
      <c r="J8135">
        <v>3.52</v>
      </c>
      <c r="K8135">
        <v>2</v>
      </c>
      <c r="L8135">
        <v>0</v>
      </c>
      <c r="M8135">
        <v>1.6896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210</v>
      </c>
      <c r="E8136" t="s">
        <v>83</v>
      </c>
      <c r="F8136">
        <v>24153</v>
      </c>
      <c r="G8136" t="s">
        <v>18</v>
      </c>
      <c r="H8136" t="s">
        <v>26</v>
      </c>
      <c r="I8136" t="s">
        <v>41</v>
      </c>
      <c r="J8136">
        <v>49.12</v>
      </c>
      <c r="K8136">
        <v>4</v>
      </c>
      <c r="L8136">
        <v>0</v>
      </c>
      <c r="M8136">
        <v>23.086400000000001</v>
      </c>
    </row>
    <row r="8137" spans="1:13" x14ac:dyDescent="0.3">
      <c r="A8137" t="s">
        <v>28</v>
      </c>
      <c r="B8137" t="s">
        <v>44</v>
      </c>
      <c r="C8137" t="s">
        <v>15</v>
      </c>
      <c r="D8137" t="s">
        <v>240</v>
      </c>
      <c r="E8137" t="s">
        <v>24</v>
      </c>
      <c r="F8137">
        <v>92704</v>
      </c>
      <c r="G8137" t="s">
        <v>25</v>
      </c>
      <c r="H8137" t="s">
        <v>26</v>
      </c>
      <c r="I8137" t="s">
        <v>27</v>
      </c>
      <c r="J8137">
        <v>20.16</v>
      </c>
      <c r="K8137">
        <v>7</v>
      </c>
      <c r="L8137">
        <v>0</v>
      </c>
      <c r="M8137">
        <v>9.8783999999999992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26</v>
      </c>
      <c r="I8138" t="s">
        <v>37</v>
      </c>
      <c r="J8138">
        <v>10.68</v>
      </c>
      <c r="K8138">
        <v>2</v>
      </c>
      <c r="L8138">
        <v>0</v>
      </c>
      <c r="M8138">
        <v>5.0195999999999996</v>
      </c>
    </row>
    <row r="8139" spans="1:13" x14ac:dyDescent="0.3">
      <c r="A8139" t="s">
        <v>62</v>
      </c>
      <c r="B8139" t="s">
        <v>22</v>
      </c>
      <c r="C8139" t="s">
        <v>15</v>
      </c>
      <c r="D8139" t="s">
        <v>596</v>
      </c>
      <c r="E8139" t="s">
        <v>387</v>
      </c>
      <c r="F8139">
        <v>57701</v>
      </c>
      <c r="G8139" t="s">
        <v>47</v>
      </c>
      <c r="H8139" t="s">
        <v>19</v>
      </c>
      <c r="I8139" t="s">
        <v>20</v>
      </c>
      <c r="J8139">
        <v>141.96</v>
      </c>
      <c r="K8139">
        <v>2</v>
      </c>
      <c r="L8139">
        <v>0</v>
      </c>
      <c r="M8139">
        <v>39.748800000000003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32</v>
      </c>
      <c r="J8140">
        <v>32.479999999999997</v>
      </c>
      <c r="K8140">
        <v>2</v>
      </c>
      <c r="L8140">
        <v>0</v>
      </c>
      <c r="M8140">
        <v>4.8719999999999999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26</v>
      </c>
      <c r="I8141" t="s">
        <v>41</v>
      </c>
      <c r="J8141">
        <v>20.04</v>
      </c>
      <c r="K8141">
        <v>3</v>
      </c>
      <c r="L8141">
        <v>0</v>
      </c>
      <c r="M8141">
        <v>9.6191999999999993</v>
      </c>
    </row>
    <row r="8142" spans="1:13" x14ac:dyDescent="0.3">
      <c r="A8142" t="s">
        <v>62</v>
      </c>
      <c r="B8142" t="s">
        <v>14</v>
      </c>
      <c r="C8142" t="s">
        <v>15</v>
      </c>
      <c r="D8142" t="s">
        <v>42</v>
      </c>
      <c r="E8142" t="s">
        <v>43</v>
      </c>
      <c r="F8142">
        <v>98115</v>
      </c>
      <c r="G8142" t="s">
        <v>25</v>
      </c>
      <c r="H8142" t="s">
        <v>35</v>
      </c>
      <c r="I8142" t="s">
        <v>162</v>
      </c>
      <c r="J8142">
        <v>13999.96</v>
      </c>
      <c r="K8142">
        <v>4</v>
      </c>
      <c r="L8142">
        <v>0</v>
      </c>
      <c r="M8142">
        <v>6719.9808000000003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35</v>
      </c>
      <c r="I8143" t="s">
        <v>59</v>
      </c>
      <c r="J8143">
        <v>238</v>
      </c>
      <c r="K8143">
        <v>2</v>
      </c>
      <c r="L8143">
        <v>0</v>
      </c>
      <c r="M8143">
        <v>38.08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294</v>
      </c>
      <c r="E8144" t="s">
        <v>127</v>
      </c>
      <c r="F8144">
        <v>6457</v>
      </c>
      <c r="G8144" t="s">
        <v>57</v>
      </c>
      <c r="H8144" t="s">
        <v>26</v>
      </c>
      <c r="I8144" t="s">
        <v>41</v>
      </c>
      <c r="J8144">
        <v>61.96</v>
      </c>
      <c r="K8144">
        <v>2</v>
      </c>
      <c r="L8144">
        <v>0</v>
      </c>
      <c r="M8144">
        <v>27.882000000000001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333</v>
      </c>
      <c r="E8145" t="s">
        <v>248</v>
      </c>
      <c r="F8145">
        <v>21215</v>
      </c>
      <c r="G8145" t="s">
        <v>57</v>
      </c>
      <c r="H8145" t="s">
        <v>19</v>
      </c>
      <c r="I8145" t="s">
        <v>31</v>
      </c>
      <c r="J8145">
        <v>239.37200000000001</v>
      </c>
      <c r="K8145">
        <v>2</v>
      </c>
      <c r="L8145">
        <v>0.3</v>
      </c>
      <c r="M8145">
        <v>-23.937200000000001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92105</v>
      </c>
      <c r="G8146" t="s">
        <v>25</v>
      </c>
      <c r="H8146" t="s">
        <v>35</v>
      </c>
      <c r="I8146" t="s">
        <v>59</v>
      </c>
      <c r="J8146">
        <v>595</v>
      </c>
      <c r="K8146">
        <v>5</v>
      </c>
      <c r="L8146">
        <v>0</v>
      </c>
      <c r="M8146">
        <v>95.2</v>
      </c>
    </row>
    <row r="8147" spans="1:13" x14ac:dyDescent="0.3">
      <c r="A8147" t="s">
        <v>28</v>
      </c>
      <c r="B8147" t="s">
        <v>22</v>
      </c>
      <c r="C8147" t="s">
        <v>15</v>
      </c>
      <c r="D8147" t="s">
        <v>462</v>
      </c>
      <c r="E8147" t="s">
        <v>46</v>
      </c>
      <c r="F8147">
        <v>79762</v>
      </c>
      <c r="G8147" t="s">
        <v>47</v>
      </c>
      <c r="H8147" t="s">
        <v>26</v>
      </c>
      <c r="I8147" t="s">
        <v>41</v>
      </c>
      <c r="J8147">
        <v>16.032</v>
      </c>
      <c r="K8147">
        <v>3</v>
      </c>
      <c r="L8147">
        <v>0.2</v>
      </c>
      <c r="M8147">
        <v>5.6112000000000002</v>
      </c>
    </row>
    <row r="8148" spans="1:13" x14ac:dyDescent="0.3">
      <c r="A8148" t="s">
        <v>28</v>
      </c>
      <c r="B8148" t="s">
        <v>44</v>
      </c>
      <c r="C8148" t="s">
        <v>15</v>
      </c>
      <c r="D8148" t="s">
        <v>542</v>
      </c>
      <c r="E8148" t="s">
        <v>127</v>
      </c>
      <c r="F8148">
        <v>6460</v>
      </c>
      <c r="G8148" t="s">
        <v>57</v>
      </c>
      <c r="H8148" t="s">
        <v>35</v>
      </c>
      <c r="I8148" t="s">
        <v>59</v>
      </c>
      <c r="J8148">
        <v>199.75</v>
      </c>
      <c r="K8148">
        <v>5</v>
      </c>
      <c r="L8148">
        <v>0</v>
      </c>
      <c r="M8148">
        <v>87.89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152</v>
      </c>
      <c r="E8149" t="s">
        <v>132</v>
      </c>
      <c r="F8149">
        <v>7109</v>
      </c>
      <c r="G8149" t="s">
        <v>57</v>
      </c>
      <c r="H8149" t="s">
        <v>19</v>
      </c>
      <c r="I8149" t="s">
        <v>21</v>
      </c>
      <c r="J8149">
        <v>227.96</v>
      </c>
      <c r="K8149">
        <v>2</v>
      </c>
      <c r="L8149">
        <v>0</v>
      </c>
      <c r="M8149">
        <v>36.473599999999998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26</v>
      </c>
      <c r="I8150" t="s">
        <v>38</v>
      </c>
      <c r="J8150">
        <v>293.52</v>
      </c>
      <c r="K8150">
        <v>6</v>
      </c>
      <c r="L8150">
        <v>0</v>
      </c>
      <c r="M8150">
        <v>76.315200000000004</v>
      </c>
    </row>
    <row r="8151" spans="1:13" x14ac:dyDescent="0.3">
      <c r="A8151" t="s">
        <v>13</v>
      </c>
      <c r="B8151" t="s">
        <v>14</v>
      </c>
      <c r="C8151" t="s">
        <v>15</v>
      </c>
      <c r="D8151" t="s">
        <v>75</v>
      </c>
      <c r="E8151" t="s">
        <v>76</v>
      </c>
      <c r="F8151">
        <v>10035</v>
      </c>
      <c r="G8151" t="s">
        <v>57</v>
      </c>
      <c r="H8151" t="s">
        <v>35</v>
      </c>
      <c r="I8151" t="s">
        <v>36</v>
      </c>
      <c r="J8151">
        <v>307.98</v>
      </c>
      <c r="K8151">
        <v>2</v>
      </c>
      <c r="L8151">
        <v>0</v>
      </c>
      <c r="M8151">
        <v>89.3142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19</v>
      </c>
      <c r="I8152" t="s">
        <v>33</v>
      </c>
      <c r="J8152">
        <v>96.96</v>
      </c>
      <c r="K8152">
        <v>6</v>
      </c>
      <c r="L8152">
        <v>0</v>
      </c>
      <c r="M8152">
        <v>33.936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117.488</v>
      </c>
      <c r="K8153">
        <v>7</v>
      </c>
      <c r="L8153">
        <v>0.2</v>
      </c>
      <c r="M8153">
        <v>41.120800000000003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26</v>
      </c>
      <c r="I8154" t="s">
        <v>37</v>
      </c>
      <c r="J8154">
        <v>11.952</v>
      </c>
      <c r="K8154">
        <v>3</v>
      </c>
      <c r="L8154">
        <v>0.2</v>
      </c>
      <c r="M8154">
        <v>4.1832000000000003</v>
      </c>
    </row>
    <row r="8155" spans="1:13" x14ac:dyDescent="0.3">
      <c r="A8155" t="s">
        <v>28</v>
      </c>
      <c r="B8155" t="s">
        <v>14</v>
      </c>
      <c r="C8155" t="s">
        <v>15</v>
      </c>
      <c r="D8155" t="s">
        <v>144</v>
      </c>
      <c r="E8155" t="s">
        <v>24</v>
      </c>
      <c r="F8155">
        <v>92105</v>
      </c>
      <c r="G8155" t="s">
        <v>25</v>
      </c>
      <c r="H8155" t="s">
        <v>19</v>
      </c>
      <c r="I8155" t="s">
        <v>20</v>
      </c>
      <c r="J8155">
        <v>512.49900000000002</v>
      </c>
      <c r="K8155">
        <v>3</v>
      </c>
      <c r="L8155">
        <v>0.15</v>
      </c>
      <c r="M8155">
        <v>-30.146999999999998</v>
      </c>
    </row>
    <row r="8156" spans="1:13" x14ac:dyDescent="0.3">
      <c r="A8156" t="s">
        <v>28</v>
      </c>
      <c r="B8156" t="s">
        <v>22</v>
      </c>
      <c r="C8156" t="s">
        <v>15</v>
      </c>
      <c r="D8156" t="s">
        <v>52</v>
      </c>
      <c r="E8156" t="s">
        <v>24</v>
      </c>
      <c r="F8156">
        <v>94122</v>
      </c>
      <c r="G8156" t="s">
        <v>25</v>
      </c>
      <c r="H8156" t="s">
        <v>19</v>
      </c>
      <c r="I8156" t="s">
        <v>31</v>
      </c>
      <c r="J8156">
        <v>863.12800000000004</v>
      </c>
      <c r="K8156">
        <v>7</v>
      </c>
      <c r="L8156">
        <v>0.2</v>
      </c>
      <c r="M8156">
        <v>-32.3673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31</v>
      </c>
      <c r="J8157">
        <v>2036.86</v>
      </c>
      <c r="K8157">
        <v>7</v>
      </c>
      <c r="L8157">
        <v>0</v>
      </c>
      <c r="M8157">
        <v>366.63479999999998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19</v>
      </c>
      <c r="I8158" t="s">
        <v>21</v>
      </c>
      <c r="J8158">
        <v>449.56799999999998</v>
      </c>
      <c r="K8158">
        <v>2</v>
      </c>
      <c r="L8158">
        <v>0.2</v>
      </c>
      <c r="M8158">
        <v>-73.0548</v>
      </c>
    </row>
    <row r="8159" spans="1:13" x14ac:dyDescent="0.3">
      <c r="A8159" t="s">
        <v>28</v>
      </c>
      <c r="B8159" t="s">
        <v>44</v>
      </c>
      <c r="C8159" t="s">
        <v>15</v>
      </c>
      <c r="D8159" t="s">
        <v>42</v>
      </c>
      <c r="E8159" t="s">
        <v>43</v>
      </c>
      <c r="F8159">
        <v>98105</v>
      </c>
      <c r="G8159" t="s">
        <v>25</v>
      </c>
      <c r="H8159" t="s">
        <v>35</v>
      </c>
      <c r="I8159" t="s">
        <v>59</v>
      </c>
      <c r="J8159">
        <v>108.96</v>
      </c>
      <c r="K8159">
        <v>3</v>
      </c>
      <c r="L8159">
        <v>0</v>
      </c>
      <c r="M8159">
        <v>32.688000000000002</v>
      </c>
    </row>
    <row r="8160" spans="1:13" x14ac:dyDescent="0.3">
      <c r="A8160" t="s">
        <v>28</v>
      </c>
      <c r="B8160" t="s">
        <v>14</v>
      </c>
      <c r="C8160" t="s">
        <v>15</v>
      </c>
      <c r="D8160" t="s">
        <v>84</v>
      </c>
      <c r="E8160" t="s">
        <v>185</v>
      </c>
      <c r="F8160">
        <v>39212</v>
      </c>
      <c r="G8160" t="s">
        <v>18</v>
      </c>
      <c r="H8160" t="s">
        <v>26</v>
      </c>
      <c r="I8160" t="s">
        <v>34</v>
      </c>
      <c r="J8160">
        <v>264.18</v>
      </c>
      <c r="K8160">
        <v>7</v>
      </c>
      <c r="L8160">
        <v>0</v>
      </c>
      <c r="M8160">
        <v>68.686800000000005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27</v>
      </c>
      <c r="J8161">
        <v>2.88</v>
      </c>
      <c r="K8161">
        <v>1</v>
      </c>
      <c r="L8161">
        <v>0</v>
      </c>
      <c r="M8161">
        <v>1.4112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37</v>
      </c>
      <c r="J8162">
        <v>41.904000000000003</v>
      </c>
      <c r="K8162">
        <v>6</v>
      </c>
      <c r="L8162">
        <v>0.2</v>
      </c>
      <c r="M8162">
        <v>14.1426</v>
      </c>
    </row>
    <row r="8163" spans="1:13" x14ac:dyDescent="0.3">
      <c r="A8163" t="s">
        <v>28</v>
      </c>
      <c r="B8163" t="s">
        <v>44</v>
      </c>
      <c r="C8163" t="s">
        <v>15</v>
      </c>
      <c r="D8163" t="s">
        <v>23</v>
      </c>
      <c r="E8163" t="s">
        <v>24</v>
      </c>
      <c r="F8163">
        <v>90049</v>
      </c>
      <c r="G8163" t="s">
        <v>25</v>
      </c>
      <c r="H8163" t="s">
        <v>26</v>
      </c>
      <c r="I8163" t="s">
        <v>32</v>
      </c>
      <c r="J8163">
        <v>23.92</v>
      </c>
      <c r="K8163">
        <v>4</v>
      </c>
      <c r="L8163">
        <v>0</v>
      </c>
      <c r="M8163">
        <v>4.0663999999999998</v>
      </c>
    </row>
    <row r="8164" spans="1:13" x14ac:dyDescent="0.3">
      <c r="A8164" t="s">
        <v>28</v>
      </c>
      <c r="B8164" t="s">
        <v>22</v>
      </c>
      <c r="C8164" t="s">
        <v>15</v>
      </c>
      <c r="D8164" t="s">
        <v>79</v>
      </c>
      <c r="E8164" t="s">
        <v>65</v>
      </c>
      <c r="F8164">
        <v>60623</v>
      </c>
      <c r="G8164" t="s">
        <v>47</v>
      </c>
      <c r="H8164" t="s">
        <v>26</v>
      </c>
      <c r="I8164" t="s">
        <v>41</v>
      </c>
      <c r="J8164">
        <v>156.512</v>
      </c>
      <c r="K8164">
        <v>4</v>
      </c>
      <c r="L8164">
        <v>0.2</v>
      </c>
      <c r="M8164">
        <v>52.822800000000001</v>
      </c>
    </row>
    <row r="8165" spans="1:13" x14ac:dyDescent="0.3">
      <c r="A8165" t="s">
        <v>62</v>
      </c>
      <c r="B8165" t="s">
        <v>44</v>
      </c>
      <c r="C8165" t="s">
        <v>15</v>
      </c>
      <c r="D8165" t="s">
        <v>75</v>
      </c>
      <c r="E8165" t="s">
        <v>76</v>
      </c>
      <c r="F8165">
        <v>10035</v>
      </c>
      <c r="G8165" t="s">
        <v>57</v>
      </c>
      <c r="H8165" t="s">
        <v>26</v>
      </c>
      <c r="I8165" t="s">
        <v>32</v>
      </c>
      <c r="J8165">
        <v>128.34</v>
      </c>
      <c r="K8165">
        <v>6</v>
      </c>
      <c r="L8165">
        <v>0</v>
      </c>
      <c r="M8165">
        <v>37.218600000000002</v>
      </c>
    </row>
    <row r="8166" spans="1:13" x14ac:dyDescent="0.3">
      <c r="A8166" t="s">
        <v>62</v>
      </c>
      <c r="B8166" t="s">
        <v>14</v>
      </c>
      <c r="C8166" t="s">
        <v>15</v>
      </c>
      <c r="D8166" t="s">
        <v>23</v>
      </c>
      <c r="E8166" t="s">
        <v>24</v>
      </c>
      <c r="F8166">
        <v>90008</v>
      </c>
      <c r="G8166" t="s">
        <v>25</v>
      </c>
      <c r="H8166" t="s">
        <v>35</v>
      </c>
      <c r="I8166" t="s">
        <v>59</v>
      </c>
      <c r="J8166">
        <v>474.95</v>
      </c>
      <c r="K8166">
        <v>5</v>
      </c>
      <c r="L8166">
        <v>0</v>
      </c>
      <c r="M8166">
        <v>142.48500000000001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174</v>
      </c>
      <c r="E8167" t="s">
        <v>43</v>
      </c>
      <c r="F8167">
        <v>98198</v>
      </c>
      <c r="G8167" t="s">
        <v>25</v>
      </c>
      <c r="H8167" t="s">
        <v>35</v>
      </c>
      <c r="I8167" t="s">
        <v>162</v>
      </c>
      <c r="J8167">
        <v>999.98</v>
      </c>
      <c r="K8167">
        <v>2</v>
      </c>
      <c r="L8167">
        <v>0</v>
      </c>
      <c r="M8167">
        <v>449.99099999999999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82</v>
      </c>
      <c r="E8168" t="s">
        <v>95</v>
      </c>
      <c r="F8168">
        <v>97477</v>
      </c>
      <c r="G8168" t="s">
        <v>25</v>
      </c>
      <c r="H8168" t="s">
        <v>19</v>
      </c>
      <c r="I8168" t="s">
        <v>31</v>
      </c>
      <c r="J8168">
        <v>277.5</v>
      </c>
      <c r="K8168">
        <v>4</v>
      </c>
      <c r="L8168">
        <v>0.5</v>
      </c>
      <c r="M8168">
        <v>-188.7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19</v>
      </c>
      <c r="I8169" t="s">
        <v>31</v>
      </c>
      <c r="J8169">
        <v>1252.704</v>
      </c>
      <c r="K8169">
        <v>8</v>
      </c>
      <c r="L8169">
        <v>0.4</v>
      </c>
      <c r="M8169">
        <v>-480.20319999999998</v>
      </c>
    </row>
    <row r="8170" spans="1:13" x14ac:dyDescent="0.3">
      <c r="A8170" t="s">
        <v>28</v>
      </c>
      <c r="B8170" t="s">
        <v>14</v>
      </c>
      <c r="C8170" t="s">
        <v>15</v>
      </c>
      <c r="D8170" t="s">
        <v>55</v>
      </c>
      <c r="E8170" t="s">
        <v>56</v>
      </c>
      <c r="F8170">
        <v>19120</v>
      </c>
      <c r="G8170" t="s">
        <v>57</v>
      </c>
      <c r="H8170" t="s">
        <v>35</v>
      </c>
      <c r="I8170" t="s">
        <v>36</v>
      </c>
      <c r="J8170">
        <v>110.97</v>
      </c>
      <c r="K8170">
        <v>5</v>
      </c>
      <c r="L8170">
        <v>0.4</v>
      </c>
      <c r="M8170">
        <v>-24.043500000000002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22.608000000000001</v>
      </c>
      <c r="K8171">
        <v>3</v>
      </c>
      <c r="L8171">
        <v>0.6</v>
      </c>
      <c r="M8171">
        <v>-10.1736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60653</v>
      </c>
      <c r="G8172" t="s">
        <v>47</v>
      </c>
      <c r="H8172" t="s">
        <v>19</v>
      </c>
      <c r="I8172" t="s">
        <v>33</v>
      </c>
      <c r="J8172">
        <v>1.8919999999999999</v>
      </c>
      <c r="K8172">
        <v>1</v>
      </c>
      <c r="L8172">
        <v>0.6</v>
      </c>
      <c r="M8172">
        <v>-0.99329999999999996</v>
      </c>
    </row>
    <row r="8173" spans="1:13" x14ac:dyDescent="0.3">
      <c r="A8173" t="s">
        <v>28</v>
      </c>
      <c r="B8173" t="s">
        <v>22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41</v>
      </c>
      <c r="J8173">
        <v>63.311999999999998</v>
      </c>
      <c r="K8173">
        <v>3</v>
      </c>
      <c r="L8173">
        <v>0.2</v>
      </c>
      <c r="M8173">
        <v>20.5764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26</v>
      </c>
      <c r="I8174" t="s">
        <v>60</v>
      </c>
      <c r="J8174">
        <v>7.8239999999999998</v>
      </c>
      <c r="K8174">
        <v>1</v>
      </c>
      <c r="L8174">
        <v>0.2</v>
      </c>
      <c r="M8174">
        <v>2.9340000000000002</v>
      </c>
    </row>
    <row r="8175" spans="1:13" x14ac:dyDescent="0.3">
      <c r="A8175" t="s">
        <v>13</v>
      </c>
      <c r="B8175" t="s">
        <v>14</v>
      </c>
      <c r="C8175" t="s">
        <v>15</v>
      </c>
      <c r="D8175" t="s">
        <v>79</v>
      </c>
      <c r="E8175" t="s">
        <v>65</v>
      </c>
      <c r="F8175">
        <v>60623</v>
      </c>
      <c r="G8175" t="s">
        <v>47</v>
      </c>
      <c r="H8175" t="s">
        <v>19</v>
      </c>
      <c r="I8175" t="s">
        <v>21</v>
      </c>
      <c r="J8175">
        <v>170.072</v>
      </c>
      <c r="K8175">
        <v>4</v>
      </c>
      <c r="L8175">
        <v>0.3</v>
      </c>
      <c r="M8175">
        <v>-12.148</v>
      </c>
    </row>
    <row r="8176" spans="1:13" x14ac:dyDescent="0.3">
      <c r="A8176" t="s">
        <v>28</v>
      </c>
      <c r="B8176" t="s">
        <v>22</v>
      </c>
      <c r="C8176" t="s">
        <v>15</v>
      </c>
      <c r="D8176" t="s">
        <v>75</v>
      </c>
      <c r="E8176" t="s">
        <v>76</v>
      </c>
      <c r="F8176">
        <v>10024</v>
      </c>
      <c r="G8176" t="s">
        <v>57</v>
      </c>
      <c r="H8176" t="s">
        <v>26</v>
      </c>
      <c r="I8176" t="s">
        <v>41</v>
      </c>
      <c r="J8176">
        <v>62.82</v>
      </c>
      <c r="K8176">
        <v>9</v>
      </c>
      <c r="L8176">
        <v>0</v>
      </c>
      <c r="M8176">
        <v>29.525400000000001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41</v>
      </c>
      <c r="J8177">
        <v>19.440000000000001</v>
      </c>
      <c r="K8177">
        <v>3</v>
      </c>
      <c r="L8177">
        <v>0</v>
      </c>
      <c r="M8177">
        <v>9.3312000000000008</v>
      </c>
    </row>
    <row r="8178" spans="1:13" x14ac:dyDescent="0.3">
      <c r="A8178" t="s">
        <v>13</v>
      </c>
      <c r="B8178" t="s">
        <v>14</v>
      </c>
      <c r="C8178" t="s">
        <v>15</v>
      </c>
      <c r="D8178" t="s">
        <v>281</v>
      </c>
      <c r="E8178" t="s">
        <v>248</v>
      </c>
      <c r="F8178">
        <v>20852</v>
      </c>
      <c r="G8178" t="s">
        <v>57</v>
      </c>
      <c r="H8178" t="s">
        <v>26</v>
      </c>
      <c r="I8178" t="s">
        <v>37</v>
      </c>
      <c r="J8178">
        <v>7.38</v>
      </c>
      <c r="K8178">
        <v>1</v>
      </c>
      <c r="L8178">
        <v>0</v>
      </c>
      <c r="M8178">
        <v>3.6162000000000001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26</v>
      </c>
      <c r="I8179" t="s">
        <v>41</v>
      </c>
      <c r="J8179">
        <v>38.880000000000003</v>
      </c>
      <c r="K8179">
        <v>6</v>
      </c>
      <c r="L8179">
        <v>0</v>
      </c>
      <c r="M8179">
        <v>18.662400000000002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75</v>
      </c>
      <c r="E8180" t="s">
        <v>76</v>
      </c>
      <c r="F8180">
        <v>10011</v>
      </c>
      <c r="G8180" t="s">
        <v>57</v>
      </c>
      <c r="H8180" t="s">
        <v>19</v>
      </c>
      <c r="I8180" t="s">
        <v>33</v>
      </c>
      <c r="J8180">
        <v>187.76</v>
      </c>
      <c r="K8180">
        <v>4</v>
      </c>
      <c r="L8180">
        <v>0</v>
      </c>
      <c r="M8180">
        <v>76.9816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37</v>
      </c>
      <c r="J8181">
        <v>6.048</v>
      </c>
      <c r="K8181">
        <v>7</v>
      </c>
      <c r="L8181">
        <v>0.7</v>
      </c>
      <c r="M8181">
        <v>-4.2336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26</v>
      </c>
      <c r="I8182" t="s">
        <v>38</v>
      </c>
      <c r="J8182">
        <v>98.352000000000004</v>
      </c>
      <c r="K8182">
        <v>3</v>
      </c>
      <c r="L8182">
        <v>0.2</v>
      </c>
      <c r="M8182">
        <v>9.8352000000000004</v>
      </c>
    </row>
    <row r="8183" spans="1:13" x14ac:dyDescent="0.3">
      <c r="A8183" t="s">
        <v>62</v>
      </c>
      <c r="B8183" t="s">
        <v>14</v>
      </c>
      <c r="C8183" t="s">
        <v>15</v>
      </c>
      <c r="D8183" t="s">
        <v>89</v>
      </c>
      <c r="E8183" t="s">
        <v>40</v>
      </c>
      <c r="F8183">
        <v>27707</v>
      </c>
      <c r="G8183" t="s">
        <v>18</v>
      </c>
      <c r="H8183" t="s">
        <v>19</v>
      </c>
      <c r="I8183" t="s">
        <v>33</v>
      </c>
      <c r="J8183">
        <v>335.74400000000003</v>
      </c>
      <c r="K8183">
        <v>2</v>
      </c>
      <c r="L8183">
        <v>0.2</v>
      </c>
      <c r="M8183">
        <v>25.180800000000001</v>
      </c>
    </row>
    <row r="8184" spans="1:13" x14ac:dyDescent="0.3">
      <c r="A8184" t="s">
        <v>13</v>
      </c>
      <c r="B8184" t="s">
        <v>22</v>
      </c>
      <c r="C8184" t="s">
        <v>15</v>
      </c>
      <c r="D8184" t="s">
        <v>534</v>
      </c>
      <c r="E8184" t="s">
        <v>24</v>
      </c>
      <c r="F8184">
        <v>93101</v>
      </c>
      <c r="G8184" t="s">
        <v>25</v>
      </c>
      <c r="H8184" t="s">
        <v>26</v>
      </c>
      <c r="I8184" t="s">
        <v>41</v>
      </c>
      <c r="J8184">
        <v>8.9600000000000009</v>
      </c>
      <c r="K8184">
        <v>2</v>
      </c>
      <c r="L8184">
        <v>0</v>
      </c>
      <c r="M8184">
        <v>4.3903999999999996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35</v>
      </c>
      <c r="I8185" t="s">
        <v>59</v>
      </c>
      <c r="J8185">
        <v>89.567999999999998</v>
      </c>
      <c r="K8185">
        <v>4</v>
      </c>
      <c r="L8185">
        <v>0.2</v>
      </c>
      <c r="M8185">
        <v>-1.1195999999999999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34</v>
      </c>
      <c r="J8186">
        <v>71.959999999999994</v>
      </c>
      <c r="K8186">
        <v>5</v>
      </c>
      <c r="L8186">
        <v>0.2</v>
      </c>
      <c r="M8186">
        <v>7.1959999999999997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375</v>
      </c>
      <c r="E8187" t="s">
        <v>86</v>
      </c>
      <c r="F8187">
        <v>37918</v>
      </c>
      <c r="G8187" t="s">
        <v>18</v>
      </c>
      <c r="H8187" t="s">
        <v>26</v>
      </c>
      <c r="I8187" t="s">
        <v>41</v>
      </c>
      <c r="J8187">
        <v>15.552</v>
      </c>
      <c r="K8187">
        <v>3</v>
      </c>
      <c r="L8187">
        <v>0.2</v>
      </c>
      <c r="M8187">
        <v>5.4432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37</v>
      </c>
      <c r="J8188">
        <v>10.43</v>
      </c>
      <c r="K8188">
        <v>5</v>
      </c>
      <c r="L8188">
        <v>0.8</v>
      </c>
      <c r="M8188">
        <v>-18.252500000000001</v>
      </c>
    </row>
    <row r="8189" spans="1:13" x14ac:dyDescent="0.3">
      <c r="A8189" t="s">
        <v>28</v>
      </c>
      <c r="B8189" t="s">
        <v>14</v>
      </c>
      <c r="C8189" t="s">
        <v>15</v>
      </c>
      <c r="D8189" t="s">
        <v>79</v>
      </c>
      <c r="E8189" t="s">
        <v>65</v>
      </c>
      <c r="F8189">
        <v>60610</v>
      </c>
      <c r="G8189" t="s">
        <v>47</v>
      </c>
      <c r="H8189" t="s">
        <v>26</v>
      </c>
      <c r="I8189" t="s">
        <v>32</v>
      </c>
      <c r="J8189">
        <v>72.784000000000006</v>
      </c>
      <c r="K8189">
        <v>1</v>
      </c>
      <c r="L8189">
        <v>0.2</v>
      </c>
      <c r="M8189">
        <v>-18.196000000000002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26</v>
      </c>
      <c r="I8190" t="s">
        <v>32</v>
      </c>
      <c r="J8190">
        <v>67.150000000000006</v>
      </c>
      <c r="K8190">
        <v>5</v>
      </c>
      <c r="L8190">
        <v>0</v>
      </c>
      <c r="M8190">
        <v>16.787500000000001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35</v>
      </c>
      <c r="I8191" t="s">
        <v>36</v>
      </c>
      <c r="J8191">
        <v>549.98</v>
      </c>
      <c r="K8191">
        <v>2</v>
      </c>
      <c r="L8191">
        <v>0</v>
      </c>
      <c r="M8191">
        <v>142.9948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19</v>
      </c>
      <c r="I8192" t="s">
        <v>33</v>
      </c>
      <c r="J8192">
        <v>11.82</v>
      </c>
      <c r="K8192">
        <v>3</v>
      </c>
      <c r="L8192">
        <v>0</v>
      </c>
      <c r="M8192">
        <v>4.7279999999999998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35</v>
      </c>
      <c r="I8193" t="s">
        <v>123</v>
      </c>
      <c r="J8193">
        <v>4643.8</v>
      </c>
      <c r="K8193">
        <v>4</v>
      </c>
      <c r="L8193">
        <v>0</v>
      </c>
      <c r="M8193">
        <v>2229.0239999999999</v>
      </c>
    </row>
    <row r="8194" spans="1:13" x14ac:dyDescent="0.3">
      <c r="A8194" t="s">
        <v>168</v>
      </c>
      <c r="B8194" t="s">
        <v>22</v>
      </c>
      <c r="C8194" t="s">
        <v>15</v>
      </c>
      <c r="D8194" t="s">
        <v>75</v>
      </c>
      <c r="E8194" t="s">
        <v>76</v>
      </c>
      <c r="F8194">
        <v>10024</v>
      </c>
      <c r="G8194" t="s">
        <v>57</v>
      </c>
      <c r="H8194" t="s">
        <v>19</v>
      </c>
      <c r="I8194" t="s">
        <v>21</v>
      </c>
      <c r="J8194">
        <v>577.76400000000001</v>
      </c>
      <c r="K8194">
        <v>2</v>
      </c>
      <c r="L8194">
        <v>0.1</v>
      </c>
      <c r="M8194">
        <v>115.5528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19</v>
      </c>
      <c r="I8195" t="s">
        <v>31</v>
      </c>
      <c r="J8195">
        <v>191.5155</v>
      </c>
      <c r="K8195">
        <v>1</v>
      </c>
      <c r="L8195">
        <v>0.45</v>
      </c>
      <c r="M8195">
        <v>-76.606200000000001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489</v>
      </c>
      <c r="E8196" t="s">
        <v>30</v>
      </c>
      <c r="F8196">
        <v>32114</v>
      </c>
      <c r="G8196" t="s">
        <v>18</v>
      </c>
      <c r="H8196" t="s">
        <v>26</v>
      </c>
      <c r="I8196" t="s">
        <v>34</v>
      </c>
      <c r="J8196">
        <v>2.6240000000000001</v>
      </c>
      <c r="K8196">
        <v>1</v>
      </c>
      <c r="L8196">
        <v>0.2</v>
      </c>
      <c r="M8196">
        <v>0.4264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37</v>
      </c>
      <c r="J8197">
        <v>1369.7639999999999</v>
      </c>
      <c r="K8197">
        <v>6</v>
      </c>
      <c r="L8197">
        <v>0.7</v>
      </c>
      <c r="M8197">
        <v>-913.17600000000004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32</v>
      </c>
      <c r="J8198">
        <v>294.36799999999999</v>
      </c>
      <c r="K8198">
        <v>4</v>
      </c>
      <c r="L8198">
        <v>0.2</v>
      </c>
      <c r="M8198">
        <v>-58.873600000000003</v>
      </c>
    </row>
    <row r="8199" spans="1:13" x14ac:dyDescent="0.3">
      <c r="A8199" t="s">
        <v>28</v>
      </c>
      <c r="B8199" t="s">
        <v>22</v>
      </c>
      <c r="C8199" t="s">
        <v>15</v>
      </c>
      <c r="D8199" t="s">
        <v>405</v>
      </c>
      <c r="E8199" t="s">
        <v>86</v>
      </c>
      <c r="F8199">
        <v>37211</v>
      </c>
      <c r="G8199" t="s">
        <v>18</v>
      </c>
      <c r="H8199" t="s">
        <v>26</v>
      </c>
      <c r="I8199" t="s">
        <v>38</v>
      </c>
      <c r="J8199">
        <v>81.567999999999998</v>
      </c>
      <c r="K8199">
        <v>2</v>
      </c>
      <c r="L8199">
        <v>0.2</v>
      </c>
      <c r="M8199">
        <v>7.1372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19</v>
      </c>
      <c r="I8200" t="s">
        <v>33</v>
      </c>
      <c r="J8200">
        <v>44.46</v>
      </c>
      <c r="K8200">
        <v>5</v>
      </c>
      <c r="L8200">
        <v>0.6</v>
      </c>
      <c r="M8200">
        <v>-17.783999999999999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135</v>
      </c>
      <c r="E8201" t="s">
        <v>46</v>
      </c>
      <c r="F8201">
        <v>75220</v>
      </c>
      <c r="G8201" t="s">
        <v>47</v>
      </c>
      <c r="H8201" t="s">
        <v>26</v>
      </c>
      <c r="I8201" t="s">
        <v>32</v>
      </c>
      <c r="J8201">
        <v>314.08800000000002</v>
      </c>
      <c r="K8201">
        <v>3</v>
      </c>
      <c r="L8201">
        <v>0.2</v>
      </c>
      <c r="M8201">
        <v>19.630500000000001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37</v>
      </c>
      <c r="J8202">
        <v>6.3360000000000003</v>
      </c>
      <c r="K8202">
        <v>4</v>
      </c>
      <c r="L8202">
        <v>0.7</v>
      </c>
      <c r="M8202">
        <v>-4.6463999999999999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41</v>
      </c>
      <c r="J8203">
        <v>10.48</v>
      </c>
      <c r="K8203">
        <v>1</v>
      </c>
      <c r="L8203">
        <v>0.2</v>
      </c>
      <c r="M8203">
        <v>3.7989999999999999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2.4689999999999999</v>
      </c>
      <c r="K8204">
        <v>1</v>
      </c>
      <c r="L8204">
        <v>0.7</v>
      </c>
      <c r="M8204">
        <v>-1.8106</v>
      </c>
    </row>
    <row r="8205" spans="1:13" x14ac:dyDescent="0.3">
      <c r="A8205" t="s">
        <v>28</v>
      </c>
      <c r="B8205" t="s">
        <v>22</v>
      </c>
      <c r="C8205" t="s">
        <v>15</v>
      </c>
      <c r="D8205" t="s">
        <v>161</v>
      </c>
      <c r="E8205" t="s">
        <v>86</v>
      </c>
      <c r="F8205">
        <v>37130</v>
      </c>
      <c r="G8205" t="s">
        <v>18</v>
      </c>
      <c r="H8205" t="s">
        <v>26</v>
      </c>
      <c r="I8205" t="s">
        <v>37</v>
      </c>
      <c r="J8205">
        <v>3.2639999999999998</v>
      </c>
      <c r="K8205">
        <v>2</v>
      </c>
      <c r="L8205">
        <v>0.7</v>
      </c>
      <c r="M8205">
        <v>-2.2848000000000002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26</v>
      </c>
      <c r="I8206" t="s">
        <v>77</v>
      </c>
      <c r="J8206">
        <v>4.3440000000000003</v>
      </c>
      <c r="K8206">
        <v>3</v>
      </c>
      <c r="L8206">
        <v>0.2</v>
      </c>
      <c r="M8206">
        <v>0.86880000000000002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19</v>
      </c>
      <c r="I8207" t="s">
        <v>33</v>
      </c>
      <c r="J8207">
        <v>31.776</v>
      </c>
      <c r="K8207">
        <v>3</v>
      </c>
      <c r="L8207">
        <v>0.6</v>
      </c>
      <c r="M8207">
        <v>-19.0656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27</v>
      </c>
      <c r="J8208">
        <v>4.9279999999999999</v>
      </c>
      <c r="K8208">
        <v>2</v>
      </c>
      <c r="L8208">
        <v>0.2</v>
      </c>
      <c r="M8208">
        <v>1.7248000000000001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37</v>
      </c>
      <c r="J8209">
        <v>1.788</v>
      </c>
      <c r="K8209">
        <v>3</v>
      </c>
      <c r="L8209">
        <v>0.8</v>
      </c>
      <c r="M8209">
        <v>-3.0396000000000001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135</v>
      </c>
      <c r="E8210" t="s">
        <v>46</v>
      </c>
      <c r="F8210">
        <v>75217</v>
      </c>
      <c r="G8210" t="s">
        <v>47</v>
      </c>
      <c r="H8210" t="s">
        <v>26</v>
      </c>
      <c r="I8210" t="s">
        <v>77</v>
      </c>
      <c r="J8210">
        <v>15.071999999999999</v>
      </c>
      <c r="K8210">
        <v>4</v>
      </c>
      <c r="L8210">
        <v>0.2</v>
      </c>
      <c r="M8210">
        <v>-3.7679999999999998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155</v>
      </c>
      <c r="E8211" t="s">
        <v>46</v>
      </c>
      <c r="F8211">
        <v>76017</v>
      </c>
      <c r="G8211" t="s">
        <v>47</v>
      </c>
      <c r="H8211" t="s">
        <v>26</v>
      </c>
      <c r="I8211" t="s">
        <v>32</v>
      </c>
      <c r="J8211">
        <v>12.624000000000001</v>
      </c>
      <c r="K8211">
        <v>2</v>
      </c>
      <c r="L8211">
        <v>0.2</v>
      </c>
      <c r="M8211">
        <v>-2.5247999999999999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185.88</v>
      </c>
      <c r="K8212">
        <v>6</v>
      </c>
      <c r="L8212">
        <v>0</v>
      </c>
      <c r="M8212">
        <v>83.646000000000001</v>
      </c>
    </row>
    <row r="8213" spans="1:13" x14ac:dyDescent="0.3">
      <c r="A8213" t="s">
        <v>28</v>
      </c>
      <c r="B8213" t="s">
        <v>22</v>
      </c>
      <c r="C8213" t="s">
        <v>15</v>
      </c>
      <c r="D8213" t="s">
        <v>113</v>
      </c>
      <c r="E8213" t="s">
        <v>24</v>
      </c>
      <c r="F8213">
        <v>91104</v>
      </c>
      <c r="G8213" t="s">
        <v>25</v>
      </c>
      <c r="H8213" t="s">
        <v>26</v>
      </c>
      <c r="I8213" t="s">
        <v>41</v>
      </c>
      <c r="J8213">
        <v>12.96</v>
      </c>
      <c r="K8213">
        <v>2</v>
      </c>
      <c r="L8213">
        <v>0</v>
      </c>
      <c r="M8213">
        <v>6.2207999999999997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189.7</v>
      </c>
      <c r="K8214">
        <v>10</v>
      </c>
      <c r="L8214">
        <v>0</v>
      </c>
      <c r="M8214">
        <v>91.055999999999997</v>
      </c>
    </row>
    <row r="8215" spans="1:13" x14ac:dyDescent="0.3">
      <c r="A8215" t="s">
        <v>13</v>
      </c>
      <c r="B8215" t="s">
        <v>14</v>
      </c>
      <c r="C8215" t="s">
        <v>15</v>
      </c>
      <c r="D8215" t="s">
        <v>316</v>
      </c>
      <c r="E8215" t="s">
        <v>166</v>
      </c>
      <c r="F8215">
        <v>2149</v>
      </c>
      <c r="G8215" t="s">
        <v>57</v>
      </c>
      <c r="H8215" t="s">
        <v>26</v>
      </c>
      <c r="I8215" t="s">
        <v>41</v>
      </c>
      <c r="J8215">
        <v>40.99</v>
      </c>
      <c r="K8215">
        <v>1</v>
      </c>
      <c r="L8215">
        <v>0</v>
      </c>
      <c r="M8215">
        <v>20.085100000000001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19</v>
      </c>
      <c r="I8216" t="s">
        <v>33</v>
      </c>
      <c r="J8216">
        <v>82.64</v>
      </c>
      <c r="K8216">
        <v>2</v>
      </c>
      <c r="L8216">
        <v>0</v>
      </c>
      <c r="M8216">
        <v>7.4375999999999998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26</v>
      </c>
      <c r="I8217" t="s">
        <v>32</v>
      </c>
      <c r="J8217">
        <v>31.02</v>
      </c>
      <c r="K8217">
        <v>2</v>
      </c>
      <c r="L8217">
        <v>0</v>
      </c>
      <c r="M8217">
        <v>8.0652000000000008</v>
      </c>
    </row>
    <row r="8218" spans="1:13" x14ac:dyDescent="0.3">
      <c r="A8218" t="s">
        <v>13</v>
      </c>
      <c r="B8218" t="s">
        <v>44</v>
      </c>
      <c r="C8218" t="s">
        <v>15</v>
      </c>
      <c r="D8218" t="s">
        <v>78</v>
      </c>
      <c r="E8218" t="s">
        <v>76</v>
      </c>
      <c r="F8218">
        <v>12180</v>
      </c>
      <c r="G8218" t="s">
        <v>57</v>
      </c>
      <c r="H8218" t="s">
        <v>35</v>
      </c>
      <c r="I8218" t="s">
        <v>59</v>
      </c>
      <c r="J8218">
        <v>89.97</v>
      </c>
      <c r="K8218">
        <v>3</v>
      </c>
      <c r="L8218">
        <v>0</v>
      </c>
      <c r="M8218">
        <v>37.787399999999998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26</v>
      </c>
      <c r="I8219" t="s">
        <v>34</v>
      </c>
      <c r="J8219">
        <v>35.97</v>
      </c>
      <c r="K8219">
        <v>3</v>
      </c>
      <c r="L8219">
        <v>0</v>
      </c>
      <c r="M8219">
        <v>9.7119</v>
      </c>
    </row>
    <row r="8220" spans="1:13" x14ac:dyDescent="0.3">
      <c r="A8220" t="s">
        <v>13</v>
      </c>
      <c r="B8220" t="s">
        <v>14</v>
      </c>
      <c r="C8220" t="s">
        <v>15</v>
      </c>
      <c r="D8220" t="s">
        <v>497</v>
      </c>
      <c r="E8220" t="s">
        <v>167</v>
      </c>
      <c r="F8220">
        <v>30328</v>
      </c>
      <c r="G8220" t="s">
        <v>18</v>
      </c>
      <c r="H8220" t="s">
        <v>19</v>
      </c>
      <c r="I8220" t="s">
        <v>20</v>
      </c>
      <c r="J8220">
        <v>1266.8599999999999</v>
      </c>
      <c r="K8220">
        <v>7</v>
      </c>
      <c r="L8220">
        <v>0</v>
      </c>
      <c r="M8220">
        <v>291.37779999999998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169.45</v>
      </c>
      <c r="K8221">
        <v>5</v>
      </c>
      <c r="L8221">
        <v>0</v>
      </c>
      <c r="M8221">
        <v>42.362499999999997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117</v>
      </c>
      <c r="E8222" t="s">
        <v>24</v>
      </c>
      <c r="F8222">
        <v>95123</v>
      </c>
      <c r="G8222" t="s">
        <v>25</v>
      </c>
      <c r="H8222" t="s">
        <v>26</v>
      </c>
      <c r="I8222" t="s">
        <v>32</v>
      </c>
      <c r="J8222">
        <v>40.68</v>
      </c>
      <c r="K8222">
        <v>2</v>
      </c>
      <c r="L8222">
        <v>0</v>
      </c>
      <c r="M8222">
        <v>0.40679999999999999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26</v>
      </c>
      <c r="I8223" t="s">
        <v>110</v>
      </c>
      <c r="J8223">
        <v>3.3279999999999998</v>
      </c>
      <c r="K8223">
        <v>2</v>
      </c>
      <c r="L8223">
        <v>0.2</v>
      </c>
      <c r="M8223">
        <v>0.41599999999999998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31</v>
      </c>
      <c r="J8224">
        <v>933.26199999999994</v>
      </c>
      <c r="K8224">
        <v>4</v>
      </c>
      <c r="L8224">
        <v>0.45</v>
      </c>
      <c r="M8224">
        <v>-458.14679999999998</v>
      </c>
    </row>
    <row r="8225" spans="1:13" x14ac:dyDescent="0.3">
      <c r="A8225" t="s">
        <v>28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19</v>
      </c>
      <c r="I8225" t="s">
        <v>21</v>
      </c>
      <c r="J8225">
        <v>2803.92</v>
      </c>
      <c r="K8225">
        <v>5</v>
      </c>
      <c r="L8225">
        <v>0.2</v>
      </c>
      <c r="M8225">
        <v>0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32</v>
      </c>
      <c r="J8226">
        <v>4.7679999999999998</v>
      </c>
      <c r="K8226">
        <v>2</v>
      </c>
      <c r="L8226">
        <v>0.2</v>
      </c>
      <c r="M8226">
        <v>-0.77480000000000004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41</v>
      </c>
      <c r="J8227">
        <v>6.6719999999999997</v>
      </c>
      <c r="K8227">
        <v>1</v>
      </c>
      <c r="L8227">
        <v>0.2</v>
      </c>
      <c r="M8227">
        <v>2.5019999999999998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26</v>
      </c>
      <c r="I8228" t="s">
        <v>34</v>
      </c>
      <c r="J8228">
        <v>4.4480000000000004</v>
      </c>
      <c r="K8228">
        <v>2</v>
      </c>
      <c r="L8228">
        <v>0.2</v>
      </c>
      <c r="M8228">
        <v>1.1120000000000001</v>
      </c>
    </row>
    <row r="8229" spans="1:13" x14ac:dyDescent="0.3">
      <c r="A8229" t="s">
        <v>168</v>
      </c>
      <c r="B8229" t="s">
        <v>14</v>
      </c>
      <c r="C8229" t="s">
        <v>15</v>
      </c>
      <c r="D8229" t="s">
        <v>189</v>
      </c>
      <c r="E8229" t="s">
        <v>30</v>
      </c>
      <c r="F8229">
        <v>32216</v>
      </c>
      <c r="G8229" t="s">
        <v>18</v>
      </c>
      <c r="H8229" t="s">
        <v>19</v>
      </c>
      <c r="I8229" t="s">
        <v>33</v>
      </c>
      <c r="J8229">
        <v>43.936</v>
      </c>
      <c r="K8229">
        <v>4</v>
      </c>
      <c r="L8229">
        <v>0.2</v>
      </c>
      <c r="M8229">
        <v>6.0411999999999999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26</v>
      </c>
      <c r="I8230" t="s">
        <v>37</v>
      </c>
      <c r="J8230">
        <v>23.744</v>
      </c>
      <c r="K8230">
        <v>2</v>
      </c>
      <c r="L8230">
        <v>0.2</v>
      </c>
      <c r="M8230">
        <v>8.3103999999999996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75</v>
      </c>
      <c r="E8231" t="s">
        <v>76</v>
      </c>
      <c r="F8231">
        <v>10009</v>
      </c>
      <c r="G8231" t="s">
        <v>57</v>
      </c>
      <c r="H8231" t="s">
        <v>35</v>
      </c>
      <c r="I8231" t="s">
        <v>59</v>
      </c>
      <c r="J8231">
        <v>357</v>
      </c>
      <c r="K8231">
        <v>3</v>
      </c>
      <c r="L8231">
        <v>0</v>
      </c>
      <c r="M8231">
        <v>57.12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35</v>
      </c>
      <c r="I8232" t="s">
        <v>36</v>
      </c>
      <c r="J8232">
        <v>806.33600000000001</v>
      </c>
      <c r="K8232">
        <v>8</v>
      </c>
      <c r="L8232">
        <v>0.2</v>
      </c>
      <c r="M8232">
        <v>50.396000000000001</v>
      </c>
    </row>
    <row r="8233" spans="1:13" x14ac:dyDescent="0.3">
      <c r="A8233" t="s">
        <v>28</v>
      </c>
      <c r="B8233" t="s">
        <v>14</v>
      </c>
      <c r="C8233" t="s">
        <v>15</v>
      </c>
      <c r="D8233" t="s">
        <v>52</v>
      </c>
      <c r="E8233" t="s">
        <v>24</v>
      </c>
      <c r="F8233">
        <v>94122</v>
      </c>
      <c r="G8233" t="s">
        <v>25</v>
      </c>
      <c r="H8233" t="s">
        <v>19</v>
      </c>
      <c r="I8233" t="s">
        <v>33</v>
      </c>
      <c r="J8233">
        <v>85.44</v>
      </c>
      <c r="K8233">
        <v>3</v>
      </c>
      <c r="L8233">
        <v>0</v>
      </c>
      <c r="M8233">
        <v>31.6128</v>
      </c>
    </row>
    <row r="8234" spans="1:13" x14ac:dyDescent="0.3">
      <c r="A8234" t="s">
        <v>28</v>
      </c>
      <c r="B8234" t="s">
        <v>22</v>
      </c>
      <c r="C8234" t="s">
        <v>15</v>
      </c>
      <c r="D8234" t="s">
        <v>103</v>
      </c>
      <c r="E8234" t="s">
        <v>167</v>
      </c>
      <c r="F8234">
        <v>31907</v>
      </c>
      <c r="G8234" t="s">
        <v>18</v>
      </c>
      <c r="H8234" t="s">
        <v>26</v>
      </c>
      <c r="I8234" t="s">
        <v>32</v>
      </c>
      <c r="J8234">
        <v>344.91</v>
      </c>
      <c r="K8234">
        <v>3</v>
      </c>
      <c r="L8234">
        <v>0</v>
      </c>
      <c r="M8234">
        <v>10.347300000000001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38</v>
      </c>
      <c r="J8235">
        <v>70.97</v>
      </c>
      <c r="K8235">
        <v>5</v>
      </c>
      <c r="L8235">
        <v>0.8</v>
      </c>
      <c r="M8235">
        <v>-191.619</v>
      </c>
    </row>
    <row r="8236" spans="1:13" x14ac:dyDescent="0.3">
      <c r="A8236" t="s">
        <v>168</v>
      </c>
      <c r="B8236" t="s">
        <v>44</v>
      </c>
      <c r="C8236" t="s">
        <v>15</v>
      </c>
      <c r="D8236" t="s">
        <v>97</v>
      </c>
      <c r="E8236" t="s">
        <v>65</v>
      </c>
      <c r="F8236">
        <v>60505</v>
      </c>
      <c r="G8236" t="s">
        <v>47</v>
      </c>
      <c r="H8236" t="s">
        <v>26</v>
      </c>
      <c r="I8236" t="s">
        <v>34</v>
      </c>
      <c r="J8236">
        <v>36.783999999999999</v>
      </c>
      <c r="K8236">
        <v>2</v>
      </c>
      <c r="L8236">
        <v>0.2</v>
      </c>
      <c r="M8236">
        <v>3.6783999999999999</v>
      </c>
    </row>
    <row r="8237" spans="1:13" x14ac:dyDescent="0.3">
      <c r="A8237" t="s">
        <v>13</v>
      </c>
      <c r="B8237" t="s">
        <v>44</v>
      </c>
      <c r="C8237" t="s">
        <v>15</v>
      </c>
      <c r="D8237" t="s">
        <v>55</v>
      </c>
      <c r="E8237" t="s">
        <v>56</v>
      </c>
      <c r="F8237">
        <v>19134</v>
      </c>
      <c r="G8237" t="s">
        <v>57</v>
      </c>
      <c r="H8237" t="s">
        <v>35</v>
      </c>
      <c r="I8237" t="s">
        <v>36</v>
      </c>
      <c r="J8237">
        <v>743.98800000000006</v>
      </c>
      <c r="K8237">
        <v>2</v>
      </c>
      <c r="L8237">
        <v>0.4</v>
      </c>
      <c r="M8237">
        <v>-123.998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26</v>
      </c>
      <c r="I8238" t="s">
        <v>37</v>
      </c>
      <c r="J8238">
        <v>11.212</v>
      </c>
      <c r="K8238">
        <v>2</v>
      </c>
      <c r="L8238">
        <v>0.8</v>
      </c>
      <c r="M8238">
        <v>-16.818000000000001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19</v>
      </c>
      <c r="I8239" t="s">
        <v>33</v>
      </c>
      <c r="J8239">
        <v>4.7119999999999997</v>
      </c>
      <c r="K8239">
        <v>2</v>
      </c>
      <c r="L8239">
        <v>0.6</v>
      </c>
      <c r="M8239">
        <v>-1.8848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38</v>
      </c>
      <c r="J8240">
        <v>180.98</v>
      </c>
      <c r="K8240">
        <v>5</v>
      </c>
      <c r="L8240">
        <v>0.8</v>
      </c>
      <c r="M8240">
        <v>-470.548</v>
      </c>
    </row>
    <row r="8241" spans="1:13" x14ac:dyDescent="0.3">
      <c r="A8241" t="s">
        <v>13</v>
      </c>
      <c r="B8241" t="s">
        <v>14</v>
      </c>
      <c r="C8241" t="s">
        <v>15</v>
      </c>
      <c r="D8241" t="s">
        <v>79</v>
      </c>
      <c r="E8241" t="s">
        <v>65</v>
      </c>
      <c r="F8241">
        <v>60653</v>
      </c>
      <c r="G8241" t="s">
        <v>47</v>
      </c>
      <c r="H8241" t="s">
        <v>26</v>
      </c>
      <c r="I8241" t="s">
        <v>32</v>
      </c>
      <c r="J8241">
        <v>60.415999999999997</v>
      </c>
      <c r="K8241">
        <v>2</v>
      </c>
      <c r="L8241">
        <v>0.2</v>
      </c>
      <c r="M8241">
        <v>6.0415999999999999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35</v>
      </c>
      <c r="I8242" t="s">
        <v>162</v>
      </c>
      <c r="J8242">
        <v>299.99</v>
      </c>
      <c r="K8242">
        <v>1</v>
      </c>
      <c r="L8242">
        <v>0</v>
      </c>
      <c r="M8242">
        <v>89.997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26</v>
      </c>
      <c r="I8243" t="s">
        <v>41</v>
      </c>
      <c r="J8243">
        <v>192.16</v>
      </c>
      <c r="K8243">
        <v>4</v>
      </c>
      <c r="L8243">
        <v>0</v>
      </c>
      <c r="M8243">
        <v>92.236800000000002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35</v>
      </c>
      <c r="I8244" t="s">
        <v>36</v>
      </c>
      <c r="J8244">
        <v>242.624</v>
      </c>
      <c r="K8244">
        <v>8</v>
      </c>
      <c r="L8244">
        <v>0.2</v>
      </c>
      <c r="M8244">
        <v>27.295200000000001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26</v>
      </c>
      <c r="I8245" t="s">
        <v>32</v>
      </c>
      <c r="J8245">
        <v>46.74</v>
      </c>
      <c r="K8245">
        <v>3</v>
      </c>
      <c r="L8245">
        <v>0</v>
      </c>
      <c r="M8245">
        <v>11.685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35</v>
      </c>
      <c r="I8246" t="s">
        <v>59</v>
      </c>
      <c r="J8246">
        <v>174.95</v>
      </c>
      <c r="K8246">
        <v>5</v>
      </c>
      <c r="L8246">
        <v>0</v>
      </c>
      <c r="M8246">
        <v>12.246499999999999</v>
      </c>
    </row>
    <row r="8247" spans="1:13" x14ac:dyDescent="0.3">
      <c r="A8247" t="s">
        <v>28</v>
      </c>
      <c r="B8247" t="s">
        <v>14</v>
      </c>
      <c r="C8247" t="s">
        <v>15</v>
      </c>
      <c r="D8247" t="s">
        <v>42</v>
      </c>
      <c r="E8247" t="s">
        <v>43</v>
      </c>
      <c r="F8247">
        <v>98103</v>
      </c>
      <c r="G8247" t="s">
        <v>25</v>
      </c>
      <c r="H8247" t="s">
        <v>26</v>
      </c>
      <c r="I8247" t="s">
        <v>37</v>
      </c>
      <c r="J8247">
        <v>100.70399999999999</v>
      </c>
      <c r="K8247">
        <v>6</v>
      </c>
      <c r="L8247">
        <v>0.2</v>
      </c>
      <c r="M8247">
        <v>37.764000000000003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41</v>
      </c>
      <c r="J8248">
        <v>368.91</v>
      </c>
      <c r="K8248">
        <v>9</v>
      </c>
      <c r="L8248">
        <v>0</v>
      </c>
      <c r="M8248">
        <v>180.76589999999999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37</v>
      </c>
      <c r="J8249">
        <v>8.02</v>
      </c>
      <c r="K8249">
        <v>1</v>
      </c>
      <c r="L8249">
        <v>0</v>
      </c>
      <c r="M8249">
        <v>3.7694000000000001</v>
      </c>
    </row>
    <row r="8250" spans="1:13" x14ac:dyDescent="0.3">
      <c r="A8250" t="s">
        <v>168</v>
      </c>
      <c r="B8250" t="s">
        <v>44</v>
      </c>
      <c r="C8250" t="s">
        <v>15</v>
      </c>
      <c r="D8250" t="s">
        <v>109</v>
      </c>
      <c r="E8250" t="s">
        <v>70</v>
      </c>
      <c r="F8250">
        <v>48066</v>
      </c>
      <c r="G8250" t="s">
        <v>47</v>
      </c>
      <c r="H8250" t="s">
        <v>26</v>
      </c>
      <c r="I8250" t="s">
        <v>32</v>
      </c>
      <c r="J8250">
        <v>171.04</v>
      </c>
      <c r="K8250">
        <v>4</v>
      </c>
      <c r="L8250">
        <v>0</v>
      </c>
      <c r="M8250">
        <v>44.470399999999998</v>
      </c>
    </row>
    <row r="8251" spans="1:13" x14ac:dyDescent="0.3">
      <c r="A8251" t="s">
        <v>28</v>
      </c>
      <c r="B8251" t="s">
        <v>44</v>
      </c>
      <c r="C8251" t="s">
        <v>15</v>
      </c>
      <c r="D8251" t="s">
        <v>196</v>
      </c>
      <c r="E8251" t="s">
        <v>197</v>
      </c>
      <c r="F8251">
        <v>72701</v>
      </c>
      <c r="G8251" t="s">
        <v>18</v>
      </c>
      <c r="H8251" t="s">
        <v>26</v>
      </c>
      <c r="I8251" t="s">
        <v>41</v>
      </c>
      <c r="J8251">
        <v>19.440000000000001</v>
      </c>
      <c r="K8251">
        <v>3</v>
      </c>
      <c r="L8251">
        <v>0</v>
      </c>
      <c r="M8251">
        <v>9.3312000000000008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189</v>
      </c>
      <c r="E8252" t="s">
        <v>40</v>
      </c>
      <c r="F8252">
        <v>28540</v>
      </c>
      <c r="G8252" t="s">
        <v>18</v>
      </c>
      <c r="H8252" t="s">
        <v>26</v>
      </c>
      <c r="I8252" t="s">
        <v>37</v>
      </c>
      <c r="J8252">
        <v>13.092000000000001</v>
      </c>
      <c r="K8252">
        <v>4</v>
      </c>
      <c r="L8252">
        <v>0.7</v>
      </c>
      <c r="M8252">
        <v>-10.0372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38</v>
      </c>
      <c r="J8253">
        <v>122.94</v>
      </c>
      <c r="K8253">
        <v>3</v>
      </c>
      <c r="L8253">
        <v>0</v>
      </c>
      <c r="M8253">
        <v>30.734999999999999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75</v>
      </c>
      <c r="E8254" t="s">
        <v>76</v>
      </c>
      <c r="F8254">
        <v>10035</v>
      </c>
      <c r="G8254" t="s">
        <v>57</v>
      </c>
      <c r="H8254" t="s">
        <v>26</v>
      </c>
      <c r="I8254" t="s">
        <v>37</v>
      </c>
      <c r="J8254">
        <v>35.448</v>
      </c>
      <c r="K8254">
        <v>7</v>
      </c>
      <c r="L8254">
        <v>0.2</v>
      </c>
      <c r="M8254">
        <v>12.8499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71</v>
      </c>
      <c r="E8255" t="s">
        <v>72</v>
      </c>
      <c r="F8255">
        <v>19901</v>
      </c>
      <c r="G8255" t="s">
        <v>57</v>
      </c>
      <c r="H8255" t="s">
        <v>35</v>
      </c>
      <c r="I8255" t="s">
        <v>36</v>
      </c>
      <c r="J8255">
        <v>19.98</v>
      </c>
      <c r="K8255">
        <v>2</v>
      </c>
      <c r="L8255">
        <v>0</v>
      </c>
      <c r="M8255">
        <v>5.1947999999999999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19</v>
      </c>
      <c r="I8256" t="s">
        <v>31</v>
      </c>
      <c r="J8256">
        <v>69.375</v>
      </c>
      <c r="K8256">
        <v>1</v>
      </c>
      <c r="L8256">
        <v>0.5</v>
      </c>
      <c r="M8256">
        <v>-47.174999999999997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26</v>
      </c>
      <c r="I8257" t="s">
        <v>110</v>
      </c>
      <c r="J8257">
        <v>31.68</v>
      </c>
      <c r="K8257">
        <v>4</v>
      </c>
      <c r="L8257">
        <v>0.2</v>
      </c>
      <c r="M8257">
        <v>2.7719999999999998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35</v>
      </c>
      <c r="I8258" t="s">
        <v>36</v>
      </c>
      <c r="J8258">
        <v>2003.1679999999999</v>
      </c>
      <c r="K8258">
        <v>4</v>
      </c>
      <c r="L8258">
        <v>0.2</v>
      </c>
      <c r="M8258">
        <v>250.39599999999999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97</v>
      </c>
      <c r="E8259" t="s">
        <v>65</v>
      </c>
      <c r="F8259">
        <v>60505</v>
      </c>
      <c r="G8259" t="s">
        <v>47</v>
      </c>
      <c r="H8259" t="s">
        <v>26</v>
      </c>
      <c r="I8259" t="s">
        <v>34</v>
      </c>
      <c r="J8259">
        <v>9.3439999999999994</v>
      </c>
      <c r="K8259">
        <v>2</v>
      </c>
      <c r="L8259">
        <v>0.2</v>
      </c>
      <c r="M8259">
        <v>3.1536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75</v>
      </c>
      <c r="E8260" t="s">
        <v>76</v>
      </c>
      <c r="F8260">
        <v>10009</v>
      </c>
      <c r="G8260" t="s">
        <v>57</v>
      </c>
      <c r="H8260" t="s">
        <v>19</v>
      </c>
      <c r="I8260" t="s">
        <v>21</v>
      </c>
      <c r="J8260">
        <v>2563.056</v>
      </c>
      <c r="K8260">
        <v>8</v>
      </c>
      <c r="L8260">
        <v>0.1</v>
      </c>
      <c r="M8260">
        <v>313.26240000000001</v>
      </c>
    </row>
    <row r="8261" spans="1:13" x14ac:dyDescent="0.3">
      <c r="A8261" t="s">
        <v>28</v>
      </c>
      <c r="B8261" t="s">
        <v>22</v>
      </c>
      <c r="C8261" t="s">
        <v>15</v>
      </c>
      <c r="D8261" t="s">
        <v>577</v>
      </c>
      <c r="E8261" t="s">
        <v>24</v>
      </c>
      <c r="F8261">
        <v>92020</v>
      </c>
      <c r="G8261" t="s">
        <v>25</v>
      </c>
      <c r="H8261" t="s">
        <v>19</v>
      </c>
      <c r="I8261" t="s">
        <v>21</v>
      </c>
      <c r="J8261">
        <v>387.13600000000002</v>
      </c>
      <c r="K8261">
        <v>4</v>
      </c>
      <c r="L8261">
        <v>0.2</v>
      </c>
      <c r="M8261">
        <v>4.8391999999999999</v>
      </c>
    </row>
    <row r="8262" spans="1:13" x14ac:dyDescent="0.3">
      <c r="A8262" t="s">
        <v>13</v>
      </c>
      <c r="B8262" t="s">
        <v>44</v>
      </c>
      <c r="C8262" t="s">
        <v>15</v>
      </c>
      <c r="D8262" t="s">
        <v>82</v>
      </c>
      <c r="E8262" t="s">
        <v>104</v>
      </c>
      <c r="F8262">
        <v>45503</v>
      </c>
      <c r="G8262" t="s">
        <v>57</v>
      </c>
      <c r="H8262" t="s">
        <v>26</v>
      </c>
      <c r="I8262" t="s">
        <v>34</v>
      </c>
      <c r="J8262">
        <v>3.4239999999999999</v>
      </c>
      <c r="K8262">
        <v>1</v>
      </c>
      <c r="L8262">
        <v>0.2</v>
      </c>
      <c r="M8262">
        <v>0.29959999999999998</v>
      </c>
    </row>
    <row r="8263" spans="1:13" x14ac:dyDescent="0.3">
      <c r="A8263" t="s">
        <v>28</v>
      </c>
      <c r="B8263" t="s">
        <v>22</v>
      </c>
      <c r="C8263" t="s">
        <v>15</v>
      </c>
      <c r="D8263" t="s">
        <v>228</v>
      </c>
      <c r="E8263" t="s">
        <v>76</v>
      </c>
      <c r="F8263">
        <v>10550</v>
      </c>
      <c r="G8263" t="s">
        <v>57</v>
      </c>
      <c r="H8263" t="s">
        <v>26</v>
      </c>
      <c r="I8263" t="s">
        <v>32</v>
      </c>
      <c r="J8263">
        <v>1085.42</v>
      </c>
      <c r="K8263">
        <v>7</v>
      </c>
      <c r="L8263">
        <v>0</v>
      </c>
      <c r="M8263">
        <v>282.20920000000001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154</v>
      </c>
      <c r="E8264" t="s">
        <v>104</v>
      </c>
      <c r="F8264">
        <v>44107</v>
      </c>
      <c r="G8264" t="s">
        <v>57</v>
      </c>
      <c r="H8264" t="s">
        <v>26</v>
      </c>
      <c r="I8264" t="s">
        <v>41</v>
      </c>
      <c r="J8264">
        <v>43.055999999999997</v>
      </c>
      <c r="K8264">
        <v>9</v>
      </c>
      <c r="L8264">
        <v>0.2</v>
      </c>
      <c r="M8264">
        <v>15.607799999999999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3.762</v>
      </c>
      <c r="K8265">
        <v>3</v>
      </c>
      <c r="L8265">
        <v>0.7</v>
      </c>
      <c r="M8265">
        <v>-2.7587999999999999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37</v>
      </c>
      <c r="J8266">
        <v>34.86</v>
      </c>
      <c r="K8266">
        <v>2</v>
      </c>
      <c r="L8266">
        <v>0.7</v>
      </c>
      <c r="M8266">
        <v>-26.725999999999999</v>
      </c>
    </row>
    <row r="8267" spans="1:13" x14ac:dyDescent="0.3">
      <c r="A8267" t="s">
        <v>28</v>
      </c>
      <c r="B8267" t="s">
        <v>44</v>
      </c>
      <c r="C8267" t="s">
        <v>15</v>
      </c>
      <c r="D8267" t="s">
        <v>141</v>
      </c>
      <c r="E8267" t="s">
        <v>30</v>
      </c>
      <c r="F8267">
        <v>33614</v>
      </c>
      <c r="G8267" t="s">
        <v>18</v>
      </c>
      <c r="H8267" t="s">
        <v>26</v>
      </c>
      <c r="I8267" t="s">
        <v>32</v>
      </c>
      <c r="J8267">
        <v>432.45600000000002</v>
      </c>
      <c r="K8267">
        <v>3</v>
      </c>
      <c r="L8267">
        <v>0.2</v>
      </c>
      <c r="M8267">
        <v>32.434199999999997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103</v>
      </c>
      <c r="E8268" t="s">
        <v>167</v>
      </c>
      <c r="F8268">
        <v>31907</v>
      </c>
      <c r="G8268" t="s">
        <v>18</v>
      </c>
      <c r="H8268" t="s">
        <v>26</v>
      </c>
      <c r="I8268" t="s">
        <v>32</v>
      </c>
      <c r="J8268">
        <v>675.06</v>
      </c>
      <c r="K8268">
        <v>3</v>
      </c>
      <c r="L8268">
        <v>0</v>
      </c>
      <c r="M8268">
        <v>87.757800000000003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26</v>
      </c>
      <c r="I8269" t="s">
        <v>60</v>
      </c>
      <c r="J8269">
        <v>65.231999999999999</v>
      </c>
      <c r="K8269">
        <v>3</v>
      </c>
      <c r="L8269">
        <v>0.2</v>
      </c>
      <c r="M8269">
        <v>22.015799999999999</v>
      </c>
    </row>
    <row r="8270" spans="1:13" x14ac:dyDescent="0.3">
      <c r="A8270" t="s">
        <v>62</v>
      </c>
      <c r="B8270" t="s">
        <v>22</v>
      </c>
      <c r="C8270" t="s">
        <v>15</v>
      </c>
      <c r="D8270" t="s">
        <v>189</v>
      </c>
      <c r="E8270" t="s">
        <v>40</v>
      </c>
      <c r="F8270">
        <v>28540</v>
      </c>
      <c r="G8270" t="s">
        <v>18</v>
      </c>
      <c r="H8270" t="s">
        <v>19</v>
      </c>
      <c r="I8270" t="s">
        <v>21</v>
      </c>
      <c r="J8270">
        <v>207</v>
      </c>
      <c r="K8270">
        <v>3</v>
      </c>
      <c r="L8270">
        <v>0.2</v>
      </c>
      <c r="M8270">
        <v>25.875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35</v>
      </c>
      <c r="I8271" t="s">
        <v>123</v>
      </c>
      <c r="J8271">
        <v>600.53</v>
      </c>
      <c r="K8271">
        <v>2</v>
      </c>
      <c r="L8271">
        <v>0.3</v>
      </c>
      <c r="M8271">
        <v>137.26400000000001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26</v>
      </c>
      <c r="I8272" t="s">
        <v>34</v>
      </c>
      <c r="J8272">
        <v>59.904000000000003</v>
      </c>
      <c r="K8272">
        <v>2</v>
      </c>
      <c r="L8272">
        <v>0.2</v>
      </c>
      <c r="M8272">
        <v>14.2272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35</v>
      </c>
      <c r="I8273" t="s">
        <v>59</v>
      </c>
      <c r="J8273">
        <v>637.44000000000005</v>
      </c>
      <c r="K8273">
        <v>8</v>
      </c>
      <c r="L8273">
        <v>0.2</v>
      </c>
      <c r="M8273">
        <v>135.45599999999999</v>
      </c>
    </row>
    <row r="8274" spans="1:13" x14ac:dyDescent="0.3">
      <c r="A8274" t="s">
        <v>13</v>
      </c>
      <c r="B8274" t="s">
        <v>44</v>
      </c>
      <c r="C8274" t="s">
        <v>15</v>
      </c>
      <c r="D8274" t="s">
        <v>582</v>
      </c>
      <c r="E8274" t="s">
        <v>65</v>
      </c>
      <c r="F8274">
        <v>60174</v>
      </c>
      <c r="G8274" t="s">
        <v>47</v>
      </c>
      <c r="H8274" t="s">
        <v>19</v>
      </c>
      <c r="I8274" t="s">
        <v>33</v>
      </c>
      <c r="J8274">
        <v>51.756</v>
      </c>
      <c r="K8274">
        <v>3</v>
      </c>
      <c r="L8274">
        <v>0.6</v>
      </c>
      <c r="M8274">
        <v>-33.641399999999997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41</v>
      </c>
      <c r="J8275">
        <v>31.103999999999999</v>
      </c>
      <c r="K8275">
        <v>6</v>
      </c>
      <c r="L8275">
        <v>0.2</v>
      </c>
      <c r="M8275">
        <v>10.8864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26</v>
      </c>
      <c r="I8276" t="s">
        <v>34</v>
      </c>
      <c r="J8276">
        <v>47.96</v>
      </c>
      <c r="K8276">
        <v>5</v>
      </c>
      <c r="L8276">
        <v>0.2</v>
      </c>
      <c r="M8276">
        <v>4.1965000000000003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35</v>
      </c>
      <c r="I8277" t="s">
        <v>59</v>
      </c>
      <c r="J8277">
        <v>158.928</v>
      </c>
      <c r="K8277">
        <v>7</v>
      </c>
      <c r="L8277">
        <v>0.2</v>
      </c>
      <c r="M8277">
        <v>41.718600000000002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38</v>
      </c>
      <c r="J8278">
        <v>211.24799999999999</v>
      </c>
      <c r="K8278">
        <v>6</v>
      </c>
      <c r="L8278">
        <v>0.2</v>
      </c>
      <c r="M8278">
        <v>15.8436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110</v>
      </c>
      <c r="J8279">
        <v>5.5519999999999996</v>
      </c>
      <c r="K8279">
        <v>2</v>
      </c>
      <c r="L8279">
        <v>0.2</v>
      </c>
      <c r="M8279">
        <v>-1.0409999999999999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180</v>
      </c>
      <c r="E8280" t="s">
        <v>30</v>
      </c>
      <c r="F8280">
        <v>33180</v>
      </c>
      <c r="G8280" t="s">
        <v>18</v>
      </c>
      <c r="H8280" t="s">
        <v>26</v>
      </c>
      <c r="I8280" t="s">
        <v>27</v>
      </c>
      <c r="J8280">
        <v>2.952</v>
      </c>
      <c r="K8280">
        <v>1</v>
      </c>
      <c r="L8280">
        <v>0.2</v>
      </c>
      <c r="M8280">
        <v>0.99629999999999996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78</v>
      </c>
      <c r="E8281" t="s">
        <v>104</v>
      </c>
      <c r="F8281">
        <v>45373</v>
      </c>
      <c r="G8281" t="s">
        <v>57</v>
      </c>
      <c r="H8281" t="s">
        <v>26</v>
      </c>
      <c r="I8281" t="s">
        <v>37</v>
      </c>
      <c r="J8281">
        <v>10.332000000000001</v>
      </c>
      <c r="K8281">
        <v>3</v>
      </c>
      <c r="L8281">
        <v>0.7</v>
      </c>
      <c r="M8281">
        <v>-7.5768000000000004</v>
      </c>
    </row>
    <row r="8282" spans="1:13" x14ac:dyDescent="0.3">
      <c r="A8282" t="s">
        <v>28</v>
      </c>
      <c r="B8282" t="s">
        <v>22</v>
      </c>
      <c r="C8282" t="s">
        <v>15</v>
      </c>
      <c r="D8282" t="s">
        <v>42</v>
      </c>
      <c r="E8282" t="s">
        <v>43</v>
      </c>
      <c r="F8282">
        <v>98103</v>
      </c>
      <c r="G8282" t="s">
        <v>25</v>
      </c>
      <c r="H8282" t="s">
        <v>26</v>
      </c>
      <c r="I8282" t="s">
        <v>37</v>
      </c>
      <c r="J8282">
        <v>18.367999999999999</v>
      </c>
      <c r="K8282">
        <v>4</v>
      </c>
      <c r="L8282">
        <v>0.2</v>
      </c>
      <c r="M8282">
        <v>5.9695999999999998</v>
      </c>
    </row>
    <row r="8283" spans="1:13" x14ac:dyDescent="0.3">
      <c r="A8283" t="s">
        <v>28</v>
      </c>
      <c r="B8283" t="s">
        <v>14</v>
      </c>
      <c r="C8283" t="s">
        <v>15</v>
      </c>
      <c r="D8283" t="s">
        <v>75</v>
      </c>
      <c r="E8283" t="s">
        <v>76</v>
      </c>
      <c r="F8283">
        <v>10011</v>
      </c>
      <c r="G8283" t="s">
        <v>57</v>
      </c>
      <c r="H8283" t="s">
        <v>35</v>
      </c>
      <c r="I8283" t="s">
        <v>36</v>
      </c>
      <c r="J8283">
        <v>299.89999999999998</v>
      </c>
      <c r="K8283">
        <v>2</v>
      </c>
      <c r="L8283">
        <v>0</v>
      </c>
      <c r="M8283">
        <v>74.974999999999994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26</v>
      </c>
      <c r="I8284" t="s">
        <v>60</v>
      </c>
      <c r="J8284">
        <v>26.55</v>
      </c>
      <c r="K8284">
        <v>9</v>
      </c>
      <c r="L8284">
        <v>0</v>
      </c>
      <c r="M8284">
        <v>12.744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155</v>
      </c>
      <c r="E8285" t="s">
        <v>83</v>
      </c>
      <c r="F8285">
        <v>22204</v>
      </c>
      <c r="G8285" t="s">
        <v>18</v>
      </c>
      <c r="H8285" t="s">
        <v>35</v>
      </c>
      <c r="I8285" t="s">
        <v>59</v>
      </c>
      <c r="J8285">
        <v>111.98</v>
      </c>
      <c r="K8285">
        <v>2</v>
      </c>
      <c r="L8285">
        <v>0</v>
      </c>
      <c r="M8285">
        <v>26.8752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19</v>
      </c>
      <c r="I8286" t="s">
        <v>33</v>
      </c>
      <c r="J8286">
        <v>4.9279999999999999</v>
      </c>
      <c r="K8286">
        <v>2</v>
      </c>
      <c r="L8286">
        <v>0.2</v>
      </c>
      <c r="M8286">
        <v>0.73919999999999997</v>
      </c>
    </row>
    <row r="8287" spans="1:13" x14ac:dyDescent="0.3">
      <c r="A8287" t="s">
        <v>28</v>
      </c>
      <c r="B8287" t="s">
        <v>22</v>
      </c>
      <c r="C8287" t="s">
        <v>15</v>
      </c>
      <c r="D8287" t="s">
        <v>99</v>
      </c>
      <c r="E8287" t="s">
        <v>40</v>
      </c>
      <c r="F8287">
        <v>28205</v>
      </c>
      <c r="G8287" t="s">
        <v>18</v>
      </c>
      <c r="H8287" t="s">
        <v>26</v>
      </c>
      <c r="I8287" t="s">
        <v>27</v>
      </c>
      <c r="J8287">
        <v>11.784000000000001</v>
      </c>
      <c r="K8287">
        <v>3</v>
      </c>
      <c r="L8287">
        <v>0.2</v>
      </c>
      <c r="M8287">
        <v>4.2717000000000001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109</v>
      </c>
      <c r="E8288" t="s">
        <v>24</v>
      </c>
      <c r="F8288">
        <v>95661</v>
      </c>
      <c r="G8288" t="s">
        <v>25</v>
      </c>
      <c r="H8288" t="s">
        <v>26</v>
      </c>
      <c r="I8288" t="s">
        <v>34</v>
      </c>
      <c r="J8288">
        <v>7.98</v>
      </c>
      <c r="K8288">
        <v>3</v>
      </c>
      <c r="L8288">
        <v>0</v>
      </c>
      <c r="M8288">
        <v>2.0748000000000002</v>
      </c>
    </row>
    <row r="8289" spans="1:13" x14ac:dyDescent="0.3">
      <c r="A8289" t="s">
        <v>28</v>
      </c>
      <c r="B8289" t="s">
        <v>14</v>
      </c>
      <c r="C8289" t="s">
        <v>15</v>
      </c>
      <c r="D8289" t="s">
        <v>140</v>
      </c>
      <c r="E8289" t="s">
        <v>70</v>
      </c>
      <c r="F8289">
        <v>48234</v>
      </c>
      <c r="G8289" t="s">
        <v>47</v>
      </c>
      <c r="H8289" t="s">
        <v>26</v>
      </c>
      <c r="I8289" t="s">
        <v>60</v>
      </c>
      <c r="J8289">
        <v>180.96</v>
      </c>
      <c r="K8289">
        <v>2</v>
      </c>
      <c r="L8289">
        <v>0</v>
      </c>
      <c r="M8289">
        <v>81.432000000000002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35</v>
      </c>
      <c r="I8290" t="s">
        <v>59</v>
      </c>
      <c r="J8290">
        <v>1649.95</v>
      </c>
      <c r="K8290">
        <v>5</v>
      </c>
      <c r="L8290">
        <v>0</v>
      </c>
      <c r="M8290">
        <v>659.98</v>
      </c>
    </row>
    <row r="8291" spans="1:13" x14ac:dyDescent="0.3">
      <c r="A8291" t="s">
        <v>28</v>
      </c>
      <c r="B8291" t="s">
        <v>22</v>
      </c>
      <c r="C8291" t="s">
        <v>15</v>
      </c>
      <c r="D8291" t="s">
        <v>23</v>
      </c>
      <c r="E8291" t="s">
        <v>24</v>
      </c>
      <c r="F8291">
        <v>90036</v>
      </c>
      <c r="G8291" t="s">
        <v>25</v>
      </c>
      <c r="H8291" t="s">
        <v>19</v>
      </c>
      <c r="I8291" t="s">
        <v>21</v>
      </c>
      <c r="J8291">
        <v>362.35199999999998</v>
      </c>
      <c r="K8291">
        <v>3</v>
      </c>
      <c r="L8291">
        <v>0.2</v>
      </c>
      <c r="M8291">
        <v>45.293999999999997</v>
      </c>
    </row>
    <row r="8292" spans="1:13" x14ac:dyDescent="0.3">
      <c r="A8292" t="s">
        <v>13</v>
      </c>
      <c r="B8292" t="s">
        <v>44</v>
      </c>
      <c r="C8292" t="s">
        <v>15</v>
      </c>
      <c r="D8292" t="s">
        <v>52</v>
      </c>
      <c r="E8292" t="s">
        <v>24</v>
      </c>
      <c r="F8292">
        <v>94110</v>
      </c>
      <c r="G8292" t="s">
        <v>25</v>
      </c>
      <c r="H8292" t="s">
        <v>35</v>
      </c>
      <c r="I8292" t="s">
        <v>36</v>
      </c>
      <c r="J8292">
        <v>73.584000000000003</v>
      </c>
      <c r="K8292">
        <v>2</v>
      </c>
      <c r="L8292">
        <v>0.2</v>
      </c>
      <c r="M8292">
        <v>8.2782</v>
      </c>
    </row>
    <row r="8293" spans="1:13" x14ac:dyDescent="0.3">
      <c r="A8293" t="s">
        <v>28</v>
      </c>
      <c r="B8293" t="s">
        <v>14</v>
      </c>
      <c r="C8293" t="s">
        <v>15</v>
      </c>
      <c r="D8293" t="s">
        <v>418</v>
      </c>
      <c r="E8293" t="s">
        <v>24</v>
      </c>
      <c r="F8293">
        <v>93309</v>
      </c>
      <c r="G8293" t="s">
        <v>25</v>
      </c>
      <c r="H8293" t="s">
        <v>19</v>
      </c>
      <c r="I8293" t="s">
        <v>31</v>
      </c>
      <c r="J8293">
        <v>486.36799999999999</v>
      </c>
      <c r="K8293">
        <v>4</v>
      </c>
      <c r="L8293">
        <v>0.2</v>
      </c>
      <c r="M8293">
        <v>36.477600000000002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41</v>
      </c>
      <c r="J8294">
        <v>32.4</v>
      </c>
      <c r="K8294">
        <v>5</v>
      </c>
      <c r="L8294">
        <v>0</v>
      </c>
      <c r="M8294">
        <v>15.552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41.86</v>
      </c>
      <c r="K8295">
        <v>7</v>
      </c>
      <c r="L8295">
        <v>0</v>
      </c>
      <c r="M8295">
        <v>19.255600000000001</v>
      </c>
    </row>
    <row r="8296" spans="1:13" x14ac:dyDescent="0.3">
      <c r="A8296" t="s">
        <v>28</v>
      </c>
      <c r="B8296" t="s">
        <v>44</v>
      </c>
      <c r="C8296" t="s">
        <v>15</v>
      </c>
      <c r="D8296" t="s">
        <v>337</v>
      </c>
      <c r="E8296" t="s">
        <v>119</v>
      </c>
      <c r="F8296">
        <v>74133</v>
      </c>
      <c r="G8296" t="s">
        <v>47</v>
      </c>
      <c r="H8296" t="s">
        <v>26</v>
      </c>
      <c r="I8296" t="s">
        <v>37</v>
      </c>
      <c r="J8296">
        <v>77.56</v>
      </c>
      <c r="K8296">
        <v>2</v>
      </c>
      <c r="L8296">
        <v>0</v>
      </c>
      <c r="M8296">
        <v>35.677599999999998</v>
      </c>
    </row>
    <row r="8297" spans="1:13" x14ac:dyDescent="0.3">
      <c r="A8297" t="s">
        <v>168</v>
      </c>
      <c r="B8297" t="s">
        <v>44</v>
      </c>
      <c r="C8297" t="s">
        <v>15</v>
      </c>
      <c r="D8297" t="s">
        <v>52</v>
      </c>
      <c r="E8297" t="s">
        <v>24</v>
      </c>
      <c r="F8297">
        <v>94122</v>
      </c>
      <c r="G8297" t="s">
        <v>25</v>
      </c>
      <c r="H8297" t="s">
        <v>26</v>
      </c>
      <c r="I8297" t="s">
        <v>34</v>
      </c>
      <c r="J8297">
        <v>37.17</v>
      </c>
      <c r="K8297">
        <v>9</v>
      </c>
      <c r="L8297">
        <v>0</v>
      </c>
      <c r="M8297">
        <v>11.151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26</v>
      </c>
      <c r="I8298" t="s">
        <v>32</v>
      </c>
      <c r="J8298">
        <v>137.352</v>
      </c>
      <c r="K8298">
        <v>3</v>
      </c>
      <c r="L8298">
        <v>0.2</v>
      </c>
      <c r="M8298">
        <v>8.5845000000000002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61</v>
      </c>
      <c r="E8299" t="s">
        <v>46</v>
      </c>
      <c r="F8299">
        <v>77036</v>
      </c>
      <c r="G8299" t="s">
        <v>47</v>
      </c>
      <c r="H8299" t="s">
        <v>19</v>
      </c>
      <c r="I8299" t="s">
        <v>31</v>
      </c>
      <c r="J8299">
        <v>376.50900000000001</v>
      </c>
      <c r="K8299">
        <v>3</v>
      </c>
      <c r="L8299">
        <v>0.3</v>
      </c>
      <c r="M8299">
        <v>-43.029600000000002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19</v>
      </c>
      <c r="I8300" t="s">
        <v>33</v>
      </c>
      <c r="J8300">
        <v>62.72</v>
      </c>
      <c r="K8300">
        <v>4</v>
      </c>
      <c r="L8300">
        <v>0</v>
      </c>
      <c r="M8300">
        <v>24.460799999999999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103</v>
      </c>
      <c r="E8301" t="s">
        <v>167</v>
      </c>
      <c r="F8301">
        <v>31907</v>
      </c>
      <c r="G8301" t="s">
        <v>18</v>
      </c>
      <c r="H8301" t="s">
        <v>35</v>
      </c>
      <c r="I8301" t="s">
        <v>36</v>
      </c>
      <c r="J8301">
        <v>2939.93</v>
      </c>
      <c r="K8301">
        <v>7</v>
      </c>
      <c r="L8301">
        <v>0</v>
      </c>
      <c r="M8301">
        <v>764.3818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19</v>
      </c>
      <c r="I8302" t="s">
        <v>21</v>
      </c>
      <c r="J8302">
        <v>512.35799999999995</v>
      </c>
      <c r="K8302">
        <v>3</v>
      </c>
      <c r="L8302">
        <v>0.3</v>
      </c>
      <c r="M8302">
        <v>-14.6388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77</v>
      </c>
      <c r="J8303">
        <v>3.488</v>
      </c>
      <c r="K8303">
        <v>2</v>
      </c>
      <c r="L8303">
        <v>0.2</v>
      </c>
      <c r="M8303">
        <v>0.56679999999999997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34</v>
      </c>
      <c r="J8304">
        <v>22.288</v>
      </c>
      <c r="K8304">
        <v>7</v>
      </c>
      <c r="L8304">
        <v>0.2</v>
      </c>
      <c r="M8304">
        <v>3.9003999999999999</v>
      </c>
    </row>
    <row r="8305" spans="1:13" x14ac:dyDescent="0.3">
      <c r="A8305" t="s">
        <v>28</v>
      </c>
      <c r="B8305" t="s">
        <v>44</v>
      </c>
      <c r="C8305" t="s">
        <v>15</v>
      </c>
      <c r="D8305" t="s">
        <v>516</v>
      </c>
      <c r="E8305" t="s">
        <v>46</v>
      </c>
      <c r="F8305">
        <v>77573</v>
      </c>
      <c r="G8305" t="s">
        <v>47</v>
      </c>
      <c r="H8305" t="s">
        <v>26</v>
      </c>
      <c r="I8305" t="s">
        <v>41</v>
      </c>
      <c r="J8305">
        <v>16.032</v>
      </c>
      <c r="K8305">
        <v>3</v>
      </c>
      <c r="L8305">
        <v>0.2</v>
      </c>
      <c r="M8305">
        <v>5.6112000000000002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1.752</v>
      </c>
      <c r="K8306">
        <v>1</v>
      </c>
      <c r="L8306">
        <v>0.2</v>
      </c>
      <c r="M8306">
        <v>0.15329999999999999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223</v>
      </c>
      <c r="E8307" t="s">
        <v>40</v>
      </c>
      <c r="F8307">
        <v>27217</v>
      </c>
      <c r="G8307" t="s">
        <v>18</v>
      </c>
      <c r="H8307" t="s">
        <v>26</v>
      </c>
      <c r="I8307" t="s">
        <v>34</v>
      </c>
      <c r="J8307">
        <v>20.992000000000001</v>
      </c>
      <c r="K8307">
        <v>8</v>
      </c>
      <c r="L8307">
        <v>0.2</v>
      </c>
      <c r="M8307">
        <v>2.3616000000000001</v>
      </c>
    </row>
    <row r="8308" spans="1:13" x14ac:dyDescent="0.3">
      <c r="A8308" t="s">
        <v>28</v>
      </c>
      <c r="B8308" t="s">
        <v>14</v>
      </c>
      <c r="C8308" t="s">
        <v>15</v>
      </c>
      <c r="D8308" t="s">
        <v>75</v>
      </c>
      <c r="E8308" t="s">
        <v>76</v>
      </c>
      <c r="F8308">
        <v>10009</v>
      </c>
      <c r="G8308" t="s">
        <v>57</v>
      </c>
      <c r="H8308" t="s">
        <v>26</v>
      </c>
      <c r="I8308" t="s">
        <v>32</v>
      </c>
      <c r="J8308">
        <v>11.21</v>
      </c>
      <c r="K8308">
        <v>1</v>
      </c>
      <c r="L8308">
        <v>0</v>
      </c>
      <c r="M8308">
        <v>3.363</v>
      </c>
    </row>
    <row r="8309" spans="1:13" x14ac:dyDescent="0.3">
      <c r="A8309" t="s">
        <v>62</v>
      </c>
      <c r="B8309" t="s">
        <v>14</v>
      </c>
      <c r="C8309" t="s">
        <v>15</v>
      </c>
      <c r="D8309" t="s">
        <v>135</v>
      </c>
      <c r="E8309" t="s">
        <v>46</v>
      </c>
      <c r="F8309">
        <v>75220</v>
      </c>
      <c r="G8309" t="s">
        <v>47</v>
      </c>
      <c r="H8309" t="s">
        <v>26</v>
      </c>
      <c r="I8309" t="s">
        <v>34</v>
      </c>
      <c r="J8309">
        <v>45.04</v>
      </c>
      <c r="K8309">
        <v>2</v>
      </c>
      <c r="L8309">
        <v>0.2</v>
      </c>
      <c r="M8309">
        <v>4.5039999999999996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61</v>
      </c>
      <c r="E8310" t="s">
        <v>46</v>
      </c>
      <c r="F8310">
        <v>77095</v>
      </c>
      <c r="G8310" t="s">
        <v>47</v>
      </c>
      <c r="H8310" t="s">
        <v>26</v>
      </c>
      <c r="I8310" t="s">
        <v>37</v>
      </c>
      <c r="J8310">
        <v>15.624000000000001</v>
      </c>
      <c r="K8310">
        <v>2</v>
      </c>
      <c r="L8310">
        <v>0.8</v>
      </c>
      <c r="M8310">
        <v>-24.9984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38</v>
      </c>
      <c r="J8311">
        <v>8.74</v>
      </c>
      <c r="K8311">
        <v>2</v>
      </c>
      <c r="L8311">
        <v>0</v>
      </c>
      <c r="M8311">
        <v>2.2724000000000002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159</v>
      </c>
      <c r="E8312" t="s">
        <v>76</v>
      </c>
      <c r="F8312">
        <v>11561</v>
      </c>
      <c r="G8312" t="s">
        <v>57</v>
      </c>
      <c r="H8312" t="s">
        <v>26</v>
      </c>
      <c r="I8312" t="s">
        <v>41</v>
      </c>
      <c r="J8312">
        <v>44.75</v>
      </c>
      <c r="K8312">
        <v>5</v>
      </c>
      <c r="L8312">
        <v>0</v>
      </c>
      <c r="M8312">
        <v>20.585000000000001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26</v>
      </c>
      <c r="I8313" t="s">
        <v>32</v>
      </c>
      <c r="J8313">
        <v>61.68</v>
      </c>
      <c r="K8313">
        <v>5</v>
      </c>
      <c r="L8313">
        <v>0.2</v>
      </c>
      <c r="M8313">
        <v>5.3970000000000002</v>
      </c>
    </row>
    <row r="8314" spans="1:13" x14ac:dyDescent="0.3">
      <c r="A8314" t="s">
        <v>62</v>
      </c>
      <c r="B8314" t="s">
        <v>44</v>
      </c>
      <c r="C8314" t="s">
        <v>15</v>
      </c>
      <c r="D8314" t="s">
        <v>229</v>
      </c>
      <c r="E8314" t="s">
        <v>30</v>
      </c>
      <c r="F8314">
        <v>33012</v>
      </c>
      <c r="G8314" t="s">
        <v>18</v>
      </c>
      <c r="H8314" t="s">
        <v>35</v>
      </c>
      <c r="I8314" t="s">
        <v>36</v>
      </c>
      <c r="J8314">
        <v>158.376</v>
      </c>
      <c r="K8314">
        <v>3</v>
      </c>
      <c r="L8314">
        <v>0.2</v>
      </c>
      <c r="M8314">
        <v>13.857900000000001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2.8639999999999999</v>
      </c>
      <c r="K8315">
        <v>4</v>
      </c>
      <c r="L8315">
        <v>0.8</v>
      </c>
      <c r="M8315">
        <v>-4.5823999999999998</v>
      </c>
    </row>
    <row r="8316" spans="1:13" x14ac:dyDescent="0.3">
      <c r="A8316" t="s">
        <v>13</v>
      </c>
      <c r="B8316" t="s">
        <v>22</v>
      </c>
      <c r="C8316" t="s">
        <v>15</v>
      </c>
      <c r="D8316" t="s">
        <v>97</v>
      </c>
      <c r="E8316" t="s">
        <v>65</v>
      </c>
      <c r="F8316">
        <v>60505</v>
      </c>
      <c r="G8316" t="s">
        <v>47</v>
      </c>
      <c r="H8316" t="s">
        <v>26</v>
      </c>
      <c r="I8316" t="s">
        <v>37</v>
      </c>
      <c r="J8316">
        <v>94.191999999999993</v>
      </c>
      <c r="K8316">
        <v>7</v>
      </c>
      <c r="L8316">
        <v>0.8</v>
      </c>
      <c r="M8316">
        <v>-164.83600000000001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143.69999999999999</v>
      </c>
      <c r="K8317">
        <v>3</v>
      </c>
      <c r="L8317">
        <v>0</v>
      </c>
      <c r="M8317">
        <v>68.975999999999999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152</v>
      </c>
      <c r="E8318" t="s">
        <v>132</v>
      </c>
      <c r="F8318">
        <v>7109</v>
      </c>
      <c r="G8318" t="s">
        <v>57</v>
      </c>
      <c r="H8318" t="s">
        <v>26</v>
      </c>
      <c r="I8318" t="s">
        <v>41</v>
      </c>
      <c r="J8318">
        <v>6.48</v>
      </c>
      <c r="K8318">
        <v>1</v>
      </c>
      <c r="L8318">
        <v>0</v>
      </c>
      <c r="M8318">
        <v>3.1103999999999998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75</v>
      </c>
      <c r="E8319" t="s">
        <v>76</v>
      </c>
      <c r="F8319">
        <v>10024</v>
      </c>
      <c r="G8319" t="s">
        <v>57</v>
      </c>
      <c r="H8319" t="s">
        <v>35</v>
      </c>
      <c r="I8319" t="s">
        <v>59</v>
      </c>
      <c r="J8319">
        <v>7.88</v>
      </c>
      <c r="K8319">
        <v>4</v>
      </c>
      <c r="L8319">
        <v>0</v>
      </c>
      <c r="M8319">
        <v>2.5215999999999998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26</v>
      </c>
      <c r="I8320" t="s">
        <v>32</v>
      </c>
      <c r="J8320">
        <v>11.21</v>
      </c>
      <c r="K8320">
        <v>1</v>
      </c>
      <c r="L8320">
        <v>0</v>
      </c>
      <c r="M8320">
        <v>3.363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19</v>
      </c>
      <c r="I8321" t="s">
        <v>21</v>
      </c>
      <c r="J8321">
        <v>354.9</v>
      </c>
      <c r="K8321">
        <v>5</v>
      </c>
      <c r="L8321">
        <v>0</v>
      </c>
      <c r="M8321">
        <v>88.724999999999994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41</v>
      </c>
      <c r="J8322">
        <v>17.940000000000001</v>
      </c>
      <c r="K8322">
        <v>3</v>
      </c>
      <c r="L8322">
        <v>0</v>
      </c>
      <c r="M8322">
        <v>8.7905999999999995</v>
      </c>
    </row>
    <row r="8323" spans="1:13" x14ac:dyDescent="0.3">
      <c r="A8323" t="s">
        <v>62</v>
      </c>
      <c r="B8323" t="s">
        <v>14</v>
      </c>
      <c r="C8323" t="s">
        <v>15</v>
      </c>
      <c r="D8323" t="s">
        <v>597</v>
      </c>
      <c r="E8323" t="s">
        <v>166</v>
      </c>
      <c r="F8323">
        <v>1810</v>
      </c>
      <c r="G8323" t="s">
        <v>57</v>
      </c>
      <c r="H8323" t="s">
        <v>26</v>
      </c>
      <c r="I8323" t="s">
        <v>37</v>
      </c>
      <c r="J8323">
        <v>51.8</v>
      </c>
      <c r="K8323">
        <v>4</v>
      </c>
      <c r="L8323">
        <v>0</v>
      </c>
      <c r="M8323">
        <v>23.31</v>
      </c>
    </row>
    <row r="8324" spans="1:13" x14ac:dyDescent="0.3">
      <c r="A8324" t="s">
        <v>13</v>
      </c>
      <c r="B8324" t="s">
        <v>44</v>
      </c>
      <c r="C8324" t="s">
        <v>15</v>
      </c>
      <c r="D8324" t="s">
        <v>114</v>
      </c>
      <c r="E8324" t="s">
        <v>72</v>
      </c>
      <c r="F8324">
        <v>19711</v>
      </c>
      <c r="G8324" t="s">
        <v>57</v>
      </c>
      <c r="H8324" t="s">
        <v>26</v>
      </c>
      <c r="I8324" t="s">
        <v>37</v>
      </c>
      <c r="J8324">
        <v>299.52</v>
      </c>
      <c r="K8324">
        <v>9</v>
      </c>
      <c r="L8324">
        <v>0</v>
      </c>
      <c r="M8324">
        <v>149.76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155</v>
      </c>
      <c r="E8325" t="s">
        <v>83</v>
      </c>
      <c r="F8325">
        <v>22204</v>
      </c>
      <c r="G8325" t="s">
        <v>18</v>
      </c>
      <c r="H8325" t="s">
        <v>26</v>
      </c>
      <c r="I8325" t="s">
        <v>34</v>
      </c>
      <c r="J8325">
        <v>7.7</v>
      </c>
      <c r="K8325">
        <v>2</v>
      </c>
      <c r="L8325">
        <v>0</v>
      </c>
      <c r="M8325">
        <v>3.157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26</v>
      </c>
      <c r="I8326" t="s">
        <v>41</v>
      </c>
      <c r="J8326">
        <v>23.92</v>
      </c>
      <c r="K8326">
        <v>4</v>
      </c>
      <c r="L8326">
        <v>0</v>
      </c>
      <c r="M8326">
        <v>11.720800000000001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87</v>
      </c>
      <c r="E8327" t="s">
        <v>88</v>
      </c>
      <c r="F8327">
        <v>35601</v>
      </c>
      <c r="G8327" t="s">
        <v>18</v>
      </c>
      <c r="H8327" t="s">
        <v>35</v>
      </c>
      <c r="I8327" t="s">
        <v>59</v>
      </c>
      <c r="J8327">
        <v>498</v>
      </c>
      <c r="K8327">
        <v>5</v>
      </c>
      <c r="L8327">
        <v>0</v>
      </c>
      <c r="M8327">
        <v>184.26</v>
      </c>
    </row>
    <row r="8328" spans="1:13" x14ac:dyDescent="0.3">
      <c r="A8328" t="s">
        <v>28</v>
      </c>
      <c r="B8328" t="s">
        <v>22</v>
      </c>
      <c r="C8328" t="s">
        <v>15</v>
      </c>
      <c r="D8328" t="s">
        <v>160</v>
      </c>
      <c r="E8328" t="s">
        <v>24</v>
      </c>
      <c r="F8328">
        <v>92345</v>
      </c>
      <c r="G8328" t="s">
        <v>25</v>
      </c>
      <c r="H8328" t="s">
        <v>19</v>
      </c>
      <c r="I8328" t="s">
        <v>21</v>
      </c>
      <c r="J8328">
        <v>436.70400000000001</v>
      </c>
      <c r="K8328">
        <v>6</v>
      </c>
      <c r="L8328">
        <v>0.2</v>
      </c>
      <c r="M8328">
        <v>-38.211599999999997</v>
      </c>
    </row>
    <row r="8329" spans="1:13" x14ac:dyDescent="0.3">
      <c r="A8329" t="s">
        <v>28</v>
      </c>
      <c r="B8329" t="s">
        <v>14</v>
      </c>
      <c r="C8329" t="s">
        <v>15</v>
      </c>
      <c r="D8329" t="s">
        <v>355</v>
      </c>
      <c r="E8329" t="s">
        <v>83</v>
      </c>
      <c r="F8329">
        <v>23320</v>
      </c>
      <c r="G8329" t="s">
        <v>18</v>
      </c>
      <c r="H8329" t="s">
        <v>26</v>
      </c>
      <c r="I8329" t="s">
        <v>41</v>
      </c>
      <c r="J8329">
        <v>32.4</v>
      </c>
      <c r="K8329">
        <v>5</v>
      </c>
      <c r="L8329">
        <v>0</v>
      </c>
      <c r="M8329">
        <v>15.552</v>
      </c>
    </row>
    <row r="8330" spans="1:13" x14ac:dyDescent="0.3">
      <c r="A8330" t="s">
        <v>62</v>
      </c>
      <c r="B8330" t="s">
        <v>14</v>
      </c>
      <c r="C8330" t="s">
        <v>15</v>
      </c>
      <c r="D8330" t="s">
        <v>23</v>
      </c>
      <c r="E8330" t="s">
        <v>24</v>
      </c>
      <c r="F8330">
        <v>90036</v>
      </c>
      <c r="G8330" t="s">
        <v>25</v>
      </c>
      <c r="H8330" t="s">
        <v>26</v>
      </c>
      <c r="I8330" t="s">
        <v>38</v>
      </c>
      <c r="J8330">
        <v>61.44</v>
      </c>
      <c r="K8330">
        <v>3</v>
      </c>
      <c r="L8330">
        <v>0</v>
      </c>
      <c r="M8330">
        <v>16.588799999999999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195</v>
      </c>
      <c r="E8331" t="s">
        <v>88</v>
      </c>
      <c r="F8331">
        <v>35810</v>
      </c>
      <c r="G8331" t="s">
        <v>18</v>
      </c>
      <c r="H8331" t="s">
        <v>26</v>
      </c>
      <c r="I8331" t="s">
        <v>32</v>
      </c>
      <c r="J8331">
        <v>73.36</v>
      </c>
      <c r="K8331">
        <v>7</v>
      </c>
      <c r="L8331">
        <v>0</v>
      </c>
      <c r="M8331">
        <v>19.807200000000002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26</v>
      </c>
      <c r="I8332" t="s">
        <v>27</v>
      </c>
      <c r="J8332">
        <v>59.2</v>
      </c>
      <c r="K8332">
        <v>5</v>
      </c>
      <c r="L8332">
        <v>0.2</v>
      </c>
      <c r="M8332">
        <v>22.2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33</v>
      </c>
      <c r="J8333">
        <v>32.951999999999998</v>
      </c>
      <c r="K8333">
        <v>3</v>
      </c>
      <c r="L8333">
        <v>0.2</v>
      </c>
      <c r="M8333">
        <v>6.5903999999999998</v>
      </c>
    </row>
    <row r="8334" spans="1:13" x14ac:dyDescent="0.3">
      <c r="A8334" t="s">
        <v>28</v>
      </c>
      <c r="B8334" t="s">
        <v>14</v>
      </c>
      <c r="C8334" t="s">
        <v>15</v>
      </c>
      <c r="D8334" t="s">
        <v>375</v>
      </c>
      <c r="E8334" t="s">
        <v>86</v>
      </c>
      <c r="F8334">
        <v>37918</v>
      </c>
      <c r="G8334" t="s">
        <v>18</v>
      </c>
      <c r="H8334" t="s">
        <v>19</v>
      </c>
      <c r="I8334" t="s">
        <v>21</v>
      </c>
      <c r="J8334">
        <v>218.376</v>
      </c>
      <c r="K8334">
        <v>3</v>
      </c>
      <c r="L8334">
        <v>0.2</v>
      </c>
      <c r="M8334">
        <v>-10.918799999999999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31.4</v>
      </c>
      <c r="K8335">
        <v>5</v>
      </c>
      <c r="L8335">
        <v>0</v>
      </c>
      <c r="M8335">
        <v>13.188000000000001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19</v>
      </c>
      <c r="I8336" t="s">
        <v>33</v>
      </c>
      <c r="J8336">
        <v>9.48</v>
      </c>
      <c r="K8336">
        <v>1</v>
      </c>
      <c r="L8336">
        <v>0</v>
      </c>
      <c r="M8336">
        <v>3.7919999999999998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35</v>
      </c>
      <c r="I8337" t="s">
        <v>36</v>
      </c>
      <c r="J8337">
        <v>209.5</v>
      </c>
      <c r="K8337">
        <v>10</v>
      </c>
      <c r="L8337">
        <v>0</v>
      </c>
      <c r="M8337">
        <v>58.66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19</v>
      </c>
      <c r="I8338" t="s">
        <v>33</v>
      </c>
      <c r="J8338">
        <v>24.3</v>
      </c>
      <c r="K8338">
        <v>5</v>
      </c>
      <c r="L8338">
        <v>0</v>
      </c>
      <c r="M8338">
        <v>10.449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184</v>
      </c>
      <c r="E8339" t="s">
        <v>166</v>
      </c>
      <c r="F8339">
        <v>1841</v>
      </c>
      <c r="G8339" t="s">
        <v>57</v>
      </c>
      <c r="H8339" t="s">
        <v>26</v>
      </c>
      <c r="I8339" t="s">
        <v>41</v>
      </c>
      <c r="J8339">
        <v>6.48</v>
      </c>
      <c r="K8339">
        <v>1</v>
      </c>
      <c r="L8339">
        <v>0</v>
      </c>
      <c r="M8339">
        <v>3.1103999999999998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19</v>
      </c>
      <c r="I8340" t="s">
        <v>33</v>
      </c>
      <c r="J8340">
        <v>32.448</v>
      </c>
      <c r="K8340">
        <v>2</v>
      </c>
      <c r="L8340">
        <v>0.2</v>
      </c>
      <c r="M8340">
        <v>7.3007999999999997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26</v>
      </c>
      <c r="I8341" t="s">
        <v>37</v>
      </c>
      <c r="J8341">
        <v>26.388000000000002</v>
      </c>
      <c r="K8341">
        <v>4</v>
      </c>
      <c r="L8341">
        <v>0.7</v>
      </c>
      <c r="M8341">
        <v>-17.591999999999999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19</v>
      </c>
      <c r="I8342" t="s">
        <v>31</v>
      </c>
      <c r="J8342">
        <v>373.47</v>
      </c>
      <c r="K8342">
        <v>5</v>
      </c>
      <c r="L8342">
        <v>0.4</v>
      </c>
      <c r="M8342">
        <v>-112.041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37</v>
      </c>
      <c r="J8343">
        <v>64.2</v>
      </c>
      <c r="K8343">
        <v>5</v>
      </c>
      <c r="L8343">
        <v>0.7</v>
      </c>
      <c r="M8343">
        <v>-44.94</v>
      </c>
    </row>
    <row r="8344" spans="1:13" x14ac:dyDescent="0.3">
      <c r="A8344" t="s">
        <v>28</v>
      </c>
      <c r="B8344" t="s">
        <v>22</v>
      </c>
      <c r="C8344" t="s">
        <v>15</v>
      </c>
      <c r="D8344" t="s">
        <v>55</v>
      </c>
      <c r="E8344" t="s">
        <v>56</v>
      </c>
      <c r="F8344">
        <v>19134</v>
      </c>
      <c r="G8344" t="s">
        <v>57</v>
      </c>
      <c r="H8344" t="s">
        <v>26</v>
      </c>
      <c r="I8344" t="s">
        <v>77</v>
      </c>
      <c r="J8344">
        <v>8</v>
      </c>
      <c r="K8344">
        <v>2</v>
      </c>
      <c r="L8344">
        <v>0.2</v>
      </c>
      <c r="M8344">
        <v>2.8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508</v>
      </c>
      <c r="E8345" t="s">
        <v>167</v>
      </c>
      <c r="F8345">
        <v>30605</v>
      </c>
      <c r="G8345" t="s">
        <v>18</v>
      </c>
      <c r="H8345" t="s">
        <v>19</v>
      </c>
      <c r="I8345" t="s">
        <v>33</v>
      </c>
      <c r="J8345">
        <v>186.54</v>
      </c>
      <c r="K8345">
        <v>3</v>
      </c>
      <c r="L8345">
        <v>0</v>
      </c>
      <c r="M8345">
        <v>41.038800000000002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26</v>
      </c>
      <c r="I8346" t="s">
        <v>32</v>
      </c>
      <c r="J8346">
        <v>87.08</v>
      </c>
      <c r="K8346">
        <v>7</v>
      </c>
      <c r="L8346">
        <v>0</v>
      </c>
      <c r="M8346">
        <v>24.382400000000001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36</v>
      </c>
      <c r="J8347">
        <v>105.584</v>
      </c>
      <c r="K8347">
        <v>2</v>
      </c>
      <c r="L8347">
        <v>0.2</v>
      </c>
      <c r="M8347">
        <v>9.2385999999999999</v>
      </c>
    </row>
    <row r="8348" spans="1:13" x14ac:dyDescent="0.3">
      <c r="A8348" t="s">
        <v>28</v>
      </c>
      <c r="B8348" t="s">
        <v>14</v>
      </c>
      <c r="C8348" t="s">
        <v>15</v>
      </c>
      <c r="D8348" t="s">
        <v>202</v>
      </c>
      <c r="E8348" t="s">
        <v>203</v>
      </c>
      <c r="F8348">
        <v>59405</v>
      </c>
      <c r="G8348" t="s">
        <v>25</v>
      </c>
      <c r="H8348" t="s">
        <v>35</v>
      </c>
      <c r="I8348" t="s">
        <v>59</v>
      </c>
      <c r="J8348">
        <v>217.44</v>
      </c>
      <c r="K8348">
        <v>6</v>
      </c>
      <c r="L8348">
        <v>0</v>
      </c>
      <c r="M8348">
        <v>91.324799999999996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34</v>
      </c>
      <c r="J8349">
        <v>31.744</v>
      </c>
      <c r="K8349">
        <v>2</v>
      </c>
      <c r="L8349">
        <v>0.2</v>
      </c>
      <c r="M8349">
        <v>3.968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26</v>
      </c>
      <c r="I8350" t="s">
        <v>38</v>
      </c>
      <c r="J8350">
        <v>5.4320000000000004</v>
      </c>
      <c r="K8350">
        <v>2</v>
      </c>
      <c r="L8350">
        <v>0.8</v>
      </c>
      <c r="M8350">
        <v>-13.58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19</v>
      </c>
      <c r="I8351" t="s">
        <v>31</v>
      </c>
      <c r="J8351">
        <v>913.43</v>
      </c>
      <c r="K8351">
        <v>5</v>
      </c>
      <c r="L8351">
        <v>0.3</v>
      </c>
      <c r="M8351">
        <v>-169.637</v>
      </c>
    </row>
    <row r="8352" spans="1:13" x14ac:dyDescent="0.3">
      <c r="A8352" t="s">
        <v>13</v>
      </c>
      <c r="B8352" t="s">
        <v>14</v>
      </c>
      <c r="C8352" t="s">
        <v>15</v>
      </c>
      <c r="D8352" t="s">
        <v>321</v>
      </c>
      <c r="E8352" t="s">
        <v>46</v>
      </c>
      <c r="F8352">
        <v>79907</v>
      </c>
      <c r="G8352" t="s">
        <v>47</v>
      </c>
      <c r="H8352" t="s">
        <v>26</v>
      </c>
      <c r="I8352" t="s">
        <v>32</v>
      </c>
      <c r="J8352">
        <v>372.14400000000001</v>
      </c>
      <c r="K8352">
        <v>3</v>
      </c>
      <c r="L8352">
        <v>0.2</v>
      </c>
      <c r="M8352">
        <v>27.910799999999998</v>
      </c>
    </row>
    <row r="8353" spans="1:13" x14ac:dyDescent="0.3">
      <c r="A8353" t="s">
        <v>28</v>
      </c>
      <c r="B8353" t="s">
        <v>14</v>
      </c>
      <c r="C8353" t="s">
        <v>15</v>
      </c>
      <c r="D8353" t="s">
        <v>598</v>
      </c>
      <c r="E8353" t="s">
        <v>30</v>
      </c>
      <c r="F8353">
        <v>34741</v>
      </c>
      <c r="G8353" t="s">
        <v>18</v>
      </c>
      <c r="H8353" t="s">
        <v>35</v>
      </c>
      <c r="I8353" t="s">
        <v>36</v>
      </c>
      <c r="J8353">
        <v>751.98400000000004</v>
      </c>
      <c r="K8353">
        <v>2</v>
      </c>
      <c r="L8353">
        <v>0.2</v>
      </c>
      <c r="M8353">
        <v>84.598200000000006</v>
      </c>
    </row>
    <row r="8354" spans="1:13" x14ac:dyDescent="0.3">
      <c r="A8354" t="s">
        <v>62</v>
      </c>
      <c r="B8354" t="s">
        <v>44</v>
      </c>
      <c r="C8354" t="s">
        <v>15</v>
      </c>
      <c r="D8354" t="s">
        <v>42</v>
      </c>
      <c r="E8354" t="s">
        <v>43</v>
      </c>
      <c r="F8354">
        <v>98105</v>
      </c>
      <c r="G8354" t="s">
        <v>25</v>
      </c>
      <c r="H8354" t="s">
        <v>35</v>
      </c>
      <c r="I8354" t="s">
        <v>36</v>
      </c>
      <c r="J8354">
        <v>604.76800000000003</v>
      </c>
      <c r="K8354">
        <v>4</v>
      </c>
      <c r="L8354">
        <v>0.2</v>
      </c>
      <c r="M8354">
        <v>60.476799999999997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110</v>
      </c>
      <c r="J8355">
        <v>27.36</v>
      </c>
      <c r="K8355">
        <v>4</v>
      </c>
      <c r="L8355">
        <v>0</v>
      </c>
      <c r="M8355">
        <v>7.3872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41</v>
      </c>
      <c r="J8356">
        <v>20.56</v>
      </c>
      <c r="K8356">
        <v>2</v>
      </c>
      <c r="L8356">
        <v>0</v>
      </c>
      <c r="M8356">
        <v>9.6631999999999998</v>
      </c>
    </row>
    <row r="8357" spans="1:13" x14ac:dyDescent="0.3">
      <c r="A8357" t="s">
        <v>13</v>
      </c>
      <c r="B8357" t="s">
        <v>22</v>
      </c>
      <c r="C8357" t="s">
        <v>15</v>
      </c>
      <c r="D8357" t="s">
        <v>142</v>
      </c>
      <c r="E8357" t="s">
        <v>24</v>
      </c>
      <c r="F8357">
        <v>95051</v>
      </c>
      <c r="G8357" t="s">
        <v>25</v>
      </c>
      <c r="H8357" t="s">
        <v>26</v>
      </c>
      <c r="I8357" t="s">
        <v>37</v>
      </c>
      <c r="J8357">
        <v>83.92</v>
      </c>
      <c r="K8357">
        <v>5</v>
      </c>
      <c r="L8357">
        <v>0.2</v>
      </c>
      <c r="M8357">
        <v>31.47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23</v>
      </c>
      <c r="E8358" t="s">
        <v>24</v>
      </c>
      <c r="F8358">
        <v>90049</v>
      </c>
      <c r="G8358" t="s">
        <v>25</v>
      </c>
      <c r="H8358" t="s">
        <v>19</v>
      </c>
      <c r="I8358" t="s">
        <v>31</v>
      </c>
      <c r="J8358">
        <v>902.71199999999999</v>
      </c>
      <c r="K8358">
        <v>3</v>
      </c>
      <c r="L8358">
        <v>0.2</v>
      </c>
      <c r="M8358">
        <v>33.851700000000001</v>
      </c>
    </row>
    <row r="8359" spans="1:13" x14ac:dyDescent="0.3">
      <c r="A8359" t="s">
        <v>28</v>
      </c>
      <c r="B8359" t="s">
        <v>44</v>
      </c>
      <c r="C8359" t="s">
        <v>15</v>
      </c>
      <c r="D8359" t="s">
        <v>286</v>
      </c>
      <c r="E8359" t="s">
        <v>24</v>
      </c>
      <c r="F8359">
        <v>93727</v>
      </c>
      <c r="G8359" t="s">
        <v>25</v>
      </c>
      <c r="H8359" t="s">
        <v>19</v>
      </c>
      <c r="I8359" t="s">
        <v>20</v>
      </c>
      <c r="J8359">
        <v>120.666</v>
      </c>
      <c r="K8359">
        <v>2</v>
      </c>
      <c r="L8359">
        <v>0.15</v>
      </c>
      <c r="M8359">
        <v>21.294</v>
      </c>
    </row>
    <row r="8360" spans="1:13" x14ac:dyDescent="0.3">
      <c r="A8360" t="s">
        <v>62</v>
      </c>
      <c r="B8360" t="s">
        <v>14</v>
      </c>
      <c r="C8360" t="s">
        <v>15</v>
      </c>
      <c r="D8360" t="s">
        <v>45</v>
      </c>
      <c r="E8360" t="s">
        <v>46</v>
      </c>
      <c r="F8360">
        <v>76106</v>
      </c>
      <c r="G8360" t="s">
        <v>47</v>
      </c>
      <c r="H8360" t="s">
        <v>26</v>
      </c>
      <c r="I8360" t="s">
        <v>37</v>
      </c>
      <c r="J8360">
        <v>4.984</v>
      </c>
      <c r="K8360">
        <v>1</v>
      </c>
      <c r="L8360">
        <v>0.8</v>
      </c>
      <c r="M8360">
        <v>-8.4727999999999994</v>
      </c>
    </row>
    <row r="8361" spans="1:13" x14ac:dyDescent="0.3">
      <c r="A8361" t="s">
        <v>28</v>
      </c>
      <c r="B8361" t="s">
        <v>44</v>
      </c>
      <c r="C8361" t="s">
        <v>15</v>
      </c>
      <c r="D8361" t="s">
        <v>42</v>
      </c>
      <c r="E8361" t="s">
        <v>43</v>
      </c>
      <c r="F8361">
        <v>98105</v>
      </c>
      <c r="G8361" t="s">
        <v>25</v>
      </c>
      <c r="H8361" t="s">
        <v>19</v>
      </c>
      <c r="I8361" t="s">
        <v>33</v>
      </c>
      <c r="J8361">
        <v>82.26</v>
      </c>
      <c r="K8361">
        <v>3</v>
      </c>
      <c r="L8361">
        <v>0</v>
      </c>
      <c r="M8361">
        <v>33.726599999999998</v>
      </c>
    </row>
    <row r="8362" spans="1:13" x14ac:dyDescent="0.3">
      <c r="A8362" t="s">
        <v>62</v>
      </c>
      <c r="B8362" t="s">
        <v>14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32</v>
      </c>
      <c r="J8362">
        <v>29.74</v>
      </c>
      <c r="K8362">
        <v>1</v>
      </c>
      <c r="L8362">
        <v>0</v>
      </c>
      <c r="M8362">
        <v>4.4610000000000003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38</v>
      </c>
      <c r="J8363">
        <v>87.36</v>
      </c>
      <c r="K8363">
        <v>6</v>
      </c>
      <c r="L8363">
        <v>0</v>
      </c>
      <c r="M8363">
        <v>23.587199999999999</v>
      </c>
    </row>
    <row r="8364" spans="1:13" x14ac:dyDescent="0.3">
      <c r="A8364" t="s">
        <v>28</v>
      </c>
      <c r="B8364" t="s">
        <v>44</v>
      </c>
      <c r="C8364" t="s">
        <v>15</v>
      </c>
      <c r="D8364" t="s">
        <v>52</v>
      </c>
      <c r="E8364" t="s">
        <v>24</v>
      </c>
      <c r="F8364">
        <v>94110</v>
      </c>
      <c r="G8364" t="s">
        <v>25</v>
      </c>
      <c r="H8364" t="s">
        <v>26</v>
      </c>
      <c r="I8364" t="s">
        <v>37</v>
      </c>
      <c r="J8364">
        <v>56.16</v>
      </c>
      <c r="K8364">
        <v>6</v>
      </c>
      <c r="L8364">
        <v>0.2</v>
      </c>
      <c r="M8364">
        <v>17.55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419</v>
      </c>
      <c r="E8365" t="s">
        <v>30</v>
      </c>
      <c r="F8365">
        <v>33068</v>
      </c>
      <c r="G8365" t="s">
        <v>18</v>
      </c>
      <c r="H8365" t="s">
        <v>26</v>
      </c>
      <c r="I8365" t="s">
        <v>38</v>
      </c>
      <c r="J8365">
        <v>64.384</v>
      </c>
      <c r="K8365">
        <v>1</v>
      </c>
      <c r="L8365">
        <v>0.2</v>
      </c>
      <c r="M8365">
        <v>8.048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32</v>
      </c>
      <c r="J8366">
        <v>64.784000000000006</v>
      </c>
      <c r="K8366">
        <v>1</v>
      </c>
      <c r="L8366">
        <v>0.2</v>
      </c>
      <c r="M8366">
        <v>-14.5764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41</v>
      </c>
      <c r="J8367">
        <v>15.552</v>
      </c>
      <c r="K8367">
        <v>3</v>
      </c>
      <c r="L8367">
        <v>0.2</v>
      </c>
      <c r="M8367">
        <v>5.6375999999999999</v>
      </c>
    </row>
    <row r="8368" spans="1:13" x14ac:dyDescent="0.3">
      <c r="A8368" t="s">
        <v>28</v>
      </c>
      <c r="B8368" t="s">
        <v>22</v>
      </c>
      <c r="C8368" t="s">
        <v>15</v>
      </c>
      <c r="D8368" t="s">
        <v>61</v>
      </c>
      <c r="E8368" t="s">
        <v>46</v>
      </c>
      <c r="F8368">
        <v>77095</v>
      </c>
      <c r="G8368" t="s">
        <v>47</v>
      </c>
      <c r="H8368" t="s">
        <v>26</v>
      </c>
      <c r="I8368" t="s">
        <v>60</v>
      </c>
      <c r="J8368">
        <v>223.88800000000001</v>
      </c>
      <c r="K8368">
        <v>7</v>
      </c>
      <c r="L8368">
        <v>0.2</v>
      </c>
      <c r="M8368">
        <v>69.965000000000003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79</v>
      </c>
      <c r="E8369" t="s">
        <v>65</v>
      </c>
      <c r="F8369">
        <v>60653</v>
      </c>
      <c r="G8369" t="s">
        <v>47</v>
      </c>
      <c r="H8369" t="s">
        <v>26</v>
      </c>
      <c r="I8369" t="s">
        <v>41</v>
      </c>
      <c r="J8369">
        <v>10.896000000000001</v>
      </c>
      <c r="K8369">
        <v>3</v>
      </c>
      <c r="L8369">
        <v>0.2</v>
      </c>
      <c r="M8369">
        <v>3.4049999999999998</v>
      </c>
    </row>
    <row r="8370" spans="1:13" x14ac:dyDescent="0.3">
      <c r="A8370" t="s">
        <v>13</v>
      </c>
      <c r="B8370" t="s">
        <v>14</v>
      </c>
      <c r="C8370" t="s">
        <v>15</v>
      </c>
      <c r="D8370" t="s">
        <v>52</v>
      </c>
      <c r="E8370" t="s">
        <v>24</v>
      </c>
      <c r="F8370">
        <v>94109</v>
      </c>
      <c r="G8370" t="s">
        <v>25</v>
      </c>
      <c r="H8370" t="s">
        <v>35</v>
      </c>
      <c r="I8370" t="s">
        <v>36</v>
      </c>
      <c r="J8370">
        <v>84.784000000000006</v>
      </c>
      <c r="K8370">
        <v>2</v>
      </c>
      <c r="L8370">
        <v>0.2</v>
      </c>
      <c r="M8370">
        <v>-20.136199999999999</v>
      </c>
    </row>
    <row r="8371" spans="1:13" x14ac:dyDescent="0.3">
      <c r="A8371" t="s">
        <v>28</v>
      </c>
      <c r="B8371" t="s">
        <v>22</v>
      </c>
      <c r="C8371" t="s">
        <v>15</v>
      </c>
      <c r="D8371" t="s">
        <v>61</v>
      </c>
      <c r="E8371" t="s">
        <v>46</v>
      </c>
      <c r="F8371">
        <v>77036</v>
      </c>
      <c r="G8371" t="s">
        <v>47</v>
      </c>
      <c r="H8371" t="s">
        <v>19</v>
      </c>
      <c r="I8371" t="s">
        <v>21</v>
      </c>
      <c r="J8371">
        <v>241.5</v>
      </c>
      <c r="K8371">
        <v>4</v>
      </c>
      <c r="L8371">
        <v>0.3</v>
      </c>
      <c r="M8371">
        <v>0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35</v>
      </c>
      <c r="I8372" t="s">
        <v>59</v>
      </c>
      <c r="J8372">
        <v>59.97</v>
      </c>
      <c r="K8372">
        <v>3</v>
      </c>
      <c r="L8372">
        <v>0</v>
      </c>
      <c r="M8372">
        <v>14.9925</v>
      </c>
    </row>
    <row r="8373" spans="1:13" x14ac:dyDescent="0.3">
      <c r="A8373" t="s">
        <v>62</v>
      </c>
      <c r="B8373" t="s">
        <v>44</v>
      </c>
      <c r="C8373" t="s">
        <v>15</v>
      </c>
      <c r="D8373" t="s">
        <v>599</v>
      </c>
      <c r="E8373" t="s">
        <v>127</v>
      </c>
      <c r="F8373">
        <v>6484</v>
      </c>
      <c r="G8373" t="s">
        <v>57</v>
      </c>
      <c r="H8373" t="s">
        <v>26</v>
      </c>
      <c r="I8373" t="s">
        <v>41</v>
      </c>
      <c r="J8373">
        <v>13.36</v>
      </c>
      <c r="K8373">
        <v>2</v>
      </c>
      <c r="L8373">
        <v>0</v>
      </c>
      <c r="M8373">
        <v>6.4127999999999998</v>
      </c>
    </row>
    <row r="8374" spans="1:13" x14ac:dyDescent="0.3">
      <c r="A8374" t="s">
        <v>28</v>
      </c>
      <c r="B8374" t="s">
        <v>22</v>
      </c>
      <c r="C8374" t="s">
        <v>15</v>
      </c>
      <c r="D8374" t="s">
        <v>267</v>
      </c>
      <c r="E8374" t="s">
        <v>24</v>
      </c>
      <c r="F8374">
        <v>94601</v>
      </c>
      <c r="G8374" t="s">
        <v>25</v>
      </c>
      <c r="H8374" t="s">
        <v>26</v>
      </c>
      <c r="I8374" t="s">
        <v>37</v>
      </c>
      <c r="J8374">
        <v>11.808</v>
      </c>
      <c r="K8374">
        <v>3</v>
      </c>
      <c r="L8374">
        <v>0.2</v>
      </c>
      <c r="M8374">
        <v>4.1327999999999996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16.239999999999998</v>
      </c>
      <c r="K8375">
        <v>1</v>
      </c>
      <c r="L8375">
        <v>0</v>
      </c>
      <c r="M8375">
        <v>2.4359999999999999</v>
      </c>
    </row>
    <row r="8376" spans="1:13" x14ac:dyDescent="0.3">
      <c r="A8376" t="s">
        <v>28</v>
      </c>
      <c r="B8376" t="s">
        <v>14</v>
      </c>
      <c r="C8376" t="s">
        <v>15</v>
      </c>
      <c r="D8376" t="s">
        <v>169</v>
      </c>
      <c r="E8376" t="s">
        <v>127</v>
      </c>
      <c r="F8376">
        <v>6040</v>
      </c>
      <c r="G8376" t="s">
        <v>57</v>
      </c>
      <c r="H8376" t="s">
        <v>26</v>
      </c>
      <c r="I8376" t="s">
        <v>32</v>
      </c>
      <c r="J8376">
        <v>77.55</v>
      </c>
      <c r="K8376">
        <v>5</v>
      </c>
      <c r="L8376">
        <v>0</v>
      </c>
      <c r="M8376">
        <v>21.713999999999999</v>
      </c>
    </row>
    <row r="8377" spans="1:13" x14ac:dyDescent="0.3">
      <c r="A8377" t="s">
        <v>28</v>
      </c>
      <c r="B8377" t="s">
        <v>22</v>
      </c>
      <c r="C8377" t="s">
        <v>15</v>
      </c>
      <c r="D8377" t="s">
        <v>423</v>
      </c>
      <c r="E8377" t="s">
        <v>132</v>
      </c>
      <c r="F8377">
        <v>7050</v>
      </c>
      <c r="G8377" t="s">
        <v>57</v>
      </c>
      <c r="H8377" t="s">
        <v>26</v>
      </c>
      <c r="I8377" t="s">
        <v>38</v>
      </c>
      <c r="J8377">
        <v>76.12</v>
      </c>
      <c r="K8377">
        <v>2</v>
      </c>
      <c r="L8377">
        <v>0</v>
      </c>
      <c r="M8377">
        <v>22.0748</v>
      </c>
    </row>
    <row r="8378" spans="1:13" x14ac:dyDescent="0.3">
      <c r="A8378" t="s">
        <v>62</v>
      </c>
      <c r="B8378" t="s">
        <v>44</v>
      </c>
      <c r="C8378" t="s">
        <v>15</v>
      </c>
      <c r="D8378" t="s">
        <v>133</v>
      </c>
      <c r="E8378" t="s">
        <v>104</v>
      </c>
      <c r="F8378">
        <v>44312</v>
      </c>
      <c r="G8378" t="s">
        <v>57</v>
      </c>
      <c r="H8378" t="s">
        <v>26</v>
      </c>
      <c r="I8378" t="s">
        <v>77</v>
      </c>
      <c r="J8378">
        <v>17.184000000000001</v>
      </c>
      <c r="K8378">
        <v>6</v>
      </c>
      <c r="L8378">
        <v>0.2</v>
      </c>
      <c r="M8378">
        <v>6.2291999999999996</v>
      </c>
    </row>
    <row r="8379" spans="1:13" x14ac:dyDescent="0.3">
      <c r="A8379" t="s">
        <v>62</v>
      </c>
      <c r="B8379" t="s">
        <v>22</v>
      </c>
      <c r="C8379" t="s">
        <v>15</v>
      </c>
      <c r="D8379" t="s">
        <v>23</v>
      </c>
      <c r="E8379" t="s">
        <v>24</v>
      </c>
      <c r="F8379">
        <v>90032</v>
      </c>
      <c r="G8379" t="s">
        <v>25</v>
      </c>
      <c r="H8379" t="s">
        <v>26</v>
      </c>
      <c r="I8379" t="s">
        <v>41</v>
      </c>
      <c r="J8379">
        <v>11.76</v>
      </c>
      <c r="K8379">
        <v>2</v>
      </c>
      <c r="L8379">
        <v>0</v>
      </c>
      <c r="M8379">
        <v>5.7624000000000004</v>
      </c>
    </row>
    <row r="8380" spans="1:13" x14ac:dyDescent="0.3">
      <c r="A8380" t="s">
        <v>28</v>
      </c>
      <c r="B8380" t="s">
        <v>44</v>
      </c>
      <c r="C8380" t="s">
        <v>15</v>
      </c>
      <c r="D8380" t="s">
        <v>600</v>
      </c>
      <c r="E8380" t="s">
        <v>127</v>
      </c>
      <c r="F8380">
        <v>6810</v>
      </c>
      <c r="G8380" t="s">
        <v>57</v>
      </c>
      <c r="H8380" t="s">
        <v>19</v>
      </c>
      <c r="I8380" t="s">
        <v>33</v>
      </c>
      <c r="J8380">
        <v>27.46</v>
      </c>
      <c r="K8380">
        <v>2</v>
      </c>
      <c r="L8380">
        <v>0</v>
      </c>
      <c r="M8380">
        <v>9.8856000000000002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35</v>
      </c>
      <c r="I8381" t="s">
        <v>36</v>
      </c>
      <c r="J8381">
        <v>137.94</v>
      </c>
      <c r="K8381">
        <v>3</v>
      </c>
      <c r="L8381">
        <v>0</v>
      </c>
      <c r="M8381">
        <v>35.864400000000003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19</v>
      </c>
      <c r="I8382" t="s">
        <v>33</v>
      </c>
      <c r="J8382">
        <v>111.15</v>
      </c>
      <c r="K8382">
        <v>5</v>
      </c>
      <c r="L8382">
        <v>0</v>
      </c>
      <c r="M8382">
        <v>48.905999999999999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26</v>
      </c>
      <c r="I8383" t="s">
        <v>38</v>
      </c>
      <c r="J8383">
        <v>901.95</v>
      </c>
      <c r="K8383">
        <v>3</v>
      </c>
      <c r="L8383">
        <v>0</v>
      </c>
      <c r="M8383">
        <v>297.64350000000002</v>
      </c>
    </row>
    <row r="8384" spans="1:13" x14ac:dyDescent="0.3">
      <c r="A8384" t="s">
        <v>13</v>
      </c>
      <c r="B8384" t="s">
        <v>14</v>
      </c>
      <c r="C8384" t="s">
        <v>15</v>
      </c>
      <c r="D8384" t="s">
        <v>115</v>
      </c>
      <c r="E8384" t="s">
        <v>166</v>
      </c>
      <c r="F8384">
        <v>2038</v>
      </c>
      <c r="G8384" t="s">
        <v>57</v>
      </c>
      <c r="H8384" t="s">
        <v>19</v>
      </c>
      <c r="I8384" t="s">
        <v>31</v>
      </c>
      <c r="J8384">
        <v>366.00900000000001</v>
      </c>
      <c r="K8384">
        <v>3</v>
      </c>
      <c r="L8384">
        <v>0.3</v>
      </c>
      <c r="M8384">
        <v>-47.058300000000003</v>
      </c>
    </row>
    <row r="8385" spans="1:13" x14ac:dyDescent="0.3">
      <c r="A8385" t="s">
        <v>168</v>
      </c>
      <c r="B8385" t="s">
        <v>14</v>
      </c>
      <c r="C8385" t="s">
        <v>15</v>
      </c>
      <c r="D8385" t="s">
        <v>106</v>
      </c>
      <c r="E8385" t="s">
        <v>40</v>
      </c>
      <c r="F8385">
        <v>28403</v>
      </c>
      <c r="G8385" t="s">
        <v>18</v>
      </c>
      <c r="H8385" t="s">
        <v>26</v>
      </c>
      <c r="I8385" t="s">
        <v>41</v>
      </c>
      <c r="J8385">
        <v>310.68799999999999</v>
      </c>
      <c r="K8385">
        <v>7</v>
      </c>
      <c r="L8385">
        <v>0.2</v>
      </c>
      <c r="M8385">
        <v>108.74079999999999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61</v>
      </c>
      <c r="E8386" t="s">
        <v>46</v>
      </c>
      <c r="F8386">
        <v>77095</v>
      </c>
      <c r="G8386" t="s">
        <v>47</v>
      </c>
      <c r="H8386" t="s">
        <v>26</v>
      </c>
      <c r="I8386" t="s">
        <v>37</v>
      </c>
      <c r="J8386">
        <v>7.68</v>
      </c>
      <c r="K8386">
        <v>5</v>
      </c>
      <c r="L8386">
        <v>0.8</v>
      </c>
      <c r="M8386">
        <v>-11.52</v>
      </c>
    </row>
    <row r="8387" spans="1:13" x14ac:dyDescent="0.3">
      <c r="A8387" t="s">
        <v>13</v>
      </c>
      <c r="B8387" t="s">
        <v>44</v>
      </c>
      <c r="C8387" t="s">
        <v>15</v>
      </c>
      <c r="D8387" t="s">
        <v>82</v>
      </c>
      <c r="E8387" t="s">
        <v>104</v>
      </c>
      <c r="F8387">
        <v>45503</v>
      </c>
      <c r="G8387" t="s">
        <v>57</v>
      </c>
      <c r="H8387" t="s">
        <v>19</v>
      </c>
      <c r="I8387" t="s">
        <v>21</v>
      </c>
      <c r="J8387">
        <v>155.37200000000001</v>
      </c>
      <c r="K8387">
        <v>2</v>
      </c>
      <c r="L8387">
        <v>0.3</v>
      </c>
      <c r="M8387">
        <v>-35.513599999999997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305</v>
      </c>
      <c r="E8388" t="s">
        <v>81</v>
      </c>
      <c r="F8388">
        <v>85301</v>
      </c>
      <c r="G8388" t="s">
        <v>25</v>
      </c>
      <c r="H8388" t="s">
        <v>26</v>
      </c>
      <c r="I8388" t="s">
        <v>32</v>
      </c>
      <c r="J8388">
        <v>10.744</v>
      </c>
      <c r="K8388">
        <v>1</v>
      </c>
      <c r="L8388">
        <v>0.2</v>
      </c>
      <c r="M8388">
        <v>0.80579999999999996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26</v>
      </c>
      <c r="I8389" t="s">
        <v>37</v>
      </c>
      <c r="J8389">
        <v>232.4</v>
      </c>
      <c r="K8389">
        <v>5</v>
      </c>
      <c r="L8389">
        <v>0.2</v>
      </c>
      <c r="M8389">
        <v>78.435000000000002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19</v>
      </c>
      <c r="I8390" t="s">
        <v>21</v>
      </c>
      <c r="J8390">
        <v>164.64599999999999</v>
      </c>
      <c r="K8390">
        <v>3</v>
      </c>
      <c r="L8390">
        <v>0.1</v>
      </c>
      <c r="M8390">
        <v>12.8058</v>
      </c>
    </row>
    <row r="8391" spans="1:13" x14ac:dyDescent="0.3">
      <c r="A8391" t="s">
        <v>13</v>
      </c>
      <c r="B8391" t="s">
        <v>14</v>
      </c>
      <c r="C8391" t="s">
        <v>15</v>
      </c>
      <c r="D8391" t="s">
        <v>75</v>
      </c>
      <c r="E8391" t="s">
        <v>76</v>
      </c>
      <c r="F8391">
        <v>10009</v>
      </c>
      <c r="G8391" t="s">
        <v>57</v>
      </c>
      <c r="H8391" t="s">
        <v>26</v>
      </c>
      <c r="I8391" t="s">
        <v>41</v>
      </c>
      <c r="J8391">
        <v>22.68</v>
      </c>
      <c r="K8391">
        <v>2</v>
      </c>
      <c r="L8391">
        <v>0</v>
      </c>
      <c r="M8391">
        <v>11.113200000000001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23</v>
      </c>
      <c r="E8392" t="s">
        <v>24</v>
      </c>
      <c r="F8392">
        <v>90036</v>
      </c>
      <c r="G8392" t="s">
        <v>25</v>
      </c>
      <c r="H8392" t="s">
        <v>26</v>
      </c>
      <c r="I8392" t="s">
        <v>41</v>
      </c>
      <c r="J8392">
        <v>105.52</v>
      </c>
      <c r="K8392">
        <v>4</v>
      </c>
      <c r="L8392">
        <v>0</v>
      </c>
      <c r="M8392">
        <v>48.539200000000001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19</v>
      </c>
      <c r="I8393" t="s">
        <v>33</v>
      </c>
      <c r="J8393">
        <v>83.92</v>
      </c>
      <c r="K8393">
        <v>4</v>
      </c>
      <c r="L8393">
        <v>0</v>
      </c>
      <c r="M8393">
        <v>5.8743999999999996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35</v>
      </c>
      <c r="I8394" t="s">
        <v>59</v>
      </c>
      <c r="J8394">
        <v>141.9</v>
      </c>
      <c r="K8394">
        <v>5</v>
      </c>
      <c r="L8394">
        <v>0</v>
      </c>
      <c r="M8394">
        <v>58.179000000000002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19</v>
      </c>
      <c r="I8395" t="s">
        <v>33</v>
      </c>
      <c r="J8395">
        <v>39.979999999999997</v>
      </c>
      <c r="K8395">
        <v>2</v>
      </c>
      <c r="L8395">
        <v>0</v>
      </c>
      <c r="M8395">
        <v>9.1953999999999994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28.91</v>
      </c>
      <c r="K8396">
        <v>7</v>
      </c>
      <c r="L8396">
        <v>0</v>
      </c>
      <c r="M8396">
        <v>8.673</v>
      </c>
    </row>
    <row r="8397" spans="1:13" x14ac:dyDescent="0.3">
      <c r="A8397" t="s">
        <v>28</v>
      </c>
      <c r="B8397" t="s">
        <v>22</v>
      </c>
      <c r="C8397" t="s">
        <v>15</v>
      </c>
      <c r="D8397" t="s">
        <v>114</v>
      </c>
      <c r="E8397" t="s">
        <v>72</v>
      </c>
      <c r="F8397">
        <v>19711</v>
      </c>
      <c r="G8397" t="s">
        <v>57</v>
      </c>
      <c r="H8397" t="s">
        <v>26</v>
      </c>
      <c r="I8397" t="s">
        <v>34</v>
      </c>
      <c r="J8397">
        <v>174.95</v>
      </c>
      <c r="K8397">
        <v>5</v>
      </c>
      <c r="L8397">
        <v>0</v>
      </c>
      <c r="M8397">
        <v>45.487000000000002</v>
      </c>
    </row>
    <row r="8398" spans="1:13" x14ac:dyDescent="0.3">
      <c r="A8398" t="s">
        <v>28</v>
      </c>
      <c r="B8398" t="s">
        <v>44</v>
      </c>
      <c r="C8398" t="s">
        <v>15</v>
      </c>
      <c r="D8398" t="s">
        <v>358</v>
      </c>
      <c r="E8398" t="s">
        <v>24</v>
      </c>
      <c r="F8398">
        <v>92404</v>
      </c>
      <c r="G8398" t="s">
        <v>25</v>
      </c>
      <c r="H8398" t="s">
        <v>26</v>
      </c>
      <c r="I8398" t="s">
        <v>37</v>
      </c>
      <c r="J8398">
        <v>110.52800000000001</v>
      </c>
      <c r="K8398">
        <v>4</v>
      </c>
      <c r="L8398">
        <v>0.2</v>
      </c>
      <c r="M8398">
        <v>38.684800000000003</v>
      </c>
    </row>
    <row r="8399" spans="1:13" x14ac:dyDescent="0.3">
      <c r="A8399" t="s">
        <v>168</v>
      </c>
      <c r="B8399" t="s">
        <v>22</v>
      </c>
      <c r="C8399" t="s">
        <v>15</v>
      </c>
      <c r="D8399" t="s">
        <v>223</v>
      </c>
      <c r="E8399" t="s">
        <v>40</v>
      </c>
      <c r="F8399">
        <v>27217</v>
      </c>
      <c r="G8399" t="s">
        <v>18</v>
      </c>
      <c r="H8399" t="s">
        <v>19</v>
      </c>
      <c r="I8399" t="s">
        <v>31</v>
      </c>
      <c r="J8399">
        <v>630.024</v>
      </c>
      <c r="K8399">
        <v>4</v>
      </c>
      <c r="L8399">
        <v>0.4</v>
      </c>
      <c r="M8399">
        <v>-199.5076</v>
      </c>
    </row>
    <row r="8400" spans="1:13" x14ac:dyDescent="0.3">
      <c r="A8400" t="s">
        <v>13</v>
      </c>
      <c r="B8400" t="s">
        <v>14</v>
      </c>
      <c r="C8400" t="s">
        <v>15</v>
      </c>
      <c r="D8400" t="s">
        <v>210</v>
      </c>
      <c r="E8400" t="s">
        <v>83</v>
      </c>
      <c r="F8400">
        <v>24153</v>
      </c>
      <c r="G8400" t="s">
        <v>18</v>
      </c>
      <c r="H8400" t="s">
        <v>26</v>
      </c>
      <c r="I8400" t="s">
        <v>34</v>
      </c>
      <c r="J8400">
        <v>27.86</v>
      </c>
      <c r="K8400">
        <v>7</v>
      </c>
      <c r="L8400">
        <v>0</v>
      </c>
      <c r="M8400">
        <v>9.1937999999999995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135</v>
      </c>
      <c r="E8401" t="s">
        <v>46</v>
      </c>
      <c r="F8401">
        <v>75217</v>
      </c>
      <c r="G8401" t="s">
        <v>47</v>
      </c>
      <c r="H8401" t="s">
        <v>19</v>
      </c>
      <c r="I8401" t="s">
        <v>31</v>
      </c>
      <c r="J8401">
        <v>933.40800000000002</v>
      </c>
      <c r="K8401">
        <v>4</v>
      </c>
      <c r="L8401">
        <v>0.3</v>
      </c>
      <c r="M8401">
        <v>-173.34719999999999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26</v>
      </c>
      <c r="I8402" t="s">
        <v>41</v>
      </c>
      <c r="J8402">
        <v>51.84</v>
      </c>
      <c r="K8402">
        <v>10</v>
      </c>
      <c r="L8402">
        <v>0.2</v>
      </c>
      <c r="M8402">
        <v>18.143999999999998</v>
      </c>
    </row>
    <row r="8403" spans="1:13" x14ac:dyDescent="0.3">
      <c r="A8403" t="s">
        <v>28</v>
      </c>
      <c r="B8403" t="s">
        <v>22</v>
      </c>
      <c r="C8403" t="s">
        <v>15</v>
      </c>
      <c r="D8403" t="s">
        <v>155</v>
      </c>
      <c r="E8403" t="s">
        <v>46</v>
      </c>
      <c r="F8403">
        <v>76017</v>
      </c>
      <c r="G8403" t="s">
        <v>47</v>
      </c>
      <c r="H8403" t="s">
        <v>35</v>
      </c>
      <c r="I8403" t="s">
        <v>59</v>
      </c>
      <c r="J8403">
        <v>165.6</v>
      </c>
      <c r="K8403">
        <v>3</v>
      </c>
      <c r="L8403">
        <v>0.2</v>
      </c>
      <c r="M8403">
        <v>-6.21</v>
      </c>
    </row>
    <row r="8404" spans="1:13" x14ac:dyDescent="0.3">
      <c r="A8404" t="s">
        <v>28</v>
      </c>
      <c r="B8404" t="s">
        <v>44</v>
      </c>
      <c r="C8404" t="s">
        <v>15</v>
      </c>
      <c r="D8404" t="s">
        <v>378</v>
      </c>
      <c r="E8404" t="s">
        <v>102</v>
      </c>
      <c r="F8404">
        <v>52302</v>
      </c>
      <c r="G8404" t="s">
        <v>47</v>
      </c>
      <c r="H8404" t="s">
        <v>26</v>
      </c>
      <c r="I8404" t="s">
        <v>41</v>
      </c>
      <c r="J8404">
        <v>106.32</v>
      </c>
      <c r="K8404">
        <v>3</v>
      </c>
      <c r="L8404">
        <v>0</v>
      </c>
      <c r="M8404">
        <v>49.970399999999998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37</v>
      </c>
      <c r="J8405">
        <v>147.91999999999999</v>
      </c>
      <c r="K8405">
        <v>5</v>
      </c>
      <c r="L8405">
        <v>0.2</v>
      </c>
      <c r="M8405">
        <v>46.225000000000001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26</v>
      </c>
      <c r="I8406" t="s">
        <v>32</v>
      </c>
      <c r="J8406">
        <v>104.28</v>
      </c>
      <c r="K8406">
        <v>3</v>
      </c>
      <c r="L8406">
        <v>0</v>
      </c>
      <c r="M8406">
        <v>26.07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19</v>
      </c>
      <c r="I8407" t="s">
        <v>31</v>
      </c>
      <c r="J8407">
        <v>286.85000000000002</v>
      </c>
      <c r="K8407">
        <v>1</v>
      </c>
      <c r="L8407">
        <v>0</v>
      </c>
      <c r="M8407">
        <v>63.106999999999999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26</v>
      </c>
      <c r="I8408" t="s">
        <v>32</v>
      </c>
      <c r="J8408">
        <v>66.959999999999994</v>
      </c>
      <c r="K8408">
        <v>4</v>
      </c>
      <c r="L8408">
        <v>0</v>
      </c>
      <c r="M8408">
        <v>2.6783999999999999</v>
      </c>
    </row>
    <row r="8409" spans="1:13" x14ac:dyDescent="0.3">
      <c r="A8409" t="s">
        <v>62</v>
      </c>
      <c r="B8409" t="s">
        <v>44</v>
      </c>
      <c r="C8409" t="s">
        <v>15</v>
      </c>
      <c r="D8409" t="s">
        <v>42</v>
      </c>
      <c r="E8409" t="s">
        <v>43</v>
      </c>
      <c r="F8409">
        <v>98105</v>
      </c>
      <c r="G8409" t="s">
        <v>25</v>
      </c>
      <c r="H8409" t="s">
        <v>35</v>
      </c>
      <c r="I8409" t="s">
        <v>59</v>
      </c>
      <c r="J8409">
        <v>199.98</v>
      </c>
      <c r="K8409">
        <v>2</v>
      </c>
      <c r="L8409">
        <v>0</v>
      </c>
      <c r="M8409">
        <v>87.991200000000006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35</v>
      </c>
      <c r="I8410" t="s">
        <v>59</v>
      </c>
      <c r="J8410">
        <v>45</v>
      </c>
      <c r="K8410">
        <v>3</v>
      </c>
      <c r="L8410">
        <v>0</v>
      </c>
      <c r="M8410">
        <v>4.95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26</v>
      </c>
      <c r="I8411" t="s">
        <v>77</v>
      </c>
      <c r="J8411">
        <v>17.899999999999999</v>
      </c>
      <c r="K8411">
        <v>5</v>
      </c>
      <c r="L8411">
        <v>0</v>
      </c>
      <c r="M8411">
        <v>8.7710000000000008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33</v>
      </c>
      <c r="J8412">
        <v>40.479999999999997</v>
      </c>
      <c r="K8412">
        <v>2</v>
      </c>
      <c r="L8412">
        <v>0</v>
      </c>
      <c r="M8412">
        <v>17.406400000000001</v>
      </c>
    </row>
    <row r="8413" spans="1:13" x14ac:dyDescent="0.3">
      <c r="A8413" t="s">
        <v>28</v>
      </c>
      <c r="B8413" t="s">
        <v>14</v>
      </c>
      <c r="C8413" t="s">
        <v>15</v>
      </c>
      <c r="D8413" t="s">
        <v>154</v>
      </c>
      <c r="E8413" t="s">
        <v>132</v>
      </c>
      <c r="F8413">
        <v>8701</v>
      </c>
      <c r="G8413" t="s">
        <v>57</v>
      </c>
      <c r="H8413" t="s">
        <v>19</v>
      </c>
      <c r="I8413" t="s">
        <v>20</v>
      </c>
      <c r="J8413">
        <v>2154.9</v>
      </c>
      <c r="K8413">
        <v>5</v>
      </c>
      <c r="L8413">
        <v>0</v>
      </c>
      <c r="M8413">
        <v>129.29400000000001</v>
      </c>
    </row>
    <row r="8414" spans="1:13" x14ac:dyDescent="0.3">
      <c r="A8414" t="s">
        <v>62</v>
      </c>
      <c r="B8414" t="s">
        <v>22</v>
      </c>
      <c r="C8414" t="s">
        <v>15</v>
      </c>
      <c r="D8414" t="s">
        <v>148</v>
      </c>
      <c r="E8414" t="s">
        <v>104</v>
      </c>
      <c r="F8414">
        <v>45231</v>
      </c>
      <c r="G8414" t="s">
        <v>57</v>
      </c>
      <c r="H8414" t="s">
        <v>26</v>
      </c>
      <c r="I8414" t="s">
        <v>37</v>
      </c>
      <c r="J8414">
        <v>18.431999999999999</v>
      </c>
      <c r="K8414">
        <v>8</v>
      </c>
      <c r="L8414">
        <v>0.7</v>
      </c>
      <c r="M8414">
        <v>-12.288</v>
      </c>
    </row>
    <row r="8415" spans="1:13" x14ac:dyDescent="0.3">
      <c r="A8415" t="s">
        <v>28</v>
      </c>
      <c r="B8415" t="s">
        <v>14</v>
      </c>
      <c r="C8415" t="s">
        <v>15</v>
      </c>
      <c r="D8415" t="s">
        <v>467</v>
      </c>
      <c r="E8415" t="s">
        <v>98</v>
      </c>
      <c r="F8415">
        <v>80229</v>
      </c>
      <c r="G8415" t="s">
        <v>25</v>
      </c>
      <c r="H8415" t="s">
        <v>26</v>
      </c>
      <c r="I8415" t="s">
        <v>110</v>
      </c>
      <c r="J8415">
        <v>10.944000000000001</v>
      </c>
      <c r="K8415">
        <v>2</v>
      </c>
      <c r="L8415">
        <v>0.2</v>
      </c>
      <c r="M8415">
        <v>0.95760000000000001</v>
      </c>
    </row>
    <row r="8416" spans="1:13" x14ac:dyDescent="0.3">
      <c r="A8416" t="s">
        <v>62</v>
      </c>
      <c r="B8416" t="s">
        <v>14</v>
      </c>
      <c r="C8416" t="s">
        <v>15</v>
      </c>
      <c r="D8416" t="s">
        <v>109</v>
      </c>
      <c r="E8416" t="s">
        <v>70</v>
      </c>
      <c r="F8416">
        <v>48066</v>
      </c>
      <c r="G8416" t="s">
        <v>47</v>
      </c>
      <c r="H8416" t="s">
        <v>26</v>
      </c>
      <c r="I8416" t="s">
        <v>110</v>
      </c>
      <c r="J8416">
        <v>4.3600000000000003</v>
      </c>
      <c r="K8416">
        <v>2</v>
      </c>
      <c r="L8416">
        <v>0</v>
      </c>
      <c r="M8416">
        <v>0.1744</v>
      </c>
    </row>
    <row r="8417" spans="1:13" x14ac:dyDescent="0.3">
      <c r="A8417" t="s">
        <v>28</v>
      </c>
      <c r="B8417" t="s">
        <v>22</v>
      </c>
      <c r="C8417" t="s">
        <v>15</v>
      </c>
      <c r="D8417" t="s">
        <v>313</v>
      </c>
      <c r="E8417" t="s">
        <v>81</v>
      </c>
      <c r="F8417">
        <v>85281</v>
      </c>
      <c r="G8417" t="s">
        <v>25</v>
      </c>
      <c r="H8417" t="s">
        <v>35</v>
      </c>
      <c r="I8417" t="s">
        <v>59</v>
      </c>
      <c r="J8417">
        <v>62.351999999999997</v>
      </c>
      <c r="K8417">
        <v>6</v>
      </c>
      <c r="L8417">
        <v>0.2</v>
      </c>
      <c r="M8417">
        <v>-10.9116</v>
      </c>
    </row>
    <row r="8418" spans="1:13" x14ac:dyDescent="0.3">
      <c r="A8418" t="s">
        <v>13</v>
      </c>
      <c r="B8418" t="s">
        <v>14</v>
      </c>
      <c r="C8418" t="s">
        <v>15</v>
      </c>
      <c r="D8418" t="s">
        <v>351</v>
      </c>
      <c r="E8418" t="s">
        <v>56</v>
      </c>
      <c r="F8418">
        <v>19601</v>
      </c>
      <c r="G8418" t="s">
        <v>57</v>
      </c>
      <c r="H8418" t="s">
        <v>19</v>
      </c>
      <c r="I8418" t="s">
        <v>33</v>
      </c>
      <c r="J8418">
        <v>303.92</v>
      </c>
      <c r="K8418">
        <v>5</v>
      </c>
      <c r="L8418">
        <v>0.2</v>
      </c>
      <c r="M8418">
        <v>-30.391999999999999</v>
      </c>
    </row>
    <row r="8419" spans="1:13" x14ac:dyDescent="0.3">
      <c r="A8419" t="s">
        <v>28</v>
      </c>
      <c r="B8419" t="s">
        <v>14</v>
      </c>
      <c r="C8419" t="s">
        <v>15</v>
      </c>
      <c r="D8419" t="s">
        <v>428</v>
      </c>
      <c r="E8419" t="s">
        <v>68</v>
      </c>
      <c r="F8419">
        <v>55124</v>
      </c>
      <c r="G8419" t="s">
        <v>47</v>
      </c>
      <c r="H8419" t="s">
        <v>26</v>
      </c>
      <c r="I8419" t="s">
        <v>32</v>
      </c>
      <c r="J8419">
        <v>129.30000000000001</v>
      </c>
      <c r="K8419">
        <v>2</v>
      </c>
      <c r="L8419">
        <v>0</v>
      </c>
      <c r="M8419">
        <v>6.4649999999999999</v>
      </c>
    </row>
    <row r="8420" spans="1:13" x14ac:dyDescent="0.3">
      <c r="A8420" t="s">
        <v>28</v>
      </c>
      <c r="B8420" t="s">
        <v>22</v>
      </c>
      <c r="C8420" t="s">
        <v>15</v>
      </c>
      <c r="D8420" t="s">
        <v>333</v>
      </c>
      <c r="E8420" t="s">
        <v>248</v>
      </c>
      <c r="F8420">
        <v>21215</v>
      </c>
      <c r="G8420" t="s">
        <v>57</v>
      </c>
      <c r="H8420" t="s">
        <v>19</v>
      </c>
      <c r="I8420" t="s">
        <v>33</v>
      </c>
      <c r="J8420">
        <v>274.2</v>
      </c>
      <c r="K8420">
        <v>10</v>
      </c>
      <c r="L8420">
        <v>0</v>
      </c>
      <c r="M8420">
        <v>112.422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77</v>
      </c>
      <c r="J8421">
        <v>6.048</v>
      </c>
      <c r="K8421">
        <v>4</v>
      </c>
      <c r="L8421">
        <v>0.2</v>
      </c>
      <c r="M8421">
        <v>-1.3608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26</v>
      </c>
      <c r="I8422" t="s">
        <v>41</v>
      </c>
      <c r="J8422">
        <v>6.8479999999999999</v>
      </c>
      <c r="K8422">
        <v>2</v>
      </c>
      <c r="L8422">
        <v>0.2</v>
      </c>
      <c r="M8422">
        <v>2.14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19</v>
      </c>
      <c r="I8423" t="s">
        <v>33</v>
      </c>
      <c r="J8423">
        <v>9.9600000000000009</v>
      </c>
      <c r="K8423">
        <v>5</v>
      </c>
      <c r="L8423">
        <v>0.6</v>
      </c>
      <c r="M8423">
        <v>-6.7229999999999999</v>
      </c>
    </row>
    <row r="8424" spans="1:13" x14ac:dyDescent="0.3">
      <c r="A8424" t="s">
        <v>13</v>
      </c>
      <c r="B8424" t="s">
        <v>22</v>
      </c>
      <c r="C8424" t="s">
        <v>15</v>
      </c>
      <c r="D8424" t="s">
        <v>420</v>
      </c>
      <c r="E8424" t="s">
        <v>46</v>
      </c>
      <c r="F8424">
        <v>78415</v>
      </c>
      <c r="G8424" t="s">
        <v>47</v>
      </c>
      <c r="H8424" t="s">
        <v>26</v>
      </c>
      <c r="I8424" t="s">
        <v>37</v>
      </c>
      <c r="J8424">
        <v>8.5519999999999996</v>
      </c>
      <c r="K8424">
        <v>2</v>
      </c>
      <c r="L8424">
        <v>0.8</v>
      </c>
      <c r="M8424">
        <v>-13.683199999999999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176</v>
      </c>
      <c r="E8425" t="s">
        <v>177</v>
      </c>
      <c r="F8425">
        <v>89115</v>
      </c>
      <c r="G8425" t="s">
        <v>25</v>
      </c>
      <c r="H8425" t="s">
        <v>26</v>
      </c>
      <c r="I8425" t="s">
        <v>37</v>
      </c>
      <c r="J8425">
        <v>45.584000000000003</v>
      </c>
      <c r="K8425">
        <v>11</v>
      </c>
      <c r="L8425">
        <v>0.2</v>
      </c>
      <c r="M8425">
        <v>16.5242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221</v>
      </c>
      <c r="E8426" t="s">
        <v>104</v>
      </c>
      <c r="F8426">
        <v>44105</v>
      </c>
      <c r="G8426" t="s">
        <v>57</v>
      </c>
      <c r="H8426" t="s">
        <v>35</v>
      </c>
      <c r="I8426" t="s">
        <v>59</v>
      </c>
      <c r="J8426">
        <v>25.488</v>
      </c>
      <c r="K8426">
        <v>2</v>
      </c>
      <c r="L8426">
        <v>0.2</v>
      </c>
      <c r="M8426">
        <v>4.4603999999999999</v>
      </c>
    </row>
    <row r="8427" spans="1:13" x14ac:dyDescent="0.3">
      <c r="A8427" t="s">
        <v>28</v>
      </c>
      <c r="B8427" t="s">
        <v>14</v>
      </c>
      <c r="C8427" t="s">
        <v>15</v>
      </c>
      <c r="D8427" t="s">
        <v>42</v>
      </c>
      <c r="E8427" t="s">
        <v>43</v>
      </c>
      <c r="F8427">
        <v>98105</v>
      </c>
      <c r="G8427" t="s">
        <v>25</v>
      </c>
      <c r="H8427" t="s">
        <v>26</v>
      </c>
      <c r="I8427" t="s">
        <v>37</v>
      </c>
      <c r="J8427">
        <v>136.96</v>
      </c>
      <c r="K8427">
        <v>4</v>
      </c>
      <c r="L8427">
        <v>0.2</v>
      </c>
      <c r="M8427">
        <v>51.36</v>
      </c>
    </row>
    <row r="8428" spans="1:13" x14ac:dyDescent="0.3">
      <c r="A8428" t="s">
        <v>13</v>
      </c>
      <c r="B8428" t="s">
        <v>22</v>
      </c>
      <c r="C8428" t="s">
        <v>15</v>
      </c>
      <c r="D8428" t="s">
        <v>79</v>
      </c>
      <c r="E8428" t="s">
        <v>65</v>
      </c>
      <c r="F8428">
        <v>60623</v>
      </c>
      <c r="G8428" t="s">
        <v>47</v>
      </c>
      <c r="H8428" t="s">
        <v>35</v>
      </c>
      <c r="I8428" t="s">
        <v>36</v>
      </c>
      <c r="J8428">
        <v>49.616</v>
      </c>
      <c r="K8428">
        <v>2</v>
      </c>
      <c r="L8428">
        <v>0.2</v>
      </c>
      <c r="M8428">
        <v>4.9615999999999998</v>
      </c>
    </row>
    <row r="8429" spans="1:13" x14ac:dyDescent="0.3">
      <c r="A8429" t="s">
        <v>13</v>
      </c>
      <c r="B8429" t="s">
        <v>44</v>
      </c>
      <c r="C8429" t="s">
        <v>15</v>
      </c>
      <c r="D8429" t="s">
        <v>103</v>
      </c>
      <c r="E8429" t="s">
        <v>104</v>
      </c>
      <c r="F8429">
        <v>43229</v>
      </c>
      <c r="G8429" t="s">
        <v>57</v>
      </c>
      <c r="H8429" t="s">
        <v>26</v>
      </c>
      <c r="I8429" t="s">
        <v>41</v>
      </c>
      <c r="J8429">
        <v>10.584</v>
      </c>
      <c r="K8429">
        <v>3</v>
      </c>
      <c r="L8429">
        <v>0.2</v>
      </c>
      <c r="M8429">
        <v>3.4398</v>
      </c>
    </row>
    <row r="8430" spans="1:13" x14ac:dyDescent="0.3">
      <c r="A8430" t="s">
        <v>28</v>
      </c>
      <c r="B8430" t="s">
        <v>14</v>
      </c>
      <c r="C8430" t="s">
        <v>15</v>
      </c>
      <c r="D8430" t="s">
        <v>171</v>
      </c>
      <c r="E8430" t="s">
        <v>81</v>
      </c>
      <c r="F8430">
        <v>85705</v>
      </c>
      <c r="G8430" t="s">
        <v>25</v>
      </c>
      <c r="H8430" t="s">
        <v>26</v>
      </c>
      <c r="I8430" t="s">
        <v>41</v>
      </c>
      <c r="J8430">
        <v>84.415999999999997</v>
      </c>
      <c r="K8430">
        <v>4</v>
      </c>
      <c r="L8430">
        <v>0.2</v>
      </c>
      <c r="M8430">
        <v>27.435199999999998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35</v>
      </c>
      <c r="I8431" t="s">
        <v>36</v>
      </c>
      <c r="J8431">
        <v>431.94</v>
      </c>
      <c r="K8431">
        <v>2</v>
      </c>
      <c r="L8431">
        <v>0.4</v>
      </c>
      <c r="M8431">
        <v>-71.989999999999995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26</v>
      </c>
      <c r="I8432" t="s">
        <v>37</v>
      </c>
      <c r="J8432">
        <v>2.0430000000000001</v>
      </c>
      <c r="K8432">
        <v>1</v>
      </c>
      <c r="L8432">
        <v>0.7</v>
      </c>
      <c r="M8432">
        <v>-1.4982</v>
      </c>
    </row>
    <row r="8433" spans="1:13" x14ac:dyDescent="0.3">
      <c r="A8433" t="s">
        <v>28</v>
      </c>
      <c r="B8433" t="s">
        <v>44</v>
      </c>
      <c r="C8433" t="s">
        <v>15</v>
      </c>
      <c r="D8433" t="s">
        <v>55</v>
      </c>
      <c r="E8433" t="s">
        <v>56</v>
      </c>
      <c r="F8433">
        <v>19120</v>
      </c>
      <c r="G8433" t="s">
        <v>57</v>
      </c>
      <c r="H8433" t="s">
        <v>35</v>
      </c>
      <c r="I8433" t="s">
        <v>36</v>
      </c>
      <c r="J8433">
        <v>68.238</v>
      </c>
      <c r="K8433">
        <v>3</v>
      </c>
      <c r="L8433">
        <v>0.4</v>
      </c>
      <c r="M8433">
        <v>-12.510300000000001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31</v>
      </c>
      <c r="J8434">
        <v>240.744</v>
      </c>
      <c r="K8434">
        <v>4</v>
      </c>
      <c r="L8434">
        <v>0.3</v>
      </c>
      <c r="M8434">
        <v>-13.7568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35</v>
      </c>
      <c r="K8435">
        <v>4</v>
      </c>
      <c r="L8435">
        <v>0</v>
      </c>
      <c r="M8435">
        <v>14.7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33</v>
      </c>
      <c r="J8436">
        <v>210.68</v>
      </c>
      <c r="K8436">
        <v>2</v>
      </c>
      <c r="L8436">
        <v>0</v>
      </c>
      <c r="M8436">
        <v>50.563200000000002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19</v>
      </c>
      <c r="I8437" t="s">
        <v>31</v>
      </c>
      <c r="J8437">
        <v>637.89599999999996</v>
      </c>
      <c r="K8437">
        <v>3</v>
      </c>
      <c r="L8437">
        <v>0.3</v>
      </c>
      <c r="M8437">
        <v>-127.5792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41</v>
      </c>
      <c r="J8438">
        <v>43.44</v>
      </c>
      <c r="K8438">
        <v>8</v>
      </c>
      <c r="L8438">
        <v>0</v>
      </c>
      <c r="M8438">
        <v>21.285599999999999</v>
      </c>
    </row>
    <row r="8439" spans="1:13" x14ac:dyDescent="0.3">
      <c r="A8439" t="s">
        <v>62</v>
      </c>
      <c r="B8439" t="s">
        <v>22</v>
      </c>
      <c r="C8439" t="s">
        <v>15</v>
      </c>
      <c r="D8439" t="s">
        <v>485</v>
      </c>
      <c r="E8439" t="s">
        <v>179</v>
      </c>
      <c r="F8439">
        <v>2920</v>
      </c>
      <c r="G8439" t="s">
        <v>57</v>
      </c>
      <c r="H8439" t="s">
        <v>26</v>
      </c>
      <c r="I8439" t="s">
        <v>38</v>
      </c>
      <c r="J8439">
        <v>2.2200000000000002</v>
      </c>
      <c r="K8439">
        <v>1</v>
      </c>
      <c r="L8439">
        <v>0</v>
      </c>
      <c r="M8439">
        <v>0.66600000000000004</v>
      </c>
    </row>
    <row r="8440" spans="1:13" x14ac:dyDescent="0.3">
      <c r="A8440" t="s">
        <v>62</v>
      </c>
      <c r="B8440" t="s">
        <v>14</v>
      </c>
      <c r="C8440" t="s">
        <v>15</v>
      </c>
      <c r="D8440" t="s">
        <v>52</v>
      </c>
      <c r="E8440" t="s">
        <v>24</v>
      </c>
      <c r="F8440">
        <v>94122</v>
      </c>
      <c r="G8440" t="s">
        <v>25</v>
      </c>
      <c r="H8440" t="s">
        <v>35</v>
      </c>
      <c r="I8440" t="s">
        <v>36</v>
      </c>
      <c r="J8440">
        <v>1679.96</v>
      </c>
      <c r="K8440">
        <v>5</v>
      </c>
      <c r="L8440">
        <v>0.2</v>
      </c>
      <c r="M8440">
        <v>125.997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19</v>
      </c>
      <c r="I8441" t="s">
        <v>21</v>
      </c>
      <c r="J8441">
        <v>344.37200000000001</v>
      </c>
      <c r="K8441">
        <v>4</v>
      </c>
      <c r="L8441">
        <v>0.3</v>
      </c>
      <c r="M8441">
        <v>-93.472399999999993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26</v>
      </c>
      <c r="I8442" t="s">
        <v>32</v>
      </c>
      <c r="J8442">
        <v>1554.9359999999999</v>
      </c>
      <c r="K8442">
        <v>3</v>
      </c>
      <c r="L8442">
        <v>0.2</v>
      </c>
      <c r="M8442">
        <v>77.746799999999993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61</v>
      </c>
      <c r="E8443" t="s">
        <v>46</v>
      </c>
      <c r="F8443">
        <v>77070</v>
      </c>
      <c r="G8443" t="s">
        <v>47</v>
      </c>
      <c r="H8443" t="s">
        <v>19</v>
      </c>
      <c r="I8443" t="s">
        <v>33</v>
      </c>
      <c r="J8443">
        <v>127.88</v>
      </c>
      <c r="K8443">
        <v>5</v>
      </c>
      <c r="L8443">
        <v>0.6</v>
      </c>
      <c r="M8443">
        <v>-67.137</v>
      </c>
    </row>
    <row r="8444" spans="1:13" x14ac:dyDescent="0.3">
      <c r="A8444" t="s">
        <v>28</v>
      </c>
      <c r="B8444" t="s">
        <v>22</v>
      </c>
      <c r="C8444" t="s">
        <v>15</v>
      </c>
      <c r="D8444" t="s">
        <v>23</v>
      </c>
      <c r="E8444" t="s">
        <v>24</v>
      </c>
      <c r="F8444">
        <v>90049</v>
      </c>
      <c r="G8444" t="s">
        <v>25</v>
      </c>
      <c r="H8444" t="s">
        <v>35</v>
      </c>
      <c r="I8444" t="s">
        <v>36</v>
      </c>
      <c r="J8444">
        <v>222.38399999999999</v>
      </c>
      <c r="K8444">
        <v>2</v>
      </c>
      <c r="L8444">
        <v>0.2</v>
      </c>
      <c r="M8444">
        <v>22.238399999999999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19</v>
      </c>
      <c r="I8445" t="s">
        <v>21</v>
      </c>
      <c r="J8445">
        <v>106.869</v>
      </c>
      <c r="K8445">
        <v>3</v>
      </c>
      <c r="L8445">
        <v>0.3</v>
      </c>
      <c r="M8445">
        <v>-29.007300000000001</v>
      </c>
    </row>
    <row r="8446" spans="1:13" x14ac:dyDescent="0.3">
      <c r="A8446" t="s">
        <v>13</v>
      </c>
      <c r="B8446" t="s">
        <v>22</v>
      </c>
      <c r="C8446" t="s">
        <v>15</v>
      </c>
      <c r="D8446" t="s">
        <v>79</v>
      </c>
      <c r="E8446" t="s">
        <v>65</v>
      </c>
      <c r="F8446">
        <v>60653</v>
      </c>
      <c r="G8446" t="s">
        <v>47</v>
      </c>
      <c r="H8446" t="s">
        <v>26</v>
      </c>
      <c r="I8446" t="s">
        <v>37</v>
      </c>
      <c r="J8446">
        <v>3.5640000000000001</v>
      </c>
      <c r="K8446">
        <v>3</v>
      </c>
      <c r="L8446">
        <v>0.8</v>
      </c>
      <c r="M8446">
        <v>-6.2370000000000001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25.68</v>
      </c>
      <c r="K8447">
        <v>3</v>
      </c>
      <c r="L8447">
        <v>0.8</v>
      </c>
      <c r="M8447">
        <v>-39.804000000000002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61</v>
      </c>
      <c r="E8448" t="s">
        <v>46</v>
      </c>
      <c r="F8448">
        <v>77070</v>
      </c>
      <c r="G8448" t="s">
        <v>47</v>
      </c>
      <c r="H8448" t="s">
        <v>26</v>
      </c>
      <c r="I8448" t="s">
        <v>37</v>
      </c>
      <c r="J8448">
        <v>12.384</v>
      </c>
      <c r="K8448">
        <v>3</v>
      </c>
      <c r="L8448">
        <v>0.8</v>
      </c>
      <c r="M8448">
        <v>-19.814399999999999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37</v>
      </c>
      <c r="J8449">
        <v>25.3</v>
      </c>
      <c r="K8449">
        <v>5</v>
      </c>
      <c r="L8449">
        <v>0</v>
      </c>
      <c r="M8449">
        <v>11.891</v>
      </c>
    </row>
    <row r="8450" spans="1:13" x14ac:dyDescent="0.3">
      <c r="A8450" t="s">
        <v>28</v>
      </c>
      <c r="B8450" t="s">
        <v>14</v>
      </c>
      <c r="C8450" t="s">
        <v>15</v>
      </c>
      <c r="D8450" t="s">
        <v>105</v>
      </c>
      <c r="E8450" t="s">
        <v>127</v>
      </c>
      <c r="F8450">
        <v>6010</v>
      </c>
      <c r="G8450" t="s">
        <v>57</v>
      </c>
      <c r="H8450" t="s">
        <v>26</v>
      </c>
      <c r="I8450" t="s">
        <v>32</v>
      </c>
      <c r="J8450">
        <v>95.94</v>
      </c>
      <c r="K8450">
        <v>3</v>
      </c>
      <c r="L8450">
        <v>0</v>
      </c>
      <c r="M8450">
        <v>9.5939999999999994</v>
      </c>
    </row>
    <row r="8451" spans="1:13" x14ac:dyDescent="0.3">
      <c r="A8451" t="s">
        <v>13</v>
      </c>
      <c r="B8451" t="s">
        <v>14</v>
      </c>
      <c r="C8451" t="s">
        <v>15</v>
      </c>
      <c r="D8451" t="s">
        <v>541</v>
      </c>
      <c r="E8451" t="s">
        <v>70</v>
      </c>
      <c r="F8451">
        <v>49423</v>
      </c>
      <c r="G8451" t="s">
        <v>47</v>
      </c>
      <c r="H8451" t="s">
        <v>26</v>
      </c>
      <c r="I8451" t="s">
        <v>27</v>
      </c>
      <c r="J8451">
        <v>7.5</v>
      </c>
      <c r="K8451">
        <v>2</v>
      </c>
      <c r="L8451">
        <v>0</v>
      </c>
      <c r="M8451">
        <v>3.6</v>
      </c>
    </row>
    <row r="8452" spans="1:13" x14ac:dyDescent="0.3">
      <c r="A8452" t="s">
        <v>28</v>
      </c>
      <c r="B8452" t="s">
        <v>44</v>
      </c>
      <c r="C8452" t="s">
        <v>15</v>
      </c>
      <c r="D8452" t="s">
        <v>394</v>
      </c>
      <c r="E8452" t="s">
        <v>121</v>
      </c>
      <c r="F8452">
        <v>87105</v>
      </c>
      <c r="G8452" t="s">
        <v>25</v>
      </c>
      <c r="H8452" t="s">
        <v>35</v>
      </c>
      <c r="I8452" t="s">
        <v>36</v>
      </c>
      <c r="J8452">
        <v>302.37599999999998</v>
      </c>
      <c r="K8452">
        <v>3</v>
      </c>
      <c r="L8452">
        <v>0.2</v>
      </c>
      <c r="M8452">
        <v>22.6782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183</v>
      </c>
      <c r="E8453" t="s">
        <v>98</v>
      </c>
      <c r="F8453">
        <v>80027</v>
      </c>
      <c r="G8453" t="s">
        <v>25</v>
      </c>
      <c r="H8453" t="s">
        <v>35</v>
      </c>
      <c r="I8453" t="s">
        <v>59</v>
      </c>
      <c r="J8453">
        <v>46.688000000000002</v>
      </c>
      <c r="K8453">
        <v>4</v>
      </c>
      <c r="L8453">
        <v>0.2</v>
      </c>
      <c r="M8453">
        <v>-2.9180000000000001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75</v>
      </c>
      <c r="E8454" t="s">
        <v>76</v>
      </c>
      <c r="F8454">
        <v>10024</v>
      </c>
      <c r="G8454" t="s">
        <v>57</v>
      </c>
      <c r="H8454" t="s">
        <v>26</v>
      </c>
      <c r="I8454" t="s">
        <v>32</v>
      </c>
      <c r="J8454">
        <v>17.940000000000001</v>
      </c>
      <c r="K8454">
        <v>3</v>
      </c>
      <c r="L8454">
        <v>0</v>
      </c>
      <c r="M8454">
        <v>3.0497999999999998</v>
      </c>
    </row>
    <row r="8455" spans="1:13" x14ac:dyDescent="0.3">
      <c r="A8455" t="s">
        <v>28</v>
      </c>
      <c r="B8455" t="s">
        <v>14</v>
      </c>
      <c r="C8455" t="s">
        <v>15</v>
      </c>
      <c r="D8455" t="s">
        <v>250</v>
      </c>
      <c r="E8455" t="s">
        <v>127</v>
      </c>
      <c r="F8455">
        <v>6360</v>
      </c>
      <c r="G8455" t="s">
        <v>57</v>
      </c>
      <c r="H8455" t="s">
        <v>26</v>
      </c>
      <c r="I8455" t="s">
        <v>38</v>
      </c>
      <c r="J8455">
        <v>370.14</v>
      </c>
      <c r="K8455">
        <v>3</v>
      </c>
      <c r="L8455">
        <v>0</v>
      </c>
      <c r="M8455">
        <v>144.3546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52</v>
      </c>
      <c r="E8456" t="s">
        <v>24</v>
      </c>
      <c r="F8456">
        <v>94122</v>
      </c>
      <c r="G8456" t="s">
        <v>25</v>
      </c>
      <c r="H8456" t="s">
        <v>26</v>
      </c>
      <c r="I8456" t="s">
        <v>37</v>
      </c>
      <c r="J8456">
        <v>8.9280000000000008</v>
      </c>
      <c r="K8456">
        <v>2</v>
      </c>
      <c r="L8456">
        <v>0.2</v>
      </c>
      <c r="M8456">
        <v>3.1248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427</v>
      </c>
      <c r="E8457" t="s">
        <v>74</v>
      </c>
      <c r="F8457">
        <v>46060</v>
      </c>
      <c r="G8457" t="s">
        <v>47</v>
      </c>
      <c r="H8457" t="s">
        <v>19</v>
      </c>
      <c r="I8457" t="s">
        <v>31</v>
      </c>
      <c r="J8457">
        <v>2678.94</v>
      </c>
      <c r="K8457">
        <v>6</v>
      </c>
      <c r="L8457">
        <v>0</v>
      </c>
      <c r="M8457">
        <v>241.1046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19</v>
      </c>
      <c r="I8458" t="s">
        <v>20</v>
      </c>
      <c r="J8458">
        <v>387.13600000000002</v>
      </c>
      <c r="K8458">
        <v>4</v>
      </c>
      <c r="L8458">
        <v>0.2</v>
      </c>
      <c r="M8458">
        <v>-14.5176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35</v>
      </c>
      <c r="I8459" t="s">
        <v>59</v>
      </c>
      <c r="J8459">
        <v>45.408000000000001</v>
      </c>
      <c r="K8459">
        <v>2</v>
      </c>
      <c r="L8459">
        <v>0.2</v>
      </c>
      <c r="M8459">
        <v>11.919600000000001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19</v>
      </c>
      <c r="I8460" t="s">
        <v>33</v>
      </c>
      <c r="J8460">
        <v>77.951999999999998</v>
      </c>
      <c r="K8460">
        <v>3</v>
      </c>
      <c r="L8460">
        <v>0.2</v>
      </c>
      <c r="M8460">
        <v>-11.6928</v>
      </c>
    </row>
    <row r="8461" spans="1:13" x14ac:dyDescent="0.3">
      <c r="A8461" t="s">
        <v>28</v>
      </c>
      <c r="B8461" t="s">
        <v>44</v>
      </c>
      <c r="C8461" t="s">
        <v>15</v>
      </c>
      <c r="D8461" t="s">
        <v>389</v>
      </c>
      <c r="E8461" t="s">
        <v>86</v>
      </c>
      <c r="F8461">
        <v>37042</v>
      </c>
      <c r="G8461" t="s">
        <v>18</v>
      </c>
      <c r="H8461" t="s">
        <v>26</v>
      </c>
      <c r="I8461" t="s">
        <v>27</v>
      </c>
      <c r="J8461">
        <v>3</v>
      </c>
      <c r="K8461">
        <v>1</v>
      </c>
      <c r="L8461">
        <v>0.2</v>
      </c>
      <c r="M8461">
        <v>1.05</v>
      </c>
    </row>
    <row r="8462" spans="1:13" x14ac:dyDescent="0.3">
      <c r="A8462" t="s">
        <v>13</v>
      </c>
      <c r="B8462" t="s">
        <v>14</v>
      </c>
      <c r="C8462" t="s">
        <v>15</v>
      </c>
      <c r="D8462" t="s">
        <v>479</v>
      </c>
      <c r="E8462" t="s">
        <v>30</v>
      </c>
      <c r="F8462">
        <v>33021</v>
      </c>
      <c r="G8462" t="s">
        <v>18</v>
      </c>
      <c r="H8462" t="s">
        <v>26</v>
      </c>
      <c r="I8462" t="s">
        <v>32</v>
      </c>
      <c r="J8462">
        <v>9.952</v>
      </c>
      <c r="K8462">
        <v>1</v>
      </c>
      <c r="L8462">
        <v>0.2</v>
      </c>
      <c r="M8462">
        <v>0.99519999999999997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37</v>
      </c>
      <c r="J8463">
        <v>37.896000000000001</v>
      </c>
      <c r="K8463">
        <v>4</v>
      </c>
      <c r="L8463">
        <v>0.7</v>
      </c>
      <c r="M8463">
        <v>-29.053599999999999</v>
      </c>
    </row>
    <row r="8464" spans="1:13" x14ac:dyDescent="0.3">
      <c r="A8464" t="s">
        <v>28</v>
      </c>
      <c r="B8464" t="s">
        <v>22</v>
      </c>
      <c r="C8464" t="s">
        <v>15</v>
      </c>
      <c r="D8464" t="s">
        <v>369</v>
      </c>
      <c r="E8464" t="s">
        <v>56</v>
      </c>
      <c r="F8464">
        <v>17403</v>
      </c>
      <c r="G8464" t="s">
        <v>57</v>
      </c>
      <c r="H8464" t="s">
        <v>26</v>
      </c>
      <c r="I8464" t="s">
        <v>41</v>
      </c>
      <c r="J8464">
        <v>65.584000000000003</v>
      </c>
      <c r="K8464">
        <v>2</v>
      </c>
      <c r="L8464">
        <v>0.2</v>
      </c>
      <c r="M8464">
        <v>23.7742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206</v>
      </c>
      <c r="E8465" t="s">
        <v>81</v>
      </c>
      <c r="F8465">
        <v>85204</v>
      </c>
      <c r="G8465" t="s">
        <v>25</v>
      </c>
      <c r="H8465" t="s">
        <v>26</v>
      </c>
      <c r="I8465" t="s">
        <v>41</v>
      </c>
      <c r="J8465">
        <v>44.783999999999999</v>
      </c>
      <c r="K8465">
        <v>1</v>
      </c>
      <c r="L8465">
        <v>0.2</v>
      </c>
      <c r="M8465">
        <v>16.234200000000001</v>
      </c>
    </row>
    <row r="8466" spans="1:13" x14ac:dyDescent="0.3">
      <c r="A8466" t="s">
        <v>168</v>
      </c>
      <c r="B8466" t="s">
        <v>22</v>
      </c>
      <c r="C8466" t="s">
        <v>15</v>
      </c>
      <c r="D8466" t="s">
        <v>75</v>
      </c>
      <c r="E8466" t="s">
        <v>76</v>
      </c>
      <c r="F8466">
        <v>10024</v>
      </c>
      <c r="G8466" t="s">
        <v>57</v>
      </c>
      <c r="H8466" t="s">
        <v>35</v>
      </c>
      <c r="I8466" t="s">
        <v>123</v>
      </c>
      <c r="J8466">
        <v>1035.8</v>
      </c>
      <c r="K8466">
        <v>4</v>
      </c>
      <c r="L8466">
        <v>0</v>
      </c>
      <c r="M8466">
        <v>269.30799999999999</v>
      </c>
    </row>
    <row r="8467" spans="1:13" x14ac:dyDescent="0.3">
      <c r="A8467" t="s">
        <v>28</v>
      </c>
      <c r="B8467" t="s">
        <v>44</v>
      </c>
      <c r="C8467" t="s">
        <v>15</v>
      </c>
      <c r="D8467" t="s">
        <v>52</v>
      </c>
      <c r="E8467" t="s">
        <v>24</v>
      </c>
      <c r="F8467">
        <v>94110</v>
      </c>
      <c r="G8467" t="s">
        <v>25</v>
      </c>
      <c r="H8467" t="s">
        <v>26</v>
      </c>
      <c r="I8467" t="s">
        <v>34</v>
      </c>
      <c r="J8467">
        <v>5.76</v>
      </c>
      <c r="K8467">
        <v>2</v>
      </c>
      <c r="L8467">
        <v>0</v>
      </c>
      <c r="M8467">
        <v>1.6704000000000001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</v>
      </c>
      <c r="E8468" t="s">
        <v>24</v>
      </c>
      <c r="F8468">
        <v>90036</v>
      </c>
      <c r="G8468" t="s">
        <v>25</v>
      </c>
      <c r="H8468" t="s">
        <v>26</v>
      </c>
      <c r="I8468" t="s">
        <v>41</v>
      </c>
      <c r="J8468">
        <v>19.98</v>
      </c>
      <c r="K8468">
        <v>2</v>
      </c>
      <c r="L8468">
        <v>0</v>
      </c>
      <c r="M8468">
        <v>8.9909999999999997</v>
      </c>
    </row>
    <row r="8469" spans="1:13" x14ac:dyDescent="0.3">
      <c r="A8469" t="s">
        <v>28</v>
      </c>
      <c r="B8469" t="s">
        <v>14</v>
      </c>
      <c r="C8469" t="s">
        <v>15</v>
      </c>
      <c r="D8469" t="s">
        <v>238</v>
      </c>
      <c r="E8469" t="s">
        <v>54</v>
      </c>
      <c r="F8469">
        <v>68104</v>
      </c>
      <c r="G8469" t="s">
        <v>47</v>
      </c>
      <c r="H8469" t="s">
        <v>35</v>
      </c>
      <c r="I8469" t="s">
        <v>36</v>
      </c>
      <c r="J8469">
        <v>35.979999999999997</v>
      </c>
      <c r="K8469">
        <v>2</v>
      </c>
      <c r="L8469">
        <v>0</v>
      </c>
      <c r="M8469">
        <v>10.074400000000001</v>
      </c>
    </row>
    <row r="8470" spans="1:13" x14ac:dyDescent="0.3">
      <c r="A8470" t="s">
        <v>28</v>
      </c>
      <c r="B8470" t="s">
        <v>44</v>
      </c>
      <c r="C8470" t="s">
        <v>15</v>
      </c>
      <c r="D8470" t="s">
        <v>55</v>
      </c>
      <c r="E8470" t="s">
        <v>56</v>
      </c>
      <c r="F8470">
        <v>19120</v>
      </c>
      <c r="G8470" t="s">
        <v>57</v>
      </c>
      <c r="H8470" t="s">
        <v>26</v>
      </c>
      <c r="I8470" t="s">
        <v>34</v>
      </c>
      <c r="J8470">
        <v>16.655999999999999</v>
      </c>
      <c r="K8470">
        <v>3</v>
      </c>
      <c r="L8470">
        <v>0.2</v>
      </c>
      <c r="M8470">
        <v>3.3311999999999999</v>
      </c>
    </row>
    <row r="8471" spans="1:13" x14ac:dyDescent="0.3">
      <c r="A8471" t="s">
        <v>28</v>
      </c>
      <c r="B8471" t="s">
        <v>22</v>
      </c>
      <c r="C8471" t="s">
        <v>15</v>
      </c>
      <c r="D8471" t="s">
        <v>75</v>
      </c>
      <c r="E8471" t="s">
        <v>76</v>
      </c>
      <c r="F8471">
        <v>10024</v>
      </c>
      <c r="G8471" t="s">
        <v>57</v>
      </c>
      <c r="H8471" t="s">
        <v>26</v>
      </c>
      <c r="I8471" t="s">
        <v>27</v>
      </c>
      <c r="J8471">
        <v>20.7</v>
      </c>
      <c r="K8471">
        <v>2</v>
      </c>
      <c r="L8471">
        <v>0</v>
      </c>
      <c r="M8471">
        <v>9.9359999999999999</v>
      </c>
    </row>
    <row r="8472" spans="1:13" x14ac:dyDescent="0.3">
      <c r="A8472" t="s">
        <v>28</v>
      </c>
      <c r="B8472" t="s">
        <v>14</v>
      </c>
      <c r="C8472" t="s">
        <v>15</v>
      </c>
      <c r="D8472" t="s">
        <v>444</v>
      </c>
      <c r="E8472" t="s">
        <v>70</v>
      </c>
      <c r="F8472">
        <v>49505</v>
      </c>
      <c r="G8472" t="s">
        <v>47</v>
      </c>
      <c r="H8472" t="s">
        <v>26</v>
      </c>
      <c r="I8472" t="s">
        <v>37</v>
      </c>
      <c r="J8472">
        <v>83.7</v>
      </c>
      <c r="K8472">
        <v>5</v>
      </c>
      <c r="L8472">
        <v>0</v>
      </c>
      <c r="M8472">
        <v>41.012999999999998</v>
      </c>
    </row>
    <row r="8473" spans="1:13" x14ac:dyDescent="0.3">
      <c r="A8473" t="s">
        <v>168</v>
      </c>
      <c r="B8473" t="s">
        <v>14</v>
      </c>
      <c r="C8473" t="s">
        <v>15</v>
      </c>
      <c r="D8473" t="s">
        <v>42</v>
      </c>
      <c r="E8473" t="s">
        <v>43</v>
      </c>
      <c r="F8473">
        <v>98115</v>
      </c>
      <c r="G8473" t="s">
        <v>25</v>
      </c>
      <c r="H8473" t="s">
        <v>19</v>
      </c>
      <c r="I8473" t="s">
        <v>33</v>
      </c>
      <c r="J8473">
        <v>199.8</v>
      </c>
      <c r="K8473">
        <v>10</v>
      </c>
      <c r="L8473">
        <v>0</v>
      </c>
      <c r="M8473">
        <v>71.927999999999997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45.68</v>
      </c>
      <c r="K8474">
        <v>2</v>
      </c>
      <c r="L8474">
        <v>0</v>
      </c>
      <c r="M8474">
        <v>21.012799999999999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110.96</v>
      </c>
      <c r="K8475">
        <v>2</v>
      </c>
      <c r="L8475">
        <v>0</v>
      </c>
      <c r="M8475">
        <v>53.260800000000003</v>
      </c>
    </row>
    <row r="8476" spans="1:13" x14ac:dyDescent="0.3">
      <c r="A8476" t="s">
        <v>28</v>
      </c>
      <c r="B8476" t="s">
        <v>44</v>
      </c>
      <c r="C8476" t="s">
        <v>15</v>
      </c>
      <c r="D8476" t="s">
        <v>286</v>
      </c>
      <c r="E8476" t="s">
        <v>24</v>
      </c>
      <c r="F8476">
        <v>93727</v>
      </c>
      <c r="G8476" t="s">
        <v>25</v>
      </c>
      <c r="H8476" t="s">
        <v>26</v>
      </c>
      <c r="I8476" t="s">
        <v>41</v>
      </c>
      <c r="J8476">
        <v>11.94</v>
      </c>
      <c r="K8476">
        <v>3</v>
      </c>
      <c r="L8476">
        <v>0</v>
      </c>
      <c r="M8476">
        <v>5.97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35</v>
      </c>
      <c r="I8477" t="s">
        <v>123</v>
      </c>
      <c r="J8477">
        <v>8749.9500000000007</v>
      </c>
      <c r="K8477">
        <v>5</v>
      </c>
      <c r="L8477">
        <v>0</v>
      </c>
      <c r="M8477">
        <v>2799.9839999999999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26</v>
      </c>
      <c r="I8478" t="s">
        <v>37</v>
      </c>
      <c r="J8478">
        <v>36.4</v>
      </c>
      <c r="K8478">
        <v>8</v>
      </c>
      <c r="L8478">
        <v>0</v>
      </c>
      <c r="M8478">
        <v>18.2</v>
      </c>
    </row>
    <row r="8479" spans="1:13" x14ac:dyDescent="0.3">
      <c r="A8479" t="s">
        <v>13</v>
      </c>
      <c r="B8479" t="s">
        <v>14</v>
      </c>
      <c r="C8479" t="s">
        <v>15</v>
      </c>
      <c r="D8479" t="s">
        <v>155</v>
      </c>
      <c r="E8479" t="s">
        <v>83</v>
      </c>
      <c r="F8479">
        <v>22204</v>
      </c>
      <c r="G8479" t="s">
        <v>18</v>
      </c>
      <c r="H8479" t="s">
        <v>19</v>
      </c>
      <c r="I8479" t="s">
        <v>33</v>
      </c>
      <c r="J8479">
        <v>18.690000000000001</v>
      </c>
      <c r="K8479">
        <v>7</v>
      </c>
      <c r="L8479">
        <v>0</v>
      </c>
      <c r="M8479">
        <v>7.1021999999999998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23</v>
      </c>
      <c r="E8480" t="s">
        <v>24</v>
      </c>
      <c r="F8480">
        <v>90049</v>
      </c>
      <c r="G8480" t="s">
        <v>25</v>
      </c>
      <c r="H8480" t="s">
        <v>26</v>
      </c>
      <c r="I8480" t="s">
        <v>77</v>
      </c>
      <c r="J8480">
        <v>5.94</v>
      </c>
      <c r="K8480">
        <v>3</v>
      </c>
      <c r="L8480">
        <v>0</v>
      </c>
      <c r="M8480">
        <v>0.1188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26</v>
      </c>
      <c r="I8481" t="s">
        <v>41</v>
      </c>
      <c r="J8481">
        <v>60.735999999999997</v>
      </c>
      <c r="K8481">
        <v>8</v>
      </c>
      <c r="L8481">
        <v>0.2</v>
      </c>
      <c r="M8481">
        <v>20.4984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35</v>
      </c>
      <c r="I8482" t="s">
        <v>162</v>
      </c>
      <c r="J8482">
        <v>479.976</v>
      </c>
      <c r="K8482">
        <v>3</v>
      </c>
      <c r="L8482">
        <v>0.2</v>
      </c>
      <c r="M8482">
        <v>161.99189999999999</v>
      </c>
    </row>
    <row r="8483" spans="1:13" x14ac:dyDescent="0.3">
      <c r="A8483" t="s">
        <v>28</v>
      </c>
      <c r="B8483" t="s">
        <v>14</v>
      </c>
      <c r="C8483" t="s">
        <v>15</v>
      </c>
      <c r="D8483" t="s">
        <v>356</v>
      </c>
      <c r="E8483" t="s">
        <v>46</v>
      </c>
      <c r="F8483">
        <v>79424</v>
      </c>
      <c r="G8483" t="s">
        <v>47</v>
      </c>
      <c r="H8483" t="s">
        <v>26</v>
      </c>
      <c r="I8483" t="s">
        <v>37</v>
      </c>
      <c r="J8483">
        <v>6.08</v>
      </c>
      <c r="K8483">
        <v>1</v>
      </c>
      <c r="L8483">
        <v>0.8</v>
      </c>
      <c r="M8483">
        <v>-10.336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589</v>
      </c>
      <c r="E8484" t="s">
        <v>98</v>
      </c>
      <c r="F8484">
        <v>80501</v>
      </c>
      <c r="G8484" t="s">
        <v>25</v>
      </c>
      <c r="H8484" t="s">
        <v>35</v>
      </c>
      <c r="I8484" t="s">
        <v>59</v>
      </c>
      <c r="J8484">
        <v>165.6</v>
      </c>
      <c r="K8484">
        <v>3</v>
      </c>
      <c r="L8484">
        <v>0.2</v>
      </c>
      <c r="M8484">
        <v>-6.21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26</v>
      </c>
      <c r="I8485" t="s">
        <v>34</v>
      </c>
      <c r="J8485">
        <v>59.52</v>
      </c>
      <c r="K8485">
        <v>3</v>
      </c>
      <c r="L8485">
        <v>0</v>
      </c>
      <c r="M8485">
        <v>15.475199999999999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35</v>
      </c>
      <c r="I8486" t="s">
        <v>59</v>
      </c>
      <c r="J8486">
        <v>479.97</v>
      </c>
      <c r="K8486">
        <v>3</v>
      </c>
      <c r="L8486">
        <v>0</v>
      </c>
      <c r="M8486">
        <v>177.5889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110</v>
      </c>
      <c r="J8487">
        <v>18.62</v>
      </c>
      <c r="K8487">
        <v>2</v>
      </c>
      <c r="L8487">
        <v>0</v>
      </c>
      <c r="M8487">
        <v>5.3997999999999999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37</v>
      </c>
      <c r="J8488">
        <v>49.631999999999998</v>
      </c>
      <c r="K8488">
        <v>6</v>
      </c>
      <c r="L8488">
        <v>0.2</v>
      </c>
      <c r="M8488">
        <v>16.750800000000002</v>
      </c>
    </row>
    <row r="8489" spans="1:13" x14ac:dyDescent="0.3">
      <c r="A8489" t="s">
        <v>13</v>
      </c>
      <c r="B8489" t="s">
        <v>14</v>
      </c>
      <c r="C8489" t="s">
        <v>15</v>
      </c>
      <c r="D8489" t="s">
        <v>266</v>
      </c>
      <c r="E8489" t="s">
        <v>76</v>
      </c>
      <c r="F8489">
        <v>10701</v>
      </c>
      <c r="G8489" t="s">
        <v>57</v>
      </c>
      <c r="H8489" t="s">
        <v>26</v>
      </c>
      <c r="I8489" t="s">
        <v>41</v>
      </c>
      <c r="J8489">
        <v>97.82</v>
      </c>
      <c r="K8489">
        <v>2</v>
      </c>
      <c r="L8489">
        <v>0</v>
      </c>
      <c r="M8489">
        <v>45.9754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35</v>
      </c>
      <c r="I8490" t="s">
        <v>36</v>
      </c>
      <c r="J8490">
        <v>15.984</v>
      </c>
      <c r="K8490">
        <v>2</v>
      </c>
      <c r="L8490">
        <v>0.2</v>
      </c>
      <c r="M8490">
        <v>1.1988000000000001</v>
      </c>
    </row>
    <row r="8491" spans="1:13" x14ac:dyDescent="0.3">
      <c r="A8491" t="s">
        <v>13</v>
      </c>
      <c r="B8491" t="s">
        <v>22</v>
      </c>
      <c r="C8491" t="s">
        <v>15</v>
      </c>
      <c r="D8491" t="s">
        <v>23</v>
      </c>
      <c r="E8491" t="s">
        <v>24</v>
      </c>
      <c r="F8491">
        <v>90045</v>
      </c>
      <c r="G8491" t="s">
        <v>25</v>
      </c>
      <c r="H8491" t="s">
        <v>19</v>
      </c>
      <c r="I8491" t="s">
        <v>21</v>
      </c>
      <c r="J8491">
        <v>184.75200000000001</v>
      </c>
      <c r="K8491">
        <v>3</v>
      </c>
      <c r="L8491">
        <v>0.2</v>
      </c>
      <c r="M8491">
        <v>-20.784600000000001</v>
      </c>
    </row>
    <row r="8492" spans="1:13" x14ac:dyDescent="0.3">
      <c r="A8492" t="s">
        <v>28</v>
      </c>
      <c r="B8492" t="s">
        <v>44</v>
      </c>
      <c r="C8492" t="s">
        <v>15</v>
      </c>
      <c r="D8492" t="s">
        <v>23</v>
      </c>
      <c r="E8492" t="s">
        <v>24</v>
      </c>
      <c r="F8492">
        <v>90049</v>
      </c>
      <c r="G8492" t="s">
        <v>25</v>
      </c>
      <c r="H8492" t="s">
        <v>26</v>
      </c>
      <c r="I8492" t="s">
        <v>41</v>
      </c>
      <c r="J8492">
        <v>12.96</v>
      </c>
      <c r="K8492">
        <v>2</v>
      </c>
      <c r="L8492">
        <v>0</v>
      </c>
      <c r="M8492">
        <v>6.2207999999999997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193</v>
      </c>
      <c r="E8493" t="s">
        <v>46</v>
      </c>
      <c r="F8493">
        <v>79109</v>
      </c>
      <c r="G8493" t="s">
        <v>47</v>
      </c>
      <c r="H8493" t="s">
        <v>19</v>
      </c>
      <c r="I8493" t="s">
        <v>21</v>
      </c>
      <c r="J8493">
        <v>366.74400000000003</v>
      </c>
      <c r="K8493">
        <v>4</v>
      </c>
      <c r="L8493">
        <v>0.3</v>
      </c>
      <c r="M8493">
        <v>-110.0232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26</v>
      </c>
      <c r="I8494" t="s">
        <v>37</v>
      </c>
      <c r="J8494">
        <v>8.8559999999999999</v>
      </c>
      <c r="K8494">
        <v>9</v>
      </c>
      <c r="L8494">
        <v>0.8</v>
      </c>
      <c r="M8494">
        <v>-14.169600000000001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35</v>
      </c>
      <c r="I8495" t="s">
        <v>59</v>
      </c>
      <c r="J8495">
        <v>27.96</v>
      </c>
      <c r="K8495">
        <v>5</v>
      </c>
      <c r="L8495">
        <v>0.2</v>
      </c>
      <c r="M8495">
        <v>8.3879999999999999</v>
      </c>
    </row>
    <row r="8496" spans="1:13" x14ac:dyDescent="0.3">
      <c r="A8496" t="s">
        <v>28</v>
      </c>
      <c r="B8496" t="s">
        <v>44</v>
      </c>
      <c r="C8496" t="s">
        <v>15</v>
      </c>
      <c r="D8496" t="s">
        <v>135</v>
      </c>
      <c r="E8496" t="s">
        <v>46</v>
      </c>
      <c r="F8496">
        <v>75217</v>
      </c>
      <c r="G8496" t="s">
        <v>47</v>
      </c>
      <c r="H8496" t="s">
        <v>26</v>
      </c>
      <c r="I8496" t="s">
        <v>60</v>
      </c>
      <c r="J8496">
        <v>146.352</v>
      </c>
      <c r="K8496">
        <v>3</v>
      </c>
      <c r="L8496">
        <v>0.2</v>
      </c>
      <c r="M8496">
        <v>49.393799999999999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59</v>
      </c>
      <c r="J8497">
        <v>175.23</v>
      </c>
      <c r="K8497">
        <v>11</v>
      </c>
      <c r="L8497">
        <v>0</v>
      </c>
      <c r="M8497">
        <v>61.330500000000001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35</v>
      </c>
      <c r="I8498" t="s">
        <v>36</v>
      </c>
      <c r="J8498">
        <v>125.99</v>
      </c>
      <c r="K8498">
        <v>1</v>
      </c>
      <c r="L8498">
        <v>0</v>
      </c>
      <c r="M8498">
        <v>31.497499999999999</v>
      </c>
    </row>
    <row r="8499" spans="1:13" x14ac:dyDescent="0.3">
      <c r="A8499" t="s">
        <v>62</v>
      </c>
      <c r="B8499" t="s">
        <v>14</v>
      </c>
      <c r="C8499" t="s">
        <v>15</v>
      </c>
      <c r="D8499" t="s">
        <v>140</v>
      </c>
      <c r="E8499" t="s">
        <v>70</v>
      </c>
      <c r="F8499">
        <v>48205</v>
      </c>
      <c r="G8499" t="s">
        <v>47</v>
      </c>
      <c r="H8499" t="s">
        <v>26</v>
      </c>
      <c r="I8499" t="s">
        <v>37</v>
      </c>
      <c r="J8499">
        <v>23</v>
      </c>
      <c r="K8499">
        <v>2</v>
      </c>
      <c r="L8499">
        <v>0</v>
      </c>
      <c r="M8499">
        <v>10.35</v>
      </c>
    </row>
    <row r="8500" spans="1:13" x14ac:dyDescent="0.3">
      <c r="A8500" t="s">
        <v>28</v>
      </c>
      <c r="B8500" t="s">
        <v>14</v>
      </c>
      <c r="C8500" t="s">
        <v>15</v>
      </c>
      <c r="D8500" t="s">
        <v>75</v>
      </c>
      <c r="E8500" t="s">
        <v>76</v>
      </c>
      <c r="F8500">
        <v>10035</v>
      </c>
      <c r="G8500" t="s">
        <v>57</v>
      </c>
      <c r="H8500" t="s">
        <v>26</v>
      </c>
      <c r="I8500" t="s">
        <v>37</v>
      </c>
      <c r="J8500">
        <v>25.584</v>
      </c>
      <c r="K8500">
        <v>2</v>
      </c>
      <c r="L8500">
        <v>0.2</v>
      </c>
      <c r="M8500">
        <v>8.9543999999999997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61</v>
      </c>
      <c r="E8501" t="s">
        <v>46</v>
      </c>
      <c r="F8501">
        <v>77041</v>
      </c>
      <c r="G8501" t="s">
        <v>47</v>
      </c>
      <c r="H8501" t="s">
        <v>19</v>
      </c>
      <c r="I8501" t="s">
        <v>33</v>
      </c>
      <c r="J8501">
        <v>73.784000000000006</v>
      </c>
      <c r="K8501">
        <v>2</v>
      </c>
      <c r="L8501">
        <v>0.6</v>
      </c>
      <c r="M8501">
        <v>-77.473200000000006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422</v>
      </c>
      <c r="E8502" t="s">
        <v>30</v>
      </c>
      <c r="F8502">
        <v>32839</v>
      </c>
      <c r="G8502" t="s">
        <v>18</v>
      </c>
      <c r="H8502" t="s">
        <v>26</v>
      </c>
      <c r="I8502" t="s">
        <v>41</v>
      </c>
      <c r="J8502">
        <v>20.736000000000001</v>
      </c>
      <c r="K8502">
        <v>4</v>
      </c>
      <c r="L8502">
        <v>0.2</v>
      </c>
      <c r="M8502">
        <v>7.2576000000000001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17.52</v>
      </c>
      <c r="K8503">
        <v>3</v>
      </c>
      <c r="L8503">
        <v>0</v>
      </c>
      <c r="M8503">
        <v>8.2344000000000008</v>
      </c>
    </row>
    <row r="8504" spans="1:13" x14ac:dyDescent="0.3">
      <c r="A8504" t="s">
        <v>28</v>
      </c>
      <c r="B8504" t="s">
        <v>22</v>
      </c>
      <c r="C8504" t="s">
        <v>15</v>
      </c>
      <c r="D8504" t="s">
        <v>242</v>
      </c>
      <c r="E8504" t="s">
        <v>17</v>
      </c>
      <c r="F8504">
        <v>41042</v>
      </c>
      <c r="G8504" t="s">
        <v>18</v>
      </c>
      <c r="H8504" t="s">
        <v>26</v>
      </c>
      <c r="I8504" t="s">
        <v>34</v>
      </c>
      <c r="J8504">
        <v>35.76</v>
      </c>
      <c r="K8504">
        <v>12</v>
      </c>
      <c r="L8504">
        <v>0</v>
      </c>
      <c r="M8504">
        <v>10.0128</v>
      </c>
    </row>
    <row r="8505" spans="1:13" x14ac:dyDescent="0.3">
      <c r="A8505" t="s">
        <v>28</v>
      </c>
      <c r="B8505" t="s">
        <v>14</v>
      </c>
      <c r="C8505" t="s">
        <v>15</v>
      </c>
      <c r="D8505" t="s">
        <v>75</v>
      </c>
      <c r="E8505" t="s">
        <v>76</v>
      </c>
      <c r="F8505">
        <v>10009</v>
      </c>
      <c r="G8505" t="s">
        <v>57</v>
      </c>
      <c r="H8505" t="s">
        <v>26</v>
      </c>
      <c r="I8505" t="s">
        <v>34</v>
      </c>
      <c r="J8505">
        <v>3.64</v>
      </c>
      <c r="K8505">
        <v>2</v>
      </c>
      <c r="L8505">
        <v>0</v>
      </c>
      <c r="M8505">
        <v>0.98280000000000001</v>
      </c>
    </row>
    <row r="8506" spans="1:13" x14ac:dyDescent="0.3">
      <c r="A8506" t="s">
        <v>13</v>
      </c>
      <c r="B8506" t="s">
        <v>14</v>
      </c>
      <c r="C8506" t="s">
        <v>15</v>
      </c>
      <c r="D8506" t="s">
        <v>415</v>
      </c>
      <c r="E8506" t="s">
        <v>46</v>
      </c>
      <c r="F8506">
        <v>75034</v>
      </c>
      <c r="G8506" t="s">
        <v>47</v>
      </c>
      <c r="H8506" t="s">
        <v>19</v>
      </c>
      <c r="I8506" t="s">
        <v>33</v>
      </c>
      <c r="J8506">
        <v>30.335999999999999</v>
      </c>
      <c r="K8506">
        <v>6</v>
      </c>
      <c r="L8506">
        <v>0.6</v>
      </c>
      <c r="M8506">
        <v>-17.443200000000001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33</v>
      </c>
      <c r="J8507">
        <v>12.99</v>
      </c>
      <c r="K8507">
        <v>1</v>
      </c>
      <c r="L8507">
        <v>0</v>
      </c>
      <c r="M8507">
        <v>1.5588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182.22</v>
      </c>
      <c r="K8508">
        <v>3</v>
      </c>
      <c r="L8508">
        <v>0</v>
      </c>
      <c r="M8508">
        <v>45.555</v>
      </c>
    </row>
    <row r="8509" spans="1:13" x14ac:dyDescent="0.3">
      <c r="A8509" t="s">
        <v>28</v>
      </c>
      <c r="B8509" t="s">
        <v>14</v>
      </c>
      <c r="C8509" t="s">
        <v>15</v>
      </c>
      <c r="D8509" t="s">
        <v>353</v>
      </c>
      <c r="E8509" t="s">
        <v>132</v>
      </c>
      <c r="F8509">
        <v>7501</v>
      </c>
      <c r="G8509" t="s">
        <v>57</v>
      </c>
      <c r="H8509" t="s">
        <v>19</v>
      </c>
      <c r="I8509" t="s">
        <v>21</v>
      </c>
      <c r="J8509">
        <v>302.94</v>
      </c>
      <c r="K8509">
        <v>3</v>
      </c>
      <c r="L8509">
        <v>0</v>
      </c>
      <c r="M8509">
        <v>18.176400000000001</v>
      </c>
    </row>
    <row r="8510" spans="1:13" x14ac:dyDescent="0.3">
      <c r="A8510" t="s">
        <v>28</v>
      </c>
      <c r="B8510" t="s">
        <v>44</v>
      </c>
      <c r="C8510" t="s">
        <v>15</v>
      </c>
      <c r="D8510" t="s">
        <v>103</v>
      </c>
      <c r="E8510" t="s">
        <v>104</v>
      </c>
      <c r="F8510">
        <v>43229</v>
      </c>
      <c r="G8510" t="s">
        <v>57</v>
      </c>
      <c r="H8510" t="s">
        <v>19</v>
      </c>
      <c r="I8510" t="s">
        <v>33</v>
      </c>
      <c r="J8510">
        <v>54.991999999999997</v>
      </c>
      <c r="K8510">
        <v>14</v>
      </c>
      <c r="L8510">
        <v>0.2</v>
      </c>
      <c r="M8510">
        <v>8.9361999999999995</v>
      </c>
    </row>
    <row r="8511" spans="1:13" x14ac:dyDescent="0.3">
      <c r="A8511" t="s">
        <v>28</v>
      </c>
      <c r="B8511" t="s">
        <v>22</v>
      </c>
      <c r="C8511" t="s">
        <v>15</v>
      </c>
      <c r="D8511" t="s">
        <v>241</v>
      </c>
      <c r="E8511" t="s">
        <v>49</v>
      </c>
      <c r="F8511">
        <v>53209</v>
      </c>
      <c r="G8511" t="s">
        <v>47</v>
      </c>
      <c r="H8511" t="s">
        <v>35</v>
      </c>
      <c r="I8511" t="s">
        <v>36</v>
      </c>
      <c r="J8511">
        <v>12.99</v>
      </c>
      <c r="K8511">
        <v>1</v>
      </c>
      <c r="L8511">
        <v>0</v>
      </c>
      <c r="M8511">
        <v>0.25979999999999998</v>
      </c>
    </row>
    <row r="8512" spans="1:13" x14ac:dyDescent="0.3">
      <c r="A8512" t="s">
        <v>28</v>
      </c>
      <c r="B8512" t="s">
        <v>14</v>
      </c>
      <c r="C8512" t="s">
        <v>15</v>
      </c>
      <c r="D8512" t="s">
        <v>52</v>
      </c>
      <c r="E8512" t="s">
        <v>24</v>
      </c>
      <c r="F8512">
        <v>94109</v>
      </c>
      <c r="G8512" t="s">
        <v>25</v>
      </c>
      <c r="H8512" t="s">
        <v>26</v>
      </c>
      <c r="I8512" t="s">
        <v>41</v>
      </c>
      <c r="J8512">
        <v>55.86</v>
      </c>
      <c r="K8512">
        <v>7</v>
      </c>
      <c r="L8512">
        <v>0</v>
      </c>
      <c r="M8512">
        <v>27.93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35</v>
      </c>
      <c r="I8513" t="s">
        <v>36</v>
      </c>
      <c r="J8513">
        <v>44.375999999999998</v>
      </c>
      <c r="K8513">
        <v>2</v>
      </c>
      <c r="L8513">
        <v>0.4</v>
      </c>
      <c r="M8513">
        <v>-7.3959999999999999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19</v>
      </c>
      <c r="I8514" t="s">
        <v>33</v>
      </c>
      <c r="J8514">
        <v>51.264000000000003</v>
      </c>
      <c r="K8514">
        <v>6</v>
      </c>
      <c r="L8514">
        <v>0.2</v>
      </c>
      <c r="M8514">
        <v>7.6896000000000004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26</v>
      </c>
      <c r="I8515" t="s">
        <v>37</v>
      </c>
      <c r="J8515">
        <v>5.1929999999999996</v>
      </c>
      <c r="K8515">
        <v>3</v>
      </c>
      <c r="L8515">
        <v>0.7</v>
      </c>
      <c r="M8515">
        <v>-3.4620000000000002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35</v>
      </c>
      <c r="I8516" t="s">
        <v>59</v>
      </c>
      <c r="J8516">
        <v>159.98400000000001</v>
      </c>
      <c r="K8516">
        <v>2</v>
      </c>
      <c r="L8516">
        <v>0.2</v>
      </c>
      <c r="M8516">
        <v>43.995600000000003</v>
      </c>
    </row>
    <row r="8517" spans="1:13" x14ac:dyDescent="0.3">
      <c r="A8517" t="s">
        <v>168</v>
      </c>
      <c r="B8517" t="s">
        <v>14</v>
      </c>
      <c r="C8517" t="s">
        <v>15</v>
      </c>
      <c r="D8517" t="s">
        <v>103</v>
      </c>
      <c r="E8517" t="s">
        <v>104</v>
      </c>
      <c r="F8517">
        <v>43229</v>
      </c>
      <c r="G8517" t="s">
        <v>57</v>
      </c>
      <c r="H8517" t="s">
        <v>26</v>
      </c>
      <c r="I8517" t="s">
        <v>32</v>
      </c>
      <c r="J8517">
        <v>54.223999999999997</v>
      </c>
      <c r="K8517">
        <v>2</v>
      </c>
      <c r="L8517">
        <v>0.2</v>
      </c>
      <c r="M8517">
        <v>3.3889999999999998</v>
      </c>
    </row>
    <row r="8518" spans="1:13" x14ac:dyDescent="0.3">
      <c r="A8518" t="s">
        <v>28</v>
      </c>
      <c r="B8518" t="s">
        <v>44</v>
      </c>
      <c r="C8518" t="s">
        <v>15</v>
      </c>
      <c r="D8518" t="s">
        <v>23</v>
      </c>
      <c r="E8518" t="s">
        <v>24</v>
      </c>
      <c r="F8518">
        <v>90008</v>
      </c>
      <c r="G8518" t="s">
        <v>25</v>
      </c>
      <c r="H8518" t="s">
        <v>19</v>
      </c>
      <c r="I8518" t="s">
        <v>21</v>
      </c>
      <c r="J8518">
        <v>241.42400000000001</v>
      </c>
      <c r="K8518">
        <v>2</v>
      </c>
      <c r="L8518">
        <v>0.2</v>
      </c>
      <c r="M8518">
        <v>-36.2136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33.36</v>
      </c>
      <c r="K8519">
        <v>4</v>
      </c>
      <c r="L8519">
        <v>0</v>
      </c>
      <c r="M8519">
        <v>16.68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41</v>
      </c>
      <c r="J8520">
        <v>13.76</v>
      </c>
      <c r="K8520">
        <v>2</v>
      </c>
      <c r="L8520">
        <v>0</v>
      </c>
      <c r="M8520">
        <v>6.3296000000000001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26</v>
      </c>
      <c r="I8521" t="s">
        <v>32</v>
      </c>
      <c r="J8521">
        <v>496.86</v>
      </c>
      <c r="K8521">
        <v>7</v>
      </c>
      <c r="L8521">
        <v>0</v>
      </c>
      <c r="M8521">
        <v>24.843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140</v>
      </c>
      <c r="E8522" t="s">
        <v>70</v>
      </c>
      <c r="F8522">
        <v>48227</v>
      </c>
      <c r="G8522" t="s">
        <v>47</v>
      </c>
      <c r="H8522" t="s">
        <v>19</v>
      </c>
      <c r="I8522" t="s">
        <v>21</v>
      </c>
      <c r="J8522">
        <v>389.97</v>
      </c>
      <c r="K8522">
        <v>3</v>
      </c>
      <c r="L8522">
        <v>0</v>
      </c>
      <c r="M8522">
        <v>35.097299999999997</v>
      </c>
    </row>
    <row r="8523" spans="1:13" x14ac:dyDescent="0.3">
      <c r="A8523" t="s">
        <v>13</v>
      </c>
      <c r="B8523" t="s">
        <v>22</v>
      </c>
      <c r="C8523" t="s">
        <v>15</v>
      </c>
      <c r="D8523" t="s">
        <v>103</v>
      </c>
      <c r="E8523" t="s">
        <v>167</v>
      </c>
      <c r="F8523">
        <v>31907</v>
      </c>
      <c r="G8523" t="s">
        <v>18</v>
      </c>
      <c r="H8523" t="s">
        <v>26</v>
      </c>
      <c r="I8523" t="s">
        <v>27</v>
      </c>
      <c r="J8523">
        <v>9.82</v>
      </c>
      <c r="K8523">
        <v>2</v>
      </c>
      <c r="L8523">
        <v>0</v>
      </c>
      <c r="M8523">
        <v>4.8117999999999999</v>
      </c>
    </row>
    <row r="8524" spans="1:13" x14ac:dyDescent="0.3">
      <c r="A8524" t="s">
        <v>28</v>
      </c>
      <c r="B8524" t="s">
        <v>14</v>
      </c>
      <c r="C8524" t="s">
        <v>15</v>
      </c>
      <c r="D8524" t="s">
        <v>52</v>
      </c>
      <c r="E8524" t="s">
        <v>24</v>
      </c>
      <c r="F8524">
        <v>94122</v>
      </c>
      <c r="G8524" t="s">
        <v>25</v>
      </c>
      <c r="H8524" t="s">
        <v>35</v>
      </c>
      <c r="I8524" t="s">
        <v>59</v>
      </c>
      <c r="J8524">
        <v>56.4</v>
      </c>
      <c r="K8524">
        <v>3</v>
      </c>
      <c r="L8524">
        <v>0</v>
      </c>
      <c r="M8524">
        <v>3.3839999999999999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37</v>
      </c>
      <c r="J8525">
        <v>18.312000000000001</v>
      </c>
      <c r="K8525">
        <v>4</v>
      </c>
      <c r="L8525">
        <v>0.7</v>
      </c>
      <c r="M8525">
        <v>-12.208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41</v>
      </c>
      <c r="J8526">
        <v>25.92</v>
      </c>
      <c r="K8526">
        <v>5</v>
      </c>
      <c r="L8526">
        <v>0.2</v>
      </c>
      <c r="M8526">
        <v>9.0719999999999992</v>
      </c>
    </row>
    <row r="8527" spans="1:13" x14ac:dyDescent="0.3">
      <c r="A8527" t="s">
        <v>28</v>
      </c>
      <c r="B8527" t="s">
        <v>44</v>
      </c>
      <c r="C8527" t="s">
        <v>15</v>
      </c>
      <c r="D8527" t="s">
        <v>55</v>
      </c>
      <c r="E8527" t="s">
        <v>56</v>
      </c>
      <c r="F8527">
        <v>19143</v>
      </c>
      <c r="G8527" t="s">
        <v>57</v>
      </c>
      <c r="H8527" t="s">
        <v>26</v>
      </c>
      <c r="I8527" t="s">
        <v>34</v>
      </c>
      <c r="J8527">
        <v>8.016</v>
      </c>
      <c r="K8527">
        <v>3</v>
      </c>
      <c r="L8527">
        <v>0.2</v>
      </c>
      <c r="M8527">
        <v>1.002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35</v>
      </c>
      <c r="I8528" t="s">
        <v>162</v>
      </c>
      <c r="J8528">
        <v>479.98399999999998</v>
      </c>
      <c r="K8528">
        <v>2</v>
      </c>
      <c r="L8528">
        <v>0.2</v>
      </c>
      <c r="M8528">
        <v>59.997999999999998</v>
      </c>
    </row>
    <row r="8529" spans="1:13" x14ac:dyDescent="0.3">
      <c r="A8529" t="s">
        <v>28</v>
      </c>
      <c r="B8529" t="s">
        <v>14</v>
      </c>
      <c r="C8529" t="s">
        <v>15</v>
      </c>
      <c r="D8529" t="s">
        <v>23</v>
      </c>
      <c r="E8529" t="s">
        <v>24</v>
      </c>
      <c r="F8529">
        <v>90008</v>
      </c>
      <c r="G8529" t="s">
        <v>25</v>
      </c>
      <c r="H8529" t="s">
        <v>26</v>
      </c>
      <c r="I8529" t="s">
        <v>37</v>
      </c>
      <c r="J8529">
        <v>30.84</v>
      </c>
      <c r="K8529">
        <v>5</v>
      </c>
      <c r="L8529">
        <v>0.2</v>
      </c>
      <c r="M8529">
        <v>9.6374999999999993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26</v>
      </c>
      <c r="I8530" t="s">
        <v>32</v>
      </c>
      <c r="J8530">
        <v>33.567999999999998</v>
      </c>
      <c r="K8530">
        <v>2</v>
      </c>
      <c r="L8530">
        <v>0.2</v>
      </c>
      <c r="M8530">
        <v>1.6783999999999999</v>
      </c>
    </row>
    <row r="8531" spans="1:13" x14ac:dyDescent="0.3">
      <c r="A8531" t="s">
        <v>62</v>
      </c>
      <c r="B8531" t="s">
        <v>22</v>
      </c>
      <c r="C8531" t="s">
        <v>15</v>
      </c>
      <c r="D8531" t="s">
        <v>55</v>
      </c>
      <c r="E8531" t="s">
        <v>56</v>
      </c>
      <c r="F8531">
        <v>19140</v>
      </c>
      <c r="G8531" t="s">
        <v>57</v>
      </c>
      <c r="H8531" t="s">
        <v>19</v>
      </c>
      <c r="I8531" t="s">
        <v>21</v>
      </c>
      <c r="J8531">
        <v>422.625</v>
      </c>
      <c r="K8531">
        <v>7</v>
      </c>
      <c r="L8531">
        <v>0.3</v>
      </c>
      <c r="M8531">
        <v>0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75</v>
      </c>
      <c r="E8532" t="s">
        <v>76</v>
      </c>
      <c r="F8532">
        <v>10035</v>
      </c>
      <c r="G8532" t="s">
        <v>57</v>
      </c>
      <c r="H8532" t="s">
        <v>35</v>
      </c>
      <c r="I8532" t="s">
        <v>59</v>
      </c>
      <c r="J8532">
        <v>199.98</v>
      </c>
      <c r="K8532">
        <v>2</v>
      </c>
      <c r="L8532">
        <v>0</v>
      </c>
      <c r="M8532">
        <v>83.991600000000005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20.239999999999998</v>
      </c>
      <c r="K8533">
        <v>1</v>
      </c>
      <c r="L8533">
        <v>0</v>
      </c>
      <c r="M8533">
        <v>8.7032000000000007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19</v>
      </c>
      <c r="I8534" t="s">
        <v>33</v>
      </c>
      <c r="J8534">
        <v>39.92</v>
      </c>
      <c r="K8534">
        <v>4</v>
      </c>
      <c r="L8534">
        <v>0</v>
      </c>
      <c r="M8534">
        <v>11.1776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103</v>
      </c>
      <c r="E8535" t="s">
        <v>167</v>
      </c>
      <c r="F8535">
        <v>31907</v>
      </c>
      <c r="G8535" t="s">
        <v>18</v>
      </c>
      <c r="H8535" t="s">
        <v>26</v>
      </c>
      <c r="I8535" t="s">
        <v>37</v>
      </c>
      <c r="J8535">
        <v>32.54</v>
      </c>
      <c r="K8535">
        <v>2</v>
      </c>
      <c r="L8535">
        <v>0</v>
      </c>
      <c r="M8535">
        <v>15.944599999999999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35</v>
      </c>
      <c r="I8536" t="s">
        <v>59</v>
      </c>
      <c r="J8536">
        <v>39</v>
      </c>
      <c r="K8536">
        <v>3</v>
      </c>
      <c r="L8536">
        <v>0</v>
      </c>
      <c r="M8536">
        <v>17.55</v>
      </c>
    </row>
    <row r="8537" spans="1:13" x14ac:dyDescent="0.3">
      <c r="A8537" t="s">
        <v>28</v>
      </c>
      <c r="B8537" t="s">
        <v>22</v>
      </c>
      <c r="C8537" t="s">
        <v>15</v>
      </c>
      <c r="D8537" t="s">
        <v>23</v>
      </c>
      <c r="E8537" t="s">
        <v>24</v>
      </c>
      <c r="F8537">
        <v>90049</v>
      </c>
      <c r="G8537" t="s">
        <v>25</v>
      </c>
      <c r="H8537" t="s">
        <v>26</v>
      </c>
      <c r="I8537" t="s">
        <v>27</v>
      </c>
      <c r="J8537">
        <v>12.6</v>
      </c>
      <c r="K8537">
        <v>4</v>
      </c>
      <c r="L8537">
        <v>0</v>
      </c>
      <c r="M8537">
        <v>6.048</v>
      </c>
    </row>
    <row r="8538" spans="1:13" x14ac:dyDescent="0.3">
      <c r="A8538" t="s">
        <v>62</v>
      </c>
      <c r="B8538" t="s">
        <v>22</v>
      </c>
      <c r="C8538" t="s">
        <v>15</v>
      </c>
      <c r="D8538" t="s">
        <v>97</v>
      </c>
      <c r="E8538" t="s">
        <v>98</v>
      </c>
      <c r="F8538">
        <v>80013</v>
      </c>
      <c r="G8538" t="s">
        <v>25</v>
      </c>
      <c r="H8538" t="s">
        <v>19</v>
      </c>
      <c r="I8538" t="s">
        <v>33</v>
      </c>
      <c r="J8538">
        <v>24.64</v>
      </c>
      <c r="K8538">
        <v>4</v>
      </c>
      <c r="L8538">
        <v>0.2</v>
      </c>
      <c r="M8538">
        <v>4.0039999999999996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27</v>
      </c>
      <c r="J8539">
        <v>6.2640000000000002</v>
      </c>
      <c r="K8539">
        <v>3</v>
      </c>
      <c r="L8539">
        <v>0.2</v>
      </c>
      <c r="M8539">
        <v>2.0358000000000001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61</v>
      </c>
      <c r="E8540" t="s">
        <v>46</v>
      </c>
      <c r="F8540">
        <v>77041</v>
      </c>
      <c r="G8540" t="s">
        <v>47</v>
      </c>
      <c r="H8540" t="s">
        <v>26</v>
      </c>
      <c r="I8540" t="s">
        <v>77</v>
      </c>
      <c r="J8540">
        <v>14.432</v>
      </c>
      <c r="K8540">
        <v>4</v>
      </c>
      <c r="L8540">
        <v>0.2</v>
      </c>
      <c r="M8540">
        <v>3.4276</v>
      </c>
    </row>
    <row r="8541" spans="1:13" x14ac:dyDescent="0.3">
      <c r="A8541" t="s">
        <v>28</v>
      </c>
      <c r="B8541" t="s">
        <v>22</v>
      </c>
      <c r="C8541" t="s">
        <v>15</v>
      </c>
      <c r="D8541" t="s">
        <v>79</v>
      </c>
      <c r="E8541" t="s">
        <v>65</v>
      </c>
      <c r="F8541">
        <v>60623</v>
      </c>
      <c r="G8541" t="s">
        <v>47</v>
      </c>
      <c r="H8541" t="s">
        <v>35</v>
      </c>
      <c r="I8541" t="s">
        <v>162</v>
      </c>
      <c r="J8541">
        <v>719.976</v>
      </c>
      <c r="K8541">
        <v>3</v>
      </c>
      <c r="L8541">
        <v>0.2</v>
      </c>
      <c r="M8541">
        <v>134.99549999999999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87</v>
      </c>
      <c r="E8542" t="s">
        <v>88</v>
      </c>
      <c r="F8542">
        <v>35601</v>
      </c>
      <c r="G8542" t="s">
        <v>18</v>
      </c>
      <c r="H8542" t="s">
        <v>35</v>
      </c>
      <c r="I8542" t="s">
        <v>59</v>
      </c>
      <c r="J8542">
        <v>239.92</v>
      </c>
      <c r="K8542">
        <v>8</v>
      </c>
      <c r="L8542">
        <v>0</v>
      </c>
      <c r="M8542">
        <v>23.992000000000001</v>
      </c>
    </row>
    <row r="8543" spans="1:13" x14ac:dyDescent="0.3">
      <c r="A8543" t="s">
        <v>62</v>
      </c>
      <c r="B8543" t="s">
        <v>14</v>
      </c>
      <c r="C8543" t="s">
        <v>15</v>
      </c>
      <c r="D8543" t="s">
        <v>82</v>
      </c>
      <c r="E8543" t="s">
        <v>83</v>
      </c>
      <c r="F8543">
        <v>22153</v>
      </c>
      <c r="G8543" t="s">
        <v>18</v>
      </c>
      <c r="H8543" t="s">
        <v>19</v>
      </c>
      <c r="I8543" t="s">
        <v>31</v>
      </c>
      <c r="J8543">
        <v>1056.8599999999999</v>
      </c>
      <c r="K8543">
        <v>7</v>
      </c>
      <c r="L8543">
        <v>0</v>
      </c>
      <c r="M8543">
        <v>158.529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35</v>
      </c>
      <c r="I8544" t="s">
        <v>59</v>
      </c>
      <c r="J8544">
        <v>447.94400000000002</v>
      </c>
      <c r="K8544">
        <v>7</v>
      </c>
      <c r="L8544">
        <v>0.2</v>
      </c>
      <c r="M8544">
        <v>89.588800000000006</v>
      </c>
    </row>
    <row r="8545" spans="1:13" x14ac:dyDescent="0.3">
      <c r="A8545" t="s">
        <v>168</v>
      </c>
      <c r="B8545" t="s">
        <v>14</v>
      </c>
      <c r="C8545" t="s">
        <v>15</v>
      </c>
      <c r="D8545" t="s">
        <v>459</v>
      </c>
      <c r="E8545" t="s">
        <v>30</v>
      </c>
      <c r="F8545">
        <v>33317</v>
      </c>
      <c r="G8545" t="s">
        <v>18</v>
      </c>
      <c r="H8545" t="s">
        <v>26</v>
      </c>
      <c r="I8545" t="s">
        <v>32</v>
      </c>
      <c r="J8545">
        <v>150.40799999999999</v>
      </c>
      <c r="K8545">
        <v>9</v>
      </c>
      <c r="L8545">
        <v>0.2</v>
      </c>
      <c r="M8545">
        <v>-33.841799999999999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35</v>
      </c>
      <c r="I8546" t="s">
        <v>36</v>
      </c>
      <c r="J8546">
        <v>453.57600000000002</v>
      </c>
      <c r="K8546">
        <v>3</v>
      </c>
      <c r="L8546">
        <v>0.2</v>
      </c>
      <c r="M8546">
        <v>39.687899999999999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26</v>
      </c>
      <c r="I8547" t="s">
        <v>27</v>
      </c>
      <c r="J8547">
        <v>45.36</v>
      </c>
      <c r="K8547">
        <v>9</v>
      </c>
      <c r="L8547">
        <v>0.2</v>
      </c>
      <c r="M8547">
        <v>14.742000000000001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287.88</v>
      </c>
      <c r="K8548">
        <v>3</v>
      </c>
      <c r="L8548">
        <v>0.2</v>
      </c>
      <c r="M8548">
        <v>35.984999999999999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35</v>
      </c>
      <c r="I8549" t="s">
        <v>36</v>
      </c>
      <c r="J8549">
        <v>131.88</v>
      </c>
      <c r="K8549">
        <v>3</v>
      </c>
      <c r="L8549">
        <v>0.2</v>
      </c>
      <c r="M8549">
        <v>14.836499999999999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61</v>
      </c>
      <c r="E8550" t="s">
        <v>46</v>
      </c>
      <c r="F8550">
        <v>77041</v>
      </c>
      <c r="G8550" t="s">
        <v>47</v>
      </c>
      <c r="H8550" t="s">
        <v>19</v>
      </c>
      <c r="I8550" t="s">
        <v>33</v>
      </c>
      <c r="J8550">
        <v>2.3279999999999998</v>
      </c>
      <c r="K8550">
        <v>2</v>
      </c>
      <c r="L8550">
        <v>0.6</v>
      </c>
      <c r="M8550">
        <v>-0.75660000000000005</v>
      </c>
    </row>
    <row r="8551" spans="1:13" x14ac:dyDescent="0.3">
      <c r="A8551" t="s">
        <v>13</v>
      </c>
      <c r="B8551" t="s">
        <v>22</v>
      </c>
      <c r="C8551" t="s">
        <v>15</v>
      </c>
      <c r="D8551" t="s">
        <v>241</v>
      </c>
      <c r="E8551" t="s">
        <v>49</v>
      </c>
      <c r="F8551">
        <v>53209</v>
      </c>
      <c r="G8551" t="s">
        <v>47</v>
      </c>
      <c r="H8551" t="s">
        <v>19</v>
      </c>
      <c r="I8551" t="s">
        <v>21</v>
      </c>
      <c r="J8551">
        <v>1454.9</v>
      </c>
      <c r="K8551">
        <v>5</v>
      </c>
      <c r="L8551">
        <v>0</v>
      </c>
      <c r="M8551">
        <v>378.274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26</v>
      </c>
      <c r="I8552" t="s">
        <v>37</v>
      </c>
      <c r="J8552">
        <v>4.8419999999999996</v>
      </c>
      <c r="K8552">
        <v>3</v>
      </c>
      <c r="L8552">
        <v>0.7</v>
      </c>
      <c r="M8552">
        <v>-3.5508000000000002</v>
      </c>
    </row>
    <row r="8553" spans="1:13" x14ac:dyDescent="0.3">
      <c r="A8553" t="s">
        <v>28</v>
      </c>
      <c r="B8553" t="s">
        <v>44</v>
      </c>
      <c r="C8553" t="s">
        <v>15</v>
      </c>
      <c r="D8553" t="s">
        <v>601</v>
      </c>
      <c r="E8553" t="s">
        <v>30</v>
      </c>
      <c r="F8553">
        <v>32771</v>
      </c>
      <c r="G8553" t="s">
        <v>18</v>
      </c>
      <c r="H8553" t="s">
        <v>19</v>
      </c>
      <c r="I8553" t="s">
        <v>33</v>
      </c>
      <c r="J8553">
        <v>220.70400000000001</v>
      </c>
      <c r="K8553">
        <v>6</v>
      </c>
      <c r="L8553">
        <v>0.2</v>
      </c>
      <c r="M8553">
        <v>-8.2764000000000006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35</v>
      </c>
      <c r="I8554" t="s">
        <v>36</v>
      </c>
      <c r="J8554">
        <v>67.176000000000002</v>
      </c>
      <c r="K8554">
        <v>3</v>
      </c>
      <c r="L8554">
        <v>0.2</v>
      </c>
      <c r="M8554">
        <v>6.7176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488</v>
      </c>
      <c r="E8555" t="s">
        <v>46</v>
      </c>
      <c r="F8555">
        <v>75056</v>
      </c>
      <c r="G8555" t="s">
        <v>47</v>
      </c>
      <c r="H8555" t="s">
        <v>26</v>
      </c>
      <c r="I8555" t="s">
        <v>41</v>
      </c>
      <c r="J8555">
        <v>15.231999999999999</v>
      </c>
      <c r="K8555">
        <v>4</v>
      </c>
      <c r="L8555">
        <v>0.2</v>
      </c>
      <c r="M8555">
        <v>5.5216000000000003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78</v>
      </c>
      <c r="E8556" t="s">
        <v>104</v>
      </c>
      <c r="F8556">
        <v>45373</v>
      </c>
      <c r="G8556" t="s">
        <v>57</v>
      </c>
      <c r="H8556" t="s">
        <v>26</v>
      </c>
      <c r="I8556" t="s">
        <v>41</v>
      </c>
      <c r="J8556">
        <v>31.103999999999999</v>
      </c>
      <c r="K8556">
        <v>6</v>
      </c>
      <c r="L8556">
        <v>0.2</v>
      </c>
      <c r="M8556">
        <v>10.8864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968.74400000000003</v>
      </c>
      <c r="K8557">
        <v>7</v>
      </c>
      <c r="L8557">
        <v>0.2</v>
      </c>
      <c r="M8557">
        <v>314.84179999999998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26</v>
      </c>
      <c r="I8558" t="s">
        <v>37</v>
      </c>
      <c r="J8558">
        <v>222.352</v>
      </c>
      <c r="K8558">
        <v>13</v>
      </c>
      <c r="L8558">
        <v>0.2</v>
      </c>
      <c r="M8558">
        <v>77.8232</v>
      </c>
    </row>
    <row r="8559" spans="1:13" x14ac:dyDescent="0.3">
      <c r="A8559" t="s">
        <v>28</v>
      </c>
      <c r="B8559" t="s">
        <v>22</v>
      </c>
      <c r="C8559" t="s">
        <v>15</v>
      </c>
      <c r="D8559" t="s">
        <v>426</v>
      </c>
      <c r="E8559" t="s">
        <v>76</v>
      </c>
      <c r="F8559">
        <v>11550</v>
      </c>
      <c r="G8559" t="s">
        <v>57</v>
      </c>
      <c r="H8559" t="s">
        <v>35</v>
      </c>
      <c r="I8559" t="s">
        <v>162</v>
      </c>
      <c r="J8559">
        <v>479.98399999999998</v>
      </c>
      <c r="K8559">
        <v>2</v>
      </c>
      <c r="L8559">
        <v>0.2</v>
      </c>
      <c r="M8559">
        <v>89.997</v>
      </c>
    </row>
    <row r="8560" spans="1:13" x14ac:dyDescent="0.3">
      <c r="A8560" t="s">
        <v>168</v>
      </c>
      <c r="B8560" t="s">
        <v>44</v>
      </c>
      <c r="C8560" t="s">
        <v>15</v>
      </c>
      <c r="D8560" t="s">
        <v>135</v>
      </c>
      <c r="E8560" t="s">
        <v>46</v>
      </c>
      <c r="F8560">
        <v>75081</v>
      </c>
      <c r="G8560" t="s">
        <v>47</v>
      </c>
      <c r="H8560" t="s">
        <v>26</v>
      </c>
      <c r="I8560" t="s">
        <v>41</v>
      </c>
      <c r="J8560">
        <v>10.272</v>
      </c>
      <c r="K8560">
        <v>3</v>
      </c>
      <c r="L8560">
        <v>0.2</v>
      </c>
      <c r="M8560">
        <v>3.21</v>
      </c>
    </row>
    <row r="8561" spans="1:13" x14ac:dyDescent="0.3">
      <c r="A8561" t="s">
        <v>28</v>
      </c>
      <c r="B8561" t="s">
        <v>14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123</v>
      </c>
      <c r="J8561">
        <v>998.85</v>
      </c>
      <c r="K8561">
        <v>5</v>
      </c>
      <c r="L8561">
        <v>0.4</v>
      </c>
      <c r="M8561">
        <v>-199.77</v>
      </c>
    </row>
    <row r="8562" spans="1:13" x14ac:dyDescent="0.3">
      <c r="A8562" t="s">
        <v>62</v>
      </c>
      <c r="B8562" t="s">
        <v>14</v>
      </c>
      <c r="C8562" t="s">
        <v>15</v>
      </c>
      <c r="D8562" t="s">
        <v>75</v>
      </c>
      <c r="E8562" t="s">
        <v>76</v>
      </c>
      <c r="F8562">
        <v>10035</v>
      </c>
      <c r="G8562" t="s">
        <v>57</v>
      </c>
      <c r="H8562" t="s">
        <v>26</v>
      </c>
      <c r="I8562" t="s">
        <v>41</v>
      </c>
      <c r="J8562">
        <v>24.56</v>
      </c>
      <c r="K8562">
        <v>2</v>
      </c>
      <c r="L8562">
        <v>0</v>
      </c>
      <c r="M8562">
        <v>11.543200000000001</v>
      </c>
    </row>
    <row r="8563" spans="1:13" x14ac:dyDescent="0.3">
      <c r="A8563" t="s">
        <v>168</v>
      </c>
      <c r="B8563" t="s">
        <v>44</v>
      </c>
      <c r="C8563" t="s">
        <v>15</v>
      </c>
      <c r="D8563" t="s">
        <v>52</v>
      </c>
      <c r="E8563" t="s">
        <v>24</v>
      </c>
      <c r="F8563">
        <v>94110</v>
      </c>
      <c r="G8563" t="s">
        <v>25</v>
      </c>
      <c r="H8563" t="s">
        <v>26</v>
      </c>
      <c r="I8563" t="s">
        <v>77</v>
      </c>
      <c r="J8563">
        <v>5.67</v>
      </c>
      <c r="K8563">
        <v>3</v>
      </c>
      <c r="L8563">
        <v>0</v>
      </c>
      <c r="M8563">
        <v>0.1134</v>
      </c>
    </row>
    <row r="8564" spans="1:13" x14ac:dyDescent="0.3">
      <c r="A8564" t="s">
        <v>13</v>
      </c>
      <c r="B8564" t="s">
        <v>14</v>
      </c>
      <c r="C8564" t="s">
        <v>15</v>
      </c>
      <c r="D8564" t="s">
        <v>460</v>
      </c>
      <c r="E8564" t="s">
        <v>30</v>
      </c>
      <c r="F8564">
        <v>34952</v>
      </c>
      <c r="G8564" t="s">
        <v>18</v>
      </c>
      <c r="H8564" t="s">
        <v>26</v>
      </c>
      <c r="I8564" t="s">
        <v>38</v>
      </c>
      <c r="J8564">
        <v>14.336</v>
      </c>
      <c r="K8564">
        <v>4</v>
      </c>
      <c r="L8564">
        <v>0.2</v>
      </c>
      <c r="M8564">
        <v>0.89600000000000002</v>
      </c>
    </row>
    <row r="8565" spans="1:13" x14ac:dyDescent="0.3">
      <c r="A8565" t="s">
        <v>62</v>
      </c>
      <c r="B8565" t="s">
        <v>14</v>
      </c>
      <c r="C8565" t="s">
        <v>15</v>
      </c>
      <c r="D8565" t="s">
        <v>39</v>
      </c>
      <c r="E8565" t="s">
        <v>247</v>
      </c>
      <c r="F8565">
        <v>3301</v>
      </c>
      <c r="G8565" t="s">
        <v>57</v>
      </c>
      <c r="H8565" t="s">
        <v>19</v>
      </c>
      <c r="I8565" t="s">
        <v>33</v>
      </c>
      <c r="J8565">
        <v>102.3</v>
      </c>
      <c r="K8565">
        <v>1</v>
      </c>
      <c r="L8565">
        <v>0</v>
      </c>
      <c r="M8565">
        <v>26.597999999999999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19</v>
      </c>
      <c r="I8566" t="s">
        <v>31</v>
      </c>
      <c r="J8566">
        <v>607.52</v>
      </c>
      <c r="K8566">
        <v>2</v>
      </c>
      <c r="L8566">
        <v>0</v>
      </c>
      <c r="M8566">
        <v>97.203199999999995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92</v>
      </c>
      <c r="E8567" t="s">
        <v>68</v>
      </c>
      <c r="F8567">
        <v>55901</v>
      </c>
      <c r="G8567" t="s">
        <v>47</v>
      </c>
      <c r="H8567" t="s">
        <v>26</v>
      </c>
      <c r="I8567" t="s">
        <v>32</v>
      </c>
      <c r="J8567">
        <v>31.16</v>
      </c>
      <c r="K8567">
        <v>2</v>
      </c>
      <c r="L8567">
        <v>0</v>
      </c>
      <c r="M8567">
        <v>7.79</v>
      </c>
    </row>
    <row r="8568" spans="1:13" x14ac:dyDescent="0.3">
      <c r="A8568" t="s">
        <v>28</v>
      </c>
      <c r="B8568" t="s">
        <v>14</v>
      </c>
      <c r="C8568" t="s">
        <v>15</v>
      </c>
      <c r="D8568" t="s">
        <v>183</v>
      </c>
      <c r="E8568" t="s">
        <v>17</v>
      </c>
      <c r="F8568">
        <v>40214</v>
      </c>
      <c r="G8568" t="s">
        <v>18</v>
      </c>
      <c r="H8568" t="s">
        <v>26</v>
      </c>
      <c r="I8568" t="s">
        <v>27</v>
      </c>
      <c r="J8568">
        <v>2.61</v>
      </c>
      <c r="K8568">
        <v>1</v>
      </c>
      <c r="L8568">
        <v>0</v>
      </c>
      <c r="M8568">
        <v>1.2005999999999999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19</v>
      </c>
      <c r="I8569" t="s">
        <v>33</v>
      </c>
      <c r="J8569">
        <v>10.332000000000001</v>
      </c>
      <c r="K8569">
        <v>3</v>
      </c>
      <c r="L8569">
        <v>0.6</v>
      </c>
      <c r="M8569">
        <v>-5.9409000000000001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26</v>
      </c>
      <c r="I8570" t="s">
        <v>41</v>
      </c>
      <c r="J8570">
        <v>10.368</v>
      </c>
      <c r="K8570">
        <v>2</v>
      </c>
      <c r="L8570">
        <v>0.2</v>
      </c>
      <c r="M8570">
        <v>3.6288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35</v>
      </c>
      <c r="I8571" t="s">
        <v>59</v>
      </c>
      <c r="J8571">
        <v>20.783999999999999</v>
      </c>
      <c r="K8571">
        <v>2</v>
      </c>
      <c r="L8571">
        <v>0.2</v>
      </c>
      <c r="M8571">
        <v>-3.6372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602</v>
      </c>
      <c r="E8572" t="s">
        <v>46</v>
      </c>
      <c r="F8572">
        <v>78666</v>
      </c>
      <c r="G8572" t="s">
        <v>47</v>
      </c>
      <c r="H8572" t="s">
        <v>26</v>
      </c>
      <c r="I8572" t="s">
        <v>32</v>
      </c>
      <c r="J8572">
        <v>66.959999999999994</v>
      </c>
      <c r="K8572">
        <v>5</v>
      </c>
      <c r="L8572">
        <v>0.2</v>
      </c>
      <c r="M8572">
        <v>-13.391999999999999</v>
      </c>
    </row>
    <row r="8573" spans="1:13" x14ac:dyDescent="0.3">
      <c r="A8573" t="s">
        <v>13</v>
      </c>
      <c r="B8573" t="s">
        <v>22</v>
      </c>
      <c r="C8573" t="s">
        <v>15</v>
      </c>
      <c r="D8573" t="s">
        <v>279</v>
      </c>
      <c r="E8573" t="s">
        <v>24</v>
      </c>
      <c r="F8573">
        <v>92025</v>
      </c>
      <c r="G8573" t="s">
        <v>25</v>
      </c>
      <c r="H8573" t="s">
        <v>26</v>
      </c>
      <c r="I8573" t="s">
        <v>37</v>
      </c>
      <c r="J8573">
        <v>17.248000000000001</v>
      </c>
      <c r="K8573">
        <v>2</v>
      </c>
      <c r="L8573">
        <v>0.2</v>
      </c>
      <c r="M8573">
        <v>6.0368000000000004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55</v>
      </c>
      <c r="E8574" t="s">
        <v>56</v>
      </c>
      <c r="F8574">
        <v>19134</v>
      </c>
      <c r="G8574" t="s">
        <v>57</v>
      </c>
      <c r="H8574" t="s">
        <v>26</v>
      </c>
      <c r="I8574" t="s">
        <v>37</v>
      </c>
      <c r="J8574">
        <v>11.087999999999999</v>
      </c>
      <c r="K8574">
        <v>7</v>
      </c>
      <c r="L8574">
        <v>0.7</v>
      </c>
      <c r="M8574">
        <v>-8.1311999999999998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35</v>
      </c>
      <c r="I8575" t="s">
        <v>59</v>
      </c>
      <c r="J8575">
        <v>1287.45</v>
      </c>
      <c r="K8575">
        <v>5</v>
      </c>
      <c r="L8575">
        <v>0</v>
      </c>
      <c r="M8575">
        <v>244.6155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23</v>
      </c>
      <c r="E8576" t="s">
        <v>24</v>
      </c>
      <c r="F8576">
        <v>90049</v>
      </c>
      <c r="G8576" t="s">
        <v>25</v>
      </c>
      <c r="H8576" t="s">
        <v>26</v>
      </c>
      <c r="I8576" t="s">
        <v>38</v>
      </c>
      <c r="J8576">
        <v>168.1</v>
      </c>
      <c r="K8576">
        <v>5</v>
      </c>
      <c r="L8576">
        <v>0</v>
      </c>
      <c r="M8576">
        <v>43.706000000000003</v>
      </c>
    </row>
    <row r="8577" spans="1:13" x14ac:dyDescent="0.3">
      <c r="A8577" t="s">
        <v>28</v>
      </c>
      <c r="B8577" t="s">
        <v>22</v>
      </c>
      <c r="C8577" t="s">
        <v>15</v>
      </c>
      <c r="D8577" t="s">
        <v>55</v>
      </c>
      <c r="E8577" t="s">
        <v>56</v>
      </c>
      <c r="F8577">
        <v>19140</v>
      </c>
      <c r="G8577" t="s">
        <v>57</v>
      </c>
      <c r="H8577" t="s">
        <v>26</v>
      </c>
      <c r="I8577" t="s">
        <v>32</v>
      </c>
      <c r="J8577">
        <v>51.968000000000004</v>
      </c>
      <c r="K8577">
        <v>2</v>
      </c>
      <c r="L8577">
        <v>0.2</v>
      </c>
      <c r="M8577">
        <v>-10.393599999999999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55</v>
      </c>
      <c r="E8578" t="s">
        <v>56</v>
      </c>
      <c r="F8578">
        <v>19120</v>
      </c>
      <c r="G8578" t="s">
        <v>57</v>
      </c>
      <c r="H8578" t="s">
        <v>26</v>
      </c>
      <c r="I8578" t="s">
        <v>34</v>
      </c>
      <c r="J8578">
        <v>4.7679999999999998</v>
      </c>
      <c r="K8578">
        <v>2</v>
      </c>
      <c r="L8578">
        <v>0.2</v>
      </c>
      <c r="M8578">
        <v>0.4768</v>
      </c>
    </row>
    <row r="8579" spans="1:13" x14ac:dyDescent="0.3">
      <c r="A8579" t="s">
        <v>62</v>
      </c>
      <c r="B8579" t="s">
        <v>22</v>
      </c>
      <c r="C8579" t="s">
        <v>15</v>
      </c>
      <c r="D8579" t="s">
        <v>426</v>
      </c>
      <c r="E8579" t="s">
        <v>76</v>
      </c>
      <c r="F8579">
        <v>11550</v>
      </c>
      <c r="G8579" t="s">
        <v>57</v>
      </c>
      <c r="H8579" t="s">
        <v>26</v>
      </c>
      <c r="I8579" t="s">
        <v>60</v>
      </c>
      <c r="J8579">
        <v>7.98</v>
      </c>
      <c r="K8579">
        <v>3</v>
      </c>
      <c r="L8579">
        <v>0</v>
      </c>
      <c r="M8579">
        <v>3.9102000000000001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26</v>
      </c>
      <c r="I8580" t="s">
        <v>60</v>
      </c>
      <c r="J8580">
        <v>18.687999999999999</v>
      </c>
      <c r="K8580">
        <v>2</v>
      </c>
      <c r="L8580">
        <v>0.2</v>
      </c>
      <c r="M8580">
        <v>7.008</v>
      </c>
    </row>
    <row r="8581" spans="1:13" x14ac:dyDescent="0.3">
      <c r="A8581" t="s">
        <v>62</v>
      </c>
      <c r="B8581" t="s">
        <v>14</v>
      </c>
      <c r="C8581" t="s">
        <v>15</v>
      </c>
      <c r="D8581" t="s">
        <v>603</v>
      </c>
      <c r="E8581" t="s">
        <v>98</v>
      </c>
      <c r="F8581">
        <v>80634</v>
      </c>
      <c r="G8581" t="s">
        <v>25</v>
      </c>
      <c r="H8581" t="s">
        <v>19</v>
      </c>
      <c r="I8581" t="s">
        <v>33</v>
      </c>
      <c r="J8581">
        <v>11.664</v>
      </c>
      <c r="K8581">
        <v>3</v>
      </c>
      <c r="L8581">
        <v>0.2</v>
      </c>
      <c r="M8581">
        <v>3.3534000000000002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59</v>
      </c>
      <c r="J8582">
        <v>191.976</v>
      </c>
      <c r="K8582">
        <v>3</v>
      </c>
      <c r="L8582">
        <v>0.2</v>
      </c>
      <c r="M8582">
        <v>38.395200000000003</v>
      </c>
    </row>
    <row r="8583" spans="1:13" x14ac:dyDescent="0.3">
      <c r="A8583" t="s">
        <v>28</v>
      </c>
      <c r="B8583" t="s">
        <v>44</v>
      </c>
      <c r="C8583" t="s">
        <v>15</v>
      </c>
      <c r="D8583" t="s">
        <v>189</v>
      </c>
      <c r="E8583" t="s">
        <v>30</v>
      </c>
      <c r="F8583">
        <v>32216</v>
      </c>
      <c r="G8583" t="s">
        <v>18</v>
      </c>
      <c r="H8583" t="s">
        <v>35</v>
      </c>
      <c r="I8583" t="s">
        <v>36</v>
      </c>
      <c r="J8583">
        <v>499.16800000000001</v>
      </c>
      <c r="K8583">
        <v>4</v>
      </c>
      <c r="L8583">
        <v>0.2</v>
      </c>
      <c r="M8583">
        <v>31.198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37</v>
      </c>
      <c r="J8584">
        <v>11.88</v>
      </c>
      <c r="K8584">
        <v>2</v>
      </c>
      <c r="L8584">
        <v>0</v>
      </c>
      <c r="M8584">
        <v>5.3460000000000001</v>
      </c>
    </row>
    <row r="8585" spans="1:13" x14ac:dyDescent="0.3">
      <c r="A8585" t="s">
        <v>62</v>
      </c>
      <c r="B8585" t="s">
        <v>22</v>
      </c>
      <c r="C8585" t="s">
        <v>15</v>
      </c>
      <c r="D8585" t="s">
        <v>155</v>
      </c>
      <c r="E8585" t="s">
        <v>83</v>
      </c>
      <c r="F8585">
        <v>22204</v>
      </c>
      <c r="G8585" t="s">
        <v>18</v>
      </c>
      <c r="H8585" t="s">
        <v>26</v>
      </c>
      <c r="I8585" t="s">
        <v>41</v>
      </c>
      <c r="J8585">
        <v>35.44</v>
      </c>
      <c r="K8585">
        <v>1</v>
      </c>
      <c r="L8585">
        <v>0</v>
      </c>
      <c r="M8585">
        <v>16.6568</v>
      </c>
    </row>
    <row r="8586" spans="1:13" x14ac:dyDescent="0.3">
      <c r="A8586" t="s">
        <v>28</v>
      </c>
      <c r="B8586" t="s">
        <v>44</v>
      </c>
      <c r="C8586" t="s">
        <v>15</v>
      </c>
      <c r="D8586" t="s">
        <v>52</v>
      </c>
      <c r="E8586" t="s">
        <v>24</v>
      </c>
      <c r="F8586">
        <v>94122</v>
      </c>
      <c r="G8586" t="s">
        <v>25</v>
      </c>
      <c r="H8586" t="s">
        <v>26</v>
      </c>
      <c r="I8586" t="s">
        <v>37</v>
      </c>
      <c r="J8586">
        <v>67.135999999999996</v>
      </c>
      <c r="K8586">
        <v>4</v>
      </c>
      <c r="L8586">
        <v>0.2</v>
      </c>
      <c r="M8586">
        <v>25.175999999999998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37</v>
      </c>
      <c r="J8587">
        <v>4.32</v>
      </c>
      <c r="K8587">
        <v>3</v>
      </c>
      <c r="L8587">
        <v>0.2</v>
      </c>
      <c r="M8587">
        <v>1.512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41</v>
      </c>
      <c r="J8588">
        <v>14.94</v>
      </c>
      <c r="K8588">
        <v>3</v>
      </c>
      <c r="L8588">
        <v>0</v>
      </c>
      <c r="M8588">
        <v>7.0217999999999998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38</v>
      </c>
      <c r="J8589">
        <v>40.54</v>
      </c>
      <c r="K8589">
        <v>2</v>
      </c>
      <c r="L8589">
        <v>0</v>
      </c>
      <c r="M8589">
        <v>11.3512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286</v>
      </c>
      <c r="E8590" t="s">
        <v>24</v>
      </c>
      <c r="F8590">
        <v>93727</v>
      </c>
      <c r="G8590" t="s">
        <v>25</v>
      </c>
      <c r="H8590" t="s">
        <v>26</v>
      </c>
      <c r="I8590" t="s">
        <v>37</v>
      </c>
      <c r="J8590">
        <v>7.3120000000000003</v>
      </c>
      <c r="K8590">
        <v>1</v>
      </c>
      <c r="L8590">
        <v>0.2</v>
      </c>
      <c r="M8590">
        <v>2.5592000000000001</v>
      </c>
    </row>
    <row r="8591" spans="1:13" x14ac:dyDescent="0.3">
      <c r="A8591" t="s">
        <v>168</v>
      </c>
      <c r="B8591" t="s">
        <v>44</v>
      </c>
      <c r="C8591" t="s">
        <v>15</v>
      </c>
      <c r="D8591" t="s">
        <v>277</v>
      </c>
      <c r="E8591" t="s">
        <v>177</v>
      </c>
      <c r="F8591">
        <v>89502</v>
      </c>
      <c r="G8591" t="s">
        <v>25</v>
      </c>
      <c r="H8591" t="s">
        <v>35</v>
      </c>
      <c r="I8591" t="s">
        <v>36</v>
      </c>
      <c r="J8591">
        <v>475.94400000000002</v>
      </c>
      <c r="K8591">
        <v>7</v>
      </c>
      <c r="L8591">
        <v>0.2</v>
      </c>
      <c r="M8591">
        <v>59.493000000000002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30.08</v>
      </c>
      <c r="K8592">
        <v>2</v>
      </c>
      <c r="L8592">
        <v>0.2</v>
      </c>
      <c r="M8592">
        <v>-5.2640000000000002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59</v>
      </c>
      <c r="J8593">
        <v>165.6</v>
      </c>
      <c r="K8593">
        <v>3</v>
      </c>
      <c r="L8593">
        <v>0.2</v>
      </c>
      <c r="M8593">
        <v>-6.21</v>
      </c>
    </row>
    <row r="8594" spans="1:13" x14ac:dyDescent="0.3">
      <c r="A8594" t="s">
        <v>28</v>
      </c>
      <c r="B8594" t="s">
        <v>22</v>
      </c>
      <c r="C8594" t="s">
        <v>15</v>
      </c>
      <c r="D8594" t="s">
        <v>122</v>
      </c>
      <c r="E8594" t="s">
        <v>46</v>
      </c>
      <c r="F8594">
        <v>78207</v>
      </c>
      <c r="G8594" t="s">
        <v>47</v>
      </c>
      <c r="H8594" t="s">
        <v>35</v>
      </c>
      <c r="I8594" t="s">
        <v>36</v>
      </c>
      <c r="J8594">
        <v>180.96</v>
      </c>
      <c r="K8594">
        <v>5</v>
      </c>
      <c r="L8594">
        <v>0.2</v>
      </c>
      <c r="M8594">
        <v>13.571999999999999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302</v>
      </c>
      <c r="E8595" t="s">
        <v>166</v>
      </c>
      <c r="F8595">
        <v>2740</v>
      </c>
      <c r="G8595" t="s">
        <v>57</v>
      </c>
      <c r="H8595" t="s">
        <v>35</v>
      </c>
      <c r="I8595" t="s">
        <v>59</v>
      </c>
      <c r="J8595">
        <v>23.18</v>
      </c>
      <c r="K8595">
        <v>2</v>
      </c>
      <c r="L8595">
        <v>0</v>
      </c>
      <c r="M8595">
        <v>7.6494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19</v>
      </c>
      <c r="I8596" t="s">
        <v>33</v>
      </c>
      <c r="J8596">
        <v>56.96</v>
      </c>
      <c r="K8596">
        <v>2</v>
      </c>
      <c r="L8596">
        <v>0</v>
      </c>
      <c r="M8596">
        <v>21.075199999999999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26</v>
      </c>
      <c r="I8597" t="s">
        <v>38</v>
      </c>
      <c r="J8597">
        <v>15.56</v>
      </c>
      <c r="K8597">
        <v>4</v>
      </c>
      <c r="L8597">
        <v>0</v>
      </c>
      <c r="M8597">
        <v>4.0456000000000003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20</v>
      </c>
      <c r="J8598">
        <v>353.56799999999998</v>
      </c>
      <c r="K8598">
        <v>2</v>
      </c>
      <c r="L8598">
        <v>0.2</v>
      </c>
      <c r="M8598">
        <v>-44.195999999999998</v>
      </c>
    </row>
    <row r="8599" spans="1:13" x14ac:dyDescent="0.3">
      <c r="A8599" t="s">
        <v>28</v>
      </c>
      <c r="B8599" t="s">
        <v>14</v>
      </c>
      <c r="C8599" t="s">
        <v>15</v>
      </c>
      <c r="D8599" t="s">
        <v>75</v>
      </c>
      <c r="E8599" t="s">
        <v>76</v>
      </c>
      <c r="F8599">
        <v>10035</v>
      </c>
      <c r="G8599" t="s">
        <v>57</v>
      </c>
      <c r="H8599" t="s">
        <v>19</v>
      </c>
      <c r="I8599" t="s">
        <v>33</v>
      </c>
      <c r="J8599">
        <v>13.96</v>
      </c>
      <c r="K8599">
        <v>2</v>
      </c>
      <c r="L8599">
        <v>0</v>
      </c>
      <c r="M8599">
        <v>6.7008000000000001</v>
      </c>
    </row>
    <row r="8600" spans="1:13" x14ac:dyDescent="0.3">
      <c r="A8600" t="s">
        <v>13</v>
      </c>
      <c r="B8600" t="s">
        <v>14</v>
      </c>
      <c r="C8600" t="s">
        <v>15</v>
      </c>
      <c r="D8600" t="s">
        <v>567</v>
      </c>
      <c r="E8600" t="s">
        <v>24</v>
      </c>
      <c r="F8600">
        <v>93030</v>
      </c>
      <c r="G8600" t="s">
        <v>25</v>
      </c>
      <c r="H8600" t="s">
        <v>35</v>
      </c>
      <c r="I8600" t="s">
        <v>59</v>
      </c>
      <c r="J8600">
        <v>82.95</v>
      </c>
      <c r="K8600">
        <v>5</v>
      </c>
      <c r="L8600">
        <v>0</v>
      </c>
      <c r="M8600">
        <v>29.032499999999999</v>
      </c>
    </row>
    <row r="8601" spans="1:13" x14ac:dyDescent="0.3">
      <c r="A8601" t="s">
        <v>13</v>
      </c>
      <c r="B8601" t="s">
        <v>22</v>
      </c>
      <c r="C8601" t="s">
        <v>15</v>
      </c>
      <c r="D8601" t="s">
        <v>23</v>
      </c>
      <c r="E8601" t="s">
        <v>24</v>
      </c>
      <c r="F8601">
        <v>90036</v>
      </c>
      <c r="G8601" t="s">
        <v>25</v>
      </c>
      <c r="H8601" t="s">
        <v>26</v>
      </c>
      <c r="I8601" t="s">
        <v>34</v>
      </c>
      <c r="J8601">
        <v>39.68</v>
      </c>
      <c r="K8601">
        <v>2</v>
      </c>
      <c r="L8601">
        <v>0</v>
      </c>
      <c r="M8601">
        <v>10.316800000000001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267</v>
      </c>
      <c r="E8602" t="s">
        <v>24</v>
      </c>
      <c r="F8602">
        <v>94601</v>
      </c>
      <c r="G8602" t="s">
        <v>25</v>
      </c>
      <c r="H8602" t="s">
        <v>35</v>
      </c>
      <c r="I8602" t="s">
        <v>59</v>
      </c>
      <c r="J8602">
        <v>479.97</v>
      </c>
      <c r="K8602">
        <v>3</v>
      </c>
      <c r="L8602">
        <v>0</v>
      </c>
      <c r="M8602">
        <v>177.5889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27</v>
      </c>
      <c r="J8603">
        <v>7.38</v>
      </c>
      <c r="K8603">
        <v>2</v>
      </c>
      <c r="L8603">
        <v>0</v>
      </c>
      <c r="M8603">
        <v>3.4685999999999999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37</v>
      </c>
      <c r="J8604">
        <v>14.256</v>
      </c>
      <c r="K8604">
        <v>3</v>
      </c>
      <c r="L8604">
        <v>0.2</v>
      </c>
      <c r="M8604">
        <v>4.4550000000000001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41</v>
      </c>
      <c r="J8605">
        <v>81.98</v>
      </c>
      <c r="K8605">
        <v>2</v>
      </c>
      <c r="L8605">
        <v>0</v>
      </c>
      <c r="M8605">
        <v>40.170200000000001</v>
      </c>
    </row>
    <row r="8606" spans="1:13" x14ac:dyDescent="0.3">
      <c r="A8606" t="s">
        <v>28</v>
      </c>
      <c r="B8606" t="s">
        <v>14</v>
      </c>
      <c r="C8606" t="s">
        <v>15</v>
      </c>
      <c r="D8606" t="s">
        <v>239</v>
      </c>
      <c r="E8606" t="s">
        <v>43</v>
      </c>
      <c r="F8606">
        <v>98026</v>
      </c>
      <c r="G8606" t="s">
        <v>25</v>
      </c>
      <c r="H8606" t="s">
        <v>26</v>
      </c>
      <c r="I8606" t="s">
        <v>37</v>
      </c>
      <c r="J8606">
        <v>39.624000000000002</v>
      </c>
      <c r="K8606">
        <v>3</v>
      </c>
      <c r="L8606">
        <v>0.2</v>
      </c>
      <c r="M8606">
        <v>13.868399999999999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23</v>
      </c>
      <c r="E8607" t="s">
        <v>24</v>
      </c>
      <c r="F8607">
        <v>90004</v>
      </c>
      <c r="G8607" t="s">
        <v>25</v>
      </c>
      <c r="H8607" t="s">
        <v>19</v>
      </c>
      <c r="I8607" t="s">
        <v>31</v>
      </c>
      <c r="J8607">
        <v>399.67200000000003</v>
      </c>
      <c r="K8607">
        <v>7</v>
      </c>
      <c r="L8607">
        <v>0.2</v>
      </c>
      <c r="M8607">
        <v>-14.9877</v>
      </c>
    </row>
    <row r="8608" spans="1:13" x14ac:dyDescent="0.3">
      <c r="A8608" t="s">
        <v>13</v>
      </c>
      <c r="B8608" t="s">
        <v>22</v>
      </c>
      <c r="C8608" t="s">
        <v>15</v>
      </c>
      <c r="D8608" t="s">
        <v>75</v>
      </c>
      <c r="E8608" t="s">
        <v>76</v>
      </c>
      <c r="F8608">
        <v>10024</v>
      </c>
      <c r="G8608" t="s">
        <v>57</v>
      </c>
      <c r="H8608" t="s">
        <v>26</v>
      </c>
      <c r="I8608" t="s">
        <v>32</v>
      </c>
      <c r="J8608">
        <v>65.12</v>
      </c>
      <c r="K8608">
        <v>4</v>
      </c>
      <c r="L8608">
        <v>0</v>
      </c>
      <c r="M8608">
        <v>16.9312</v>
      </c>
    </row>
    <row r="8609" spans="1:13" x14ac:dyDescent="0.3">
      <c r="A8609" t="s">
        <v>13</v>
      </c>
      <c r="B8609" t="s">
        <v>14</v>
      </c>
      <c r="C8609" t="s">
        <v>15</v>
      </c>
      <c r="D8609" t="s">
        <v>135</v>
      </c>
      <c r="E8609" t="s">
        <v>46</v>
      </c>
      <c r="F8609">
        <v>75217</v>
      </c>
      <c r="G8609" t="s">
        <v>47</v>
      </c>
      <c r="H8609" t="s">
        <v>19</v>
      </c>
      <c r="I8609" t="s">
        <v>33</v>
      </c>
      <c r="J8609">
        <v>30.56</v>
      </c>
      <c r="K8609">
        <v>5</v>
      </c>
      <c r="L8609">
        <v>0.6</v>
      </c>
      <c r="M8609">
        <v>-19.864000000000001</v>
      </c>
    </row>
    <row r="8610" spans="1:13" x14ac:dyDescent="0.3">
      <c r="A8610" t="s">
        <v>28</v>
      </c>
      <c r="B8610" t="s">
        <v>22</v>
      </c>
      <c r="C8610" t="s">
        <v>15</v>
      </c>
      <c r="D8610" t="s">
        <v>115</v>
      </c>
      <c r="E8610" t="s">
        <v>86</v>
      </c>
      <c r="F8610">
        <v>37064</v>
      </c>
      <c r="G8610" t="s">
        <v>18</v>
      </c>
      <c r="H8610" t="s">
        <v>26</v>
      </c>
      <c r="I8610" t="s">
        <v>38</v>
      </c>
      <c r="J8610">
        <v>20.768000000000001</v>
      </c>
      <c r="K8610">
        <v>2</v>
      </c>
      <c r="L8610">
        <v>0.2</v>
      </c>
      <c r="M8610">
        <v>2.3363999999999998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108</v>
      </c>
      <c r="E8611" t="s">
        <v>81</v>
      </c>
      <c r="F8611">
        <v>85023</v>
      </c>
      <c r="G8611" t="s">
        <v>25</v>
      </c>
      <c r="H8611" t="s">
        <v>26</v>
      </c>
      <c r="I8611" t="s">
        <v>32</v>
      </c>
      <c r="J8611">
        <v>39.808</v>
      </c>
      <c r="K8611">
        <v>4</v>
      </c>
      <c r="L8611">
        <v>0.2</v>
      </c>
      <c r="M8611">
        <v>3.9807999999999999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26</v>
      </c>
      <c r="I8612" t="s">
        <v>37</v>
      </c>
      <c r="J8612">
        <v>121.104</v>
      </c>
      <c r="K8612">
        <v>6</v>
      </c>
      <c r="L8612">
        <v>0.7</v>
      </c>
      <c r="M8612">
        <v>-100.92</v>
      </c>
    </row>
    <row r="8613" spans="1:13" x14ac:dyDescent="0.3">
      <c r="A8613" t="s">
        <v>28</v>
      </c>
      <c r="B8613" t="s">
        <v>14</v>
      </c>
      <c r="C8613" t="s">
        <v>15</v>
      </c>
      <c r="D8613" t="s">
        <v>180</v>
      </c>
      <c r="E8613" t="s">
        <v>30</v>
      </c>
      <c r="F8613">
        <v>33178</v>
      </c>
      <c r="G8613" t="s">
        <v>18</v>
      </c>
      <c r="H8613" t="s">
        <v>35</v>
      </c>
      <c r="I8613" t="s">
        <v>59</v>
      </c>
      <c r="J8613">
        <v>111.96</v>
      </c>
      <c r="K8613">
        <v>5</v>
      </c>
      <c r="L8613">
        <v>0.2</v>
      </c>
      <c r="M8613">
        <v>-1.3995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151</v>
      </c>
      <c r="E8614" t="s">
        <v>98</v>
      </c>
      <c r="F8614">
        <v>80906</v>
      </c>
      <c r="G8614" t="s">
        <v>25</v>
      </c>
      <c r="H8614" t="s">
        <v>26</v>
      </c>
      <c r="I8614" t="s">
        <v>41</v>
      </c>
      <c r="J8614">
        <v>15.696</v>
      </c>
      <c r="K8614">
        <v>3</v>
      </c>
      <c r="L8614">
        <v>0.2</v>
      </c>
      <c r="M8614">
        <v>5.1012000000000004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26</v>
      </c>
      <c r="I8615" t="s">
        <v>32</v>
      </c>
      <c r="J8615">
        <v>70.260000000000005</v>
      </c>
      <c r="K8615">
        <v>3</v>
      </c>
      <c r="L8615">
        <v>0</v>
      </c>
      <c r="M8615">
        <v>18.970199999999998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35</v>
      </c>
      <c r="I8616" t="s">
        <v>59</v>
      </c>
      <c r="J8616">
        <v>90</v>
      </c>
      <c r="K8616">
        <v>5</v>
      </c>
      <c r="L8616">
        <v>0</v>
      </c>
      <c r="M8616">
        <v>16.2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26</v>
      </c>
      <c r="I8617" t="s">
        <v>37</v>
      </c>
      <c r="J8617">
        <v>6.0960000000000001</v>
      </c>
      <c r="K8617">
        <v>2</v>
      </c>
      <c r="L8617">
        <v>0.2</v>
      </c>
      <c r="M8617">
        <v>2.0573999999999999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19</v>
      </c>
      <c r="I8618" t="s">
        <v>31</v>
      </c>
      <c r="J8618">
        <v>481.17599999999999</v>
      </c>
      <c r="K8618">
        <v>2</v>
      </c>
      <c r="L8618">
        <v>0.4</v>
      </c>
      <c r="M8618">
        <v>-120.294</v>
      </c>
    </row>
    <row r="8619" spans="1:13" x14ac:dyDescent="0.3">
      <c r="A8619" t="s">
        <v>28</v>
      </c>
      <c r="B8619" t="s">
        <v>22</v>
      </c>
      <c r="C8619" t="s">
        <v>15</v>
      </c>
      <c r="D8619" t="s">
        <v>75</v>
      </c>
      <c r="E8619" t="s">
        <v>76</v>
      </c>
      <c r="F8619">
        <v>10011</v>
      </c>
      <c r="G8619" t="s">
        <v>57</v>
      </c>
      <c r="H8619" t="s">
        <v>26</v>
      </c>
      <c r="I8619" t="s">
        <v>77</v>
      </c>
      <c r="J8619">
        <v>7.24</v>
      </c>
      <c r="K8619">
        <v>4</v>
      </c>
      <c r="L8619">
        <v>0</v>
      </c>
      <c r="M8619">
        <v>2.3892000000000002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19</v>
      </c>
      <c r="I8620" t="s">
        <v>20</v>
      </c>
      <c r="J8620">
        <v>177.45</v>
      </c>
      <c r="K8620">
        <v>5</v>
      </c>
      <c r="L8620">
        <v>0.5</v>
      </c>
      <c r="M8620">
        <v>-78.078000000000003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37</v>
      </c>
      <c r="J8621">
        <v>1369.7639999999999</v>
      </c>
      <c r="K8621">
        <v>6</v>
      </c>
      <c r="L8621">
        <v>0.7</v>
      </c>
      <c r="M8621">
        <v>-913.17600000000004</v>
      </c>
    </row>
    <row r="8622" spans="1:13" x14ac:dyDescent="0.3">
      <c r="A8622" t="s">
        <v>62</v>
      </c>
      <c r="B8622" t="s">
        <v>14</v>
      </c>
      <c r="C8622" t="s">
        <v>15</v>
      </c>
      <c r="D8622" t="s">
        <v>528</v>
      </c>
      <c r="E8622" t="s">
        <v>56</v>
      </c>
      <c r="F8622">
        <v>18018</v>
      </c>
      <c r="G8622" t="s">
        <v>57</v>
      </c>
      <c r="H8622" t="s">
        <v>26</v>
      </c>
      <c r="I8622" t="s">
        <v>38</v>
      </c>
      <c r="J8622">
        <v>9.48</v>
      </c>
      <c r="K8622">
        <v>3</v>
      </c>
      <c r="L8622">
        <v>0.2</v>
      </c>
      <c r="M8622">
        <v>0.71099999999999997</v>
      </c>
    </row>
    <row r="8623" spans="1:13" x14ac:dyDescent="0.3">
      <c r="A8623" t="s">
        <v>28</v>
      </c>
      <c r="B8623" t="s">
        <v>14</v>
      </c>
      <c r="C8623" t="s">
        <v>15</v>
      </c>
      <c r="D8623" t="s">
        <v>55</v>
      </c>
      <c r="E8623" t="s">
        <v>56</v>
      </c>
      <c r="F8623">
        <v>19140</v>
      </c>
      <c r="G8623" t="s">
        <v>57</v>
      </c>
      <c r="H8623" t="s">
        <v>19</v>
      </c>
      <c r="I8623" t="s">
        <v>20</v>
      </c>
      <c r="J8623">
        <v>130.97999999999999</v>
      </c>
      <c r="K8623">
        <v>2</v>
      </c>
      <c r="L8623">
        <v>0.5</v>
      </c>
      <c r="M8623">
        <v>-89.066400000000002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34</v>
      </c>
      <c r="J8624">
        <v>174.95</v>
      </c>
      <c r="K8624">
        <v>5</v>
      </c>
      <c r="L8624">
        <v>0</v>
      </c>
      <c r="M8624">
        <v>45.487000000000002</v>
      </c>
    </row>
    <row r="8625" spans="1:13" x14ac:dyDescent="0.3">
      <c r="A8625" t="s">
        <v>62</v>
      </c>
      <c r="B8625" t="s">
        <v>14</v>
      </c>
      <c r="C8625" t="s">
        <v>15</v>
      </c>
      <c r="D8625" t="s">
        <v>183</v>
      </c>
      <c r="E8625" t="s">
        <v>17</v>
      </c>
      <c r="F8625">
        <v>40214</v>
      </c>
      <c r="G8625" t="s">
        <v>18</v>
      </c>
      <c r="H8625" t="s">
        <v>26</v>
      </c>
      <c r="I8625" t="s">
        <v>32</v>
      </c>
      <c r="J8625">
        <v>826</v>
      </c>
      <c r="K8625">
        <v>5</v>
      </c>
      <c r="L8625">
        <v>0</v>
      </c>
      <c r="M8625">
        <v>214.76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42</v>
      </c>
      <c r="E8626" t="s">
        <v>43</v>
      </c>
      <c r="F8626">
        <v>98105</v>
      </c>
      <c r="G8626" t="s">
        <v>25</v>
      </c>
      <c r="H8626" t="s">
        <v>19</v>
      </c>
      <c r="I8626" t="s">
        <v>33</v>
      </c>
      <c r="J8626">
        <v>139.58000000000001</v>
      </c>
      <c r="K8626">
        <v>7</v>
      </c>
      <c r="L8626">
        <v>0</v>
      </c>
      <c r="M8626">
        <v>39.0824</v>
      </c>
    </row>
    <row r="8627" spans="1:13" x14ac:dyDescent="0.3">
      <c r="A8627" t="s">
        <v>62</v>
      </c>
      <c r="B8627" t="s">
        <v>44</v>
      </c>
      <c r="C8627" t="s">
        <v>15</v>
      </c>
      <c r="D8627" t="s">
        <v>334</v>
      </c>
      <c r="E8627" t="s">
        <v>49</v>
      </c>
      <c r="F8627">
        <v>53142</v>
      </c>
      <c r="G8627" t="s">
        <v>47</v>
      </c>
      <c r="H8627" t="s">
        <v>35</v>
      </c>
      <c r="I8627" t="s">
        <v>59</v>
      </c>
      <c r="J8627">
        <v>399.95</v>
      </c>
      <c r="K8627">
        <v>5</v>
      </c>
      <c r="L8627">
        <v>0</v>
      </c>
      <c r="M8627">
        <v>143.982</v>
      </c>
    </row>
    <row r="8628" spans="1:13" x14ac:dyDescent="0.3">
      <c r="A8628" t="s">
        <v>13</v>
      </c>
      <c r="B8628" t="s">
        <v>22</v>
      </c>
      <c r="C8628" t="s">
        <v>15</v>
      </c>
      <c r="D8628" t="s">
        <v>16</v>
      </c>
      <c r="E8628" t="s">
        <v>17</v>
      </c>
      <c r="F8628">
        <v>42420</v>
      </c>
      <c r="G8628" t="s">
        <v>18</v>
      </c>
      <c r="H8628" t="s">
        <v>26</v>
      </c>
      <c r="I8628" t="s">
        <v>37</v>
      </c>
      <c r="J8628">
        <v>12.39</v>
      </c>
      <c r="K8628">
        <v>3</v>
      </c>
      <c r="L8628">
        <v>0</v>
      </c>
      <c r="M8628">
        <v>5.8232999999999997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135</v>
      </c>
      <c r="E8629" t="s">
        <v>46</v>
      </c>
      <c r="F8629">
        <v>75217</v>
      </c>
      <c r="G8629" t="s">
        <v>47</v>
      </c>
      <c r="H8629" t="s">
        <v>26</v>
      </c>
      <c r="I8629" t="s">
        <v>37</v>
      </c>
      <c r="J8629">
        <v>760.98</v>
      </c>
      <c r="K8629">
        <v>5</v>
      </c>
      <c r="L8629">
        <v>0.8</v>
      </c>
      <c r="M8629">
        <v>-1141.47</v>
      </c>
    </row>
    <row r="8630" spans="1:13" x14ac:dyDescent="0.3">
      <c r="A8630" t="s">
        <v>168</v>
      </c>
      <c r="B8630" t="s">
        <v>14</v>
      </c>
      <c r="C8630" t="s">
        <v>15</v>
      </c>
      <c r="D8630" t="s">
        <v>175</v>
      </c>
      <c r="E8630" t="s">
        <v>81</v>
      </c>
      <c r="F8630">
        <v>85345</v>
      </c>
      <c r="G8630" t="s">
        <v>25</v>
      </c>
      <c r="H8630" t="s">
        <v>26</v>
      </c>
      <c r="I8630" t="s">
        <v>37</v>
      </c>
      <c r="J8630">
        <v>67.86</v>
      </c>
      <c r="K8630">
        <v>6</v>
      </c>
      <c r="L8630">
        <v>0.7</v>
      </c>
      <c r="M8630">
        <v>-45.24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77</v>
      </c>
      <c r="J8631">
        <v>31.504000000000001</v>
      </c>
      <c r="K8631">
        <v>11</v>
      </c>
      <c r="L8631">
        <v>0.2</v>
      </c>
      <c r="M8631">
        <v>11.814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27</v>
      </c>
      <c r="J8632">
        <v>5.04</v>
      </c>
      <c r="K8632">
        <v>1</v>
      </c>
      <c r="L8632">
        <v>0.2</v>
      </c>
      <c r="M8632">
        <v>1.6379999999999999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26</v>
      </c>
      <c r="I8633" t="s">
        <v>37</v>
      </c>
      <c r="J8633">
        <v>39.878999999999998</v>
      </c>
      <c r="K8633">
        <v>7</v>
      </c>
      <c r="L8633">
        <v>0.7</v>
      </c>
      <c r="M8633">
        <v>-29.244599999999998</v>
      </c>
    </row>
    <row r="8634" spans="1:13" x14ac:dyDescent="0.3">
      <c r="A8634" t="s">
        <v>28</v>
      </c>
      <c r="B8634" t="s">
        <v>22</v>
      </c>
      <c r="C8634" t="s">
        <v>15</v>
      </c>
      <c r="D8634" t="s">
        <v>189</v>
      </c>
      <c r="E8634" t="s">
        <v>40</v>
      </c>
      <c r="F8634">
        <v>28540</v>
      </c>
      <c r="G8634" t="s">
        <v>18</v>
      </c>
      <c r="H8634" t="s">
        <v>19</v>
      </c>
      <c r="I8634" t="s">
        <v>33</v>
      </c>
      <c r="J8634">
        <v>4.7119999999999997</v>
      </c>
      <c r="K8634">
        <v>1</v>
      </c>
      <c r="L8634">
        <v>0.2</v>
      </c>
      <c r="M8634">
        <v>1.4136</v>
      </c>
    </row>
    <row r="8635" spans="1:13" x14ac:dyDescent="0.3">
      <c r="A8635" t="s">
        <v>28</v>
      </c>
      <c r="B8635" t="s">
        <v>14</v>
      </c>
      <c r="C8635" t="s">
        <v>15</v>
      </c>
      <c r="D8635" t="s">
        <v>23</v>
      </c>
      <c r="E8635" t="s">
        <v>24</v>
      </c>
      <c r="F8635">
        <v>90032</v>
      </c>
      <c r="G8635" t="s">
        <v>25</v>
      </c>
      <c r="H8635" t="s">
        <v>19</v>
      </c>
      <c r="I8635" t="s">
        <v>21</v>
      </c>
      <c r="J8635">
        <v>194.352</v>
      </c>
      <c r="K8635">
        <v>3</v>
      </c>
      <c r="L8635">
        <v>0.2</v>
      </c>
      <c r="M8635">
        <v>19.435199999999998</v>
      </c>
    </row>
    <row r="8636" spans="1:13" x14ac:dyDescent="0.3">
      <c r="A8636" t="s">
        <v>62</v>
      </c>
      <c r="B8636" t="s">
        <v>22</v>
      </c>
      <c r="C8636" t="s">
        <v>15</v>
      </c>
      <c r="D8636" t="s">
        <v>405</v>
      </c>
      <c r="E8636" t="s">
        <v>86</v>
      </c>
      <c r="F8636">
        <v>37211</v>
      </c>
      <c r="G8636" t="s">
        <v>18</v>
      </c>
      <c r="H8636" t="s">
        <v>19</v>
      </c>
      <c r="I8636" t="s">
        <v>21</v>
      </c>
      <c r="J8636">
        <v>97.424000000000007</v>
      </c>
      <c r="K8636">
        <v>2</v>
      </c>
      <c r="L8636">
        <v>0.2</v>
      </c>
      <c r="M8636">
        <v>10.9602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32</v>
      </c>
      <c r="J8637">
        <v>704.76</v>
      </c>
      <c r="K8637">
        <v>5</v>
      </c>
      <c r="L8637">
        <v>0.2</v>
      </c>
      <c r="M8637">
        <v>26.4285</v>
      </c>
    </row>
    <row r="8638" spans="1:13" x14ac:dyDescent="0.3">
      <c r="A8638" t="s">
        <v>28</v>
      </c>
      <c r="B8638" t="s">
        <v>14</v>
      </c>
      <c r="C8638" t="s">
        <v>15</v>
      </c>
      <c r="D8638" t="s">
        <v>99</v>
      </c>
      <c r="E8638" t="s">
        <v>40</v>
      </c>
      <c r="F8638">
        <v>28205</v>
      </c>
      <c r="G8638" t="s">
        <v>18</v>
      </c>
      <c r="H8638" t="s">
        <v>26</v>
      </c>
      <c r="I8638" t="s">
        <v>37</v>
      </c>
      <c r="J8638">
        <v>27.396000000000001</v>
      </c>
      <c r="K8638">
        <v>3</v>
      </c>
      <c r="L8638">
        <v>0.7</v>
      </c>
      <c r="M8638">
        <v>-20.090399999999999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26</v>
      </c>
      <c r="I8639" t="s">
        <v>77</v>
      </c>
      <c r="J8639">
        <v>5.7</v>
      </c>
      <c r="K8639">
        <v>5</v>
      </c>
      <c r="L8639">
        <v>0</v>
      </c>
      <c r="M8639">
        <v>2.6789999999999998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19</v>
      </c>
      <c r="I8640" t="s">
        <v>33</v>
      </c>
      <c r="J8640">
        <v>14.19</v>
      </c>
      <c r="K8640">
        <v>3</v>
      </c>
      <c r="L8640">
        <v>0</v>
      </c>
      <c r="M8640">
        <v>5.5340999999999996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26</v>
      </c>
      <c r="I8641" t="s">
        <v>110</v>
      </c>
      <c r="J8641">
        <v>7.3</v>
      </c>
      <c r="K8641">
        <v>2</v>
      </c>
      <c r="L8641">
        <v>0</v>
      </c>
      <c r="M8641">
        <v>2.19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199.98</v>
      </c>
      <c r="K8642">
        <v>2</v>
      </c>
      <c r="L8642">
        <v>0</v>
      </c>
      <c r="M8642">
        <v>75.992400000000004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144.96</v>
      </c>
      <c r="K8643">
        <v>4</v>
      </c>
      <c r="L8643">
        <v>0</v>
      </c>
      <c r="M8643">
        <v>60.883200000000002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35</v>
      </c>
      <c r="I8644" t="s">
        <v>59</v>
      </c>
      <c r="J8644">
        <v>118</v>
      </c>
      <c r="K8644">
        <v>2</v>
      </c>
      <c r="L8644">
        <v>0</v>
      </c>
      <c r="M8644">
        <v>20.059999999999999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41</v>
      </c>
      <c r="J8645">
        <v>48.94</v>
      </c>
      <c r="K8645">
        <v>1</v>
      </c>
      <c r="L8645">
        <v>0</v>
      </c>
      <c r="M8645">
        <v>24.47</v>
      </c>
    </row>
    <row r="8646" spans="1:13" x14ac:dyDescent="0.3">
      <c r="A8646" t="s">
        <v>168</v>
      </c>
      <c r="B8646" t="s">
        <v>14</v>
      </c>
      <c r="C8646" t="s">
        <v>15</v>
      </c>
      <c r="D8646" t="s">
        <v>42</v>
      </c>
      <c r="E8646" t="s">
        <v>43</v>
      </c>
      <c r="F8646">
        <v>98103</v>
      </c>
      <c r="G8646" t="s">
        <v>25</v>
      </c>
      <c r="H8646" t="s">
        <v>26</v>
      </c>
      <c r="I8646" t="s">
        <v>38</v>
      </c>
      <c r="J8646">
        <v>22.66</v>
      </c>
      <c r="K8646">
        <v>2</v>
      </c>
      <c r="L8646">
        <v>0</v>
      </c>
      <c r="M8646">
        <v>9.7438000000000002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79</v>
      </c>
      <c r="E8647" t="s">
        <v>65</v>
      </c>
      <c r="F8647">
        <v>60623</v>
      </c>
      <c r="G8647" t="s">
        <v>47</v>
      </c>
      <c r="H8647" t="s">
        <v>26</v>
      </c>
      <c r="I8647" t="s">
        <v>37</v>
      </c>
      <c r="J8647">
        <v>0.83599999999999997</v>
      </c>
      <c r="K8647">
        <v>1</v>
      </c>
      <c r="L8647">
        <v>0.8</v>
      </c>
      <c r="M8647">
        <v>-1.3375999999999999</v>
      </c>
    </row>
    <row r="8648" spans="1:13" x14ac:dyDescent="0.3">
      <c r="A8648" t="s">
        <v>28</v>
      </c>
      <c r="B8648" t="s">
        <v>22</v>
      </c>
      <c r="C8648" t="s">
        <v>15</v>
      </c>
      <c r="D8648" t="s">
        <v>148</v>
      </c>
      <c r="E8648" t="s">
        <v>104</v>
      </c>
      <c r="F8648">
        <v>45231</v>
      </c>
      <c r="G8648" t="s">
        <v>57</v>
      </c>
      <c r="H8648" t="s">
        <v>26</v>
      </c>
      <c r="I8648" t="s">
        <v>41</v>
      </c>
      <c r="J8648">
        <v>30.96</v>
      </c>
      <c r="K8648">
        <v>6</v>
      </c>
      <c r="L8648">
        <v>0.2</v>
      </c>
      <c r="M8648">
        <v>11.223000000000001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29</v>
      </c>
      <c r="E8649" t="s">
        <v>30</v>
      </c>
      <c r="F8649">
        <v>33311</v>
      </c>
      <c r="G8649" t="s">
        <v>18</v>
      </c>
      <c r="H8649" t="s">
        <v>19</v>
      </c>
      <c r="I8649" t="s">
        <v>20</v>
      </c>
      <c r="J8649">
        <v>723.92</v>
      </c>
      <c r="K8649">
        <v>5</v>
      </c>
      <c r="L8649">
        <v>0.2</v>
      </c>
      <c r="M8649">
        <v>-81.441000000000003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19</v>
      </c>
      <c r="I8650" t="s">
        <v>33</v>
      </c>
      <c r="J8650">
        <v>21.968</v>
      </c>
      <c r="K8650">
        <v>4</v>
      </c>
      <c r="L8650">
        <v>0.6</v>
      </c>
      <c r="M8650">
        <v>-15.9268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35</v>
      </c>
      <c r="I8651" t="s">
        <v>36</v>
      </c>
      <c r="J8651">
        <v>619.15200000000004</v>
      </c>
      <c r="K8651">
        <v>6</v>
      </c>
      <c r="L8651">
        <v>0.2</v>
      </c>
      <c r="M8651">
        <v>69.654600000000002</v>
      </c>
    </row>
    <row r="8652" spans="1:13" x14ac:dyDescent="0.3">
      <c r="A8652" t="s">
        <v>28</v>
      </c>
      <c r="B8652" t="s">
        <v>14</v>
      </c>
      <c r="C8652" t="s">
        <v>15</v>
      </c>
      <c r="D8652" t="s">
        <v>61</v>
      </c>
      <c r="E8652" t="s">
        <v>46</v>
      </c>
      <c r="F8652">
        <v>77041</v>
      </c>
      <c r="G8652" t="s">
        <v>47</v>
      </c>
      <c r="H8652" t="s">
        <v>26</v>
      </c>
      <c r="I8652" t="s">
        <v>41</v>
      </c>
      <c r="J8652">
        <v>127.904</v>
      </c>
      <c r="K8652">
        <v>7</v>
      </c>
      <c r="L8652">
        <v>0.2</v>
      </c>
      <c r="M8652">
        <v>41.568800000000003</v>
      </c>
    </row>
    <row r="8653" spans="1:13" x14ac:dyDescent="0.3">
      <c r="A8653" t="s">
        <v>13</v>
      </c>
      <c r="B8653" t="s">
        <v>14</v>
      </c>
      <c r="C8653" t="s">
        <v>15</v>
      </c>
      <c r="D8653" t="s">
        <v>154</v>
      </c>
      <c r="E8653" t="s">
        <v>24</v>
      </c>
      <c r="F8653">
        <v>90712</v>
      </c>
      <c r="G8653" t="s">
        <v>25</v>
      </c>
      <c r="H8653" t="s">
        <v>19</v>
      </c>
      <c r="I8653" t="s">
        <v>33</v>
      </c>
      <c r="J8653">
        <v>94.2</v>
      </c>
      <c r="K8653">
        <v>5</v>
      </c>
      <c r="L8653">
        <v>0</v>
      </c>
      <c r="M8653">
        <v>39.564</v>
      </c>
    </row>
    <row r="8654" spans="1:13" x14ac:dyDescent="0.3">
      <c r="A8654" t="s">
        <v>62</v>
      </c>
      <c r="B8654" t="s">
        <v>44</v>
      </c>
      <c r="C8654" t="s">
        <v>15</v>
      </c>
      <c r="D8654" t="s">
        <v>52</v>
      </c>
      <c r="E8654" t="s">
        <v>24</v>
      </c>
      <c r="F8654">
        <v>94122</v>
      </c>
      <c r="G8654" t="s">
        <v>25</v>
      </c>
      <c r="H8654" t="s">
        <v>26</v>
      </c>
      <c r="I8654" t="s">
        <v>110</v>
      </c>
      <c r="J8654">
        <v>49.5</v>
      </c>
      <c r="K8654">
        <v>5</v>
      </c>
      <c r="L8654">
        <v>0</v>
      </c>
      <c r="M8654">
        <v>13.365</v>
      </c>
    </row>
    <row r="8655" spans="1:13" x14ac:dyDescent="0.3">
      <c r="A8655" t="s">
        <v>62</v>
      </c>
      <c r="B8655" t="s">
        <v>22</v>
      </c>
      <c r="C8655" t="s">
        <v>15</v>
      </c>
      <c r="D8655" t="s">
        <v>55</v>
      </c>
      <c r="E8655" t="s">
        <v>56</v>
      </c>
      <c r="F8655">
        <v>19140</v>
      </c>
      <c r="G8655" t="s">
        <v>57</v>
      </c>
      <c r="H8655" t="s">
        <v>26</v>
      </c>
      <c r="I8655" t="s">
        <v>34</v>
      </c>
      <c r="J8655">
        <v>16.52</v>
      </c>
      <c r="K8655">
        <v>5</v>
      </c>
      <c r="L8655">
        <v>0.2</v>
      </c>
      <c r="M8655">
        <v>1.6519999999999999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26</v>
      </c>
      <c r="I8656" t="s">
        <v>37</v>
      </c>
      <c r="J8656">
        <v>55.36</v>
      </c>
      <c r="K8656">
        <v>4</v>
      </c>
      <c r="L8656">
        <v>0.2</v>
      </c>
      <c r="M8656">
        <v>19.376000000000001</v>
      </c>
    </row>
    <row r="8657" spans="1:13" x14ac:dyDescent="0.3">
      <c r="A8657" t="s">
        <v>13</v>
      </c>
      <c r="B8657" t="s">
        <v>44</v>
      </c>
      <c r="C8657" t="s">
        <v>15</v>
      </c>
      <c r="D8657" t="s">
        <v>42</v>
      </c>
      <c r="E8657" t="s">
        <v>43</v>
      </c>
      <c r="F8657">
        <v>98115</v>
      </c>
      <c r="G8657" t="s">
        <v>25</v>
      </c>
      <c r="H8657" t="s">
        <v>35</v>
      </c>
      <c r="I8657" t="s">
        <v>123</v>
      </c>
      <c r="J8657">
        <v>11.56</v>
      </c>
      <c r="K8657">
        <v>1</v>
      </c>
      <c r="L8657">
        <v>0.2</v>
      </c>
      <c r="M8657">
        <v>3.7570000000000001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23</v>
      </c>
      <c r="E8658" t="s">
        <v>24</v>
      </c>
      <c r="F8658">
        <v>90036</v>
      </c>
      <c r="G8658" t="s">
        <v>25</v>
      </c>
      <c r="H8658" t="s">
        <v>26</v>
      </c>
      <c r="I8658" t="s">
        <v>41</v>
      </c>
      <c r="J8658">
        <v>17.12</v>
      </c>
      <c r="K8658">
        <v>4</v>
      </c>
      <c r="L8658">
        <v>0</v>
      </c>
      <c r="M8658">
        <v>7.7039999999999997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19</v>
      </c>
      <c r="I8659" t="s">
        <v>33</v>
      </c>
      <c r="J8659">
        <v>182.352</v>
      </c>
      <c r="K8659">
        <v>3</v>
      </c>
      <c r="L8659">
        <v>0.2</v>
      </c>
      <c r="M8659">
        <v>-18.235199999999999</v>
      </c>
    </row>
    <row r="8660" spans="1:13" x14ac:dyDescent="0.3">
      <c r="A8660" t="s">
        <v>13</v>
      </c>
      <c r="B8660" t="s">
        <v>14</v>
      </c>
      <c r="C8660" t="s">
        <v>15</v>
      </c>
      <c r="D8660" t="s">
        <v>221</v>
      </c>
      <c r="E8660" t="s">
        <v>104</v>
      </c>
      <c r="F8660">
        <v>44105</v>
      </c>
      <c r="G8660" t="s">
        <v>57</v>
      </c>
      <c r="H8660" t="s">
        <v>26</v>
      </c>
      <c r="I8660" t="s">
        <v>32</v>
      </c>
      <c r="J8660">
        <v>118.16</v>
      </c>
      <c r="K8660">
        <v>2</v>
      </c>
      <c r="L8660">
        <v>0.2</v>
      </c>
      <c r="M8660">
        <v>-25.109000000000002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26</v>
      </c>
      <c r="I8661" t="s">
        <v>77</v>
      </c>
      <c r="J8661">
        <v>18.367999999999999</v>
      </c>
      <c r="K8661">
        <v>2</v>
      </c>
      <c r="L8661">
        <v>0.2</v>
      </c>
      <c r="M8661">
        <v>6.1992000000000003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19</v>
      </c>
      <c r="I8662" t="s">
        <v>21</v>
      </c>
      <c r="J8662">
        <v>600.55799999999999</v>
      </c>
      <c r="K8662">
        <v>3</v>
      </c>
      <c r="L8662">
        <v>0.3</v>
      </c>
      <c r="M8662">
        <v>-8.5793999999999997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32</v>
      </c>
      <c r="J8663">
        <v>50.351999999999997</v>
      </c>
      <c r="K8663">
        <v>3</v>
      </c>
      <c r="L8663">
        <v>0.2</v>
      </c>
      <c r="M8663">
        <v>-8.1821999999999999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26</v>
      </c>
      <c r="I8664" t="s">
        <v>34</v>
      </c>
      <c r="J8664">
        <v>28.032</v>
      </c>
      <c r="K8664">
        <v>6</v>
      </c>
      <c r="L8664">
        <v>0.2</v>
      </c>
      <c r="M8664">
        <v>3.504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87</v>
      </c>
      <c r="E8665" t="s">
        <v>65</v>
      </c>
      <c r="F8665">
        <v>62521</v>
      </c>
      <c r="G8665" t="s">
        <v>47</v>
      </c>
      <c r="H8665" t="s">
        <v>19</v>
      </c>
      <c r="I8665" t="s">
        <v>33</v>
      </c>
      <c r="J8665">
        <v>7.6920000000000002</v>
      </c>
      <c r="K8665">
        <v>1</v>
      </c>
      <c r="L8665">
        <v>0.6</v>
      </c>
      <c r="M8665">
        <v>-3.6537000000000002</v>
      </c>
    </row>
    <row r="8666" spans="1:13" x14ac:dyDescent="0.3">
      <c r="A8666" t="s">
        <v>62</v>
      </c>
      <c r="B8666" t="s">
        <v>14</v>
      </c>
      <c r="C8666" t="s">
        <v>15</v>
      </c>
      <c r="D8666" t="s">
        <v>604</v>
      </c>
      <c r="E8666" t="s">
        <v>46</v>
      </c>
      <c r="F8666">
        <v>76063</v>
      </c>
      <c r="G8666" t="s">
        <v>47</v>
      </c>
      <c r="H8666" t="s">
        <v>19</v>
      </c>
      <c r="I8666" t="s">
        <v>31</v>
      </c>
      <c r="J8666">
        <v>517.40499999999997</v>
      </c>
      <c r="K8666">
        <v>5</v>
      </c>
      <c r="L8666">
        <v>0.3</v>
      </c>
      <c r="M8666">
        <v>-81.3065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26</v>
      </c>
      <c r="I8667" t="s">
        <v>37</v>
      </c>
      <c r="J8667">
        <v>8.6080000000000005</v>
      </c>
      <c r="K8667">
        <v>8</v>
      </c>
      <c r="L8667">
        <v>0.8</v>
      </c>
      <c r="M8667">
        <v>-13.3424</v>
      </c>
    </row>
    <row r="8668" spans="1:13" x14ac:dyDescent="0.3">
      <c r="A8668" t="s">
        <v>13</v>
      </c>
      <c r="B8668" t="s">
        <v>44</v>
      </c>
      <c r="C8668" t="s">
        <v>15</v>
      </c>
      <c r="D8668" t="s">
        <v>61</v>
      </c>
      <c r="E8668" t="s">
        <v>46</v>
      </c>
      <c r="F8668">
        <v>77070</v>
      </c>
      <c r="G8668" t="s">
        <v>47</v>
      </c>
      <c r="H8668" t="s">
        <v>35</v>
      </c>
      <c r="I8668" t="s">
        <v>59</v>
      </c>
      <c r="J8668">
        <v>159.56</v>
      </c>
      <c r="K8668">
        <v>5</v>
      </c>
      <c r="L8668">
        <v>0.2</v>
      </c>
      <c r="M8668">
        <v>33.906500000000001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38</v>
      </c>
      <c r="J8669">
        <v>2104.5500000000002</v>
      </c>
      <c r="K8669">
        <v>7</v>
      </c>
      <c r="L8669">
        <v>0</v>
      </c>
      <c r="M8669">
        <v>694.50149999999996</v>
      </c>
    </row>
    <row r="8670" spans="1:13" x14ac:dyDescent="0.3">
      <c r="A8670" t="s">
        <v>13</v>
      </c>
      <c r="B8670" t="s">
        <v>22</v>
      </c>
      <c r="C8670" t="s">
        <v>15</v>
      </c>
      <c r="D8670" t="s">
        <v>182</v>
      </c>
      <c r="E8670" t="s">
        <v>83</v>
      </c>
      <c r="F8670">
        <v>23223</v>
      </c>
      <c r="G8670" t="s">
        <v>18</v>
      </c>
      <c r="H8670" t="s">
        <v>26</v>
      </c>
      <c r="I8670" t="s">
        <v>110</v>
      </c>
      <c r="J8670">
        <v>40.700000000000003</v>
      </c>
      <c r="K8670">
        <v>5</v>
      </c>
      <c r="L8670">
        <v>0</v>
      </c>
      <c r="M8670">
        <v>11.803000000000001</v>
      </c>
    </row>
    <row r="8671" spans="1:13" x14ac:dyDescent="0.3">
      <c r="A8671" t="s">
        <v>28</v>
      </c>
      <c r="B8671" t="s">
        <v>44</v>
      </c>
      <c r="C8671" t="s">
        <v>15</v>
      </c>
      <c r="D8671" t="s">
        <v>155</v>
      </c>
      <c r="E8671" t="s">
        <v>83</v>
      </c>
      <c r="F8671">
        <v>22204</v>
      </c>
      <c r="G8671" t="s">
        <v>18</v>
      </c>
      <c r="H8671" t="s">
        <v>35</v>
      </c>
      <c r="I8671" t="s">
        <v>59</v>
      </c>
      <c r="J8671">
        <v>47.79</v>
      </c>
      <c r="K8671">
        <v>3</v>
      </c>
      <c r="L8671">
        <v>0</v>
      </c>
      <c r="M8671">
        <v>16.2486</v>
      </c>
    </row>
    <row r="8672" spans="1:13" x14ac:dyDescent="0.3">
      <c r="A8672" t="s">
        <v>28</v>
      </c>
      <c r="B8672" t="s">
        <v>14</v>
      </c>
      <c r="C8672" t="s">
        <v>15</v>
      </c>
      <c r="D8672" t="s">
        <v>52</v>
      </c>
      <c r="E8672" t="s">
        <v>24</v>
      </c>
      <c r="F8672">
        <v>94122</v>
      </c>
      <c r="G8672" t="s">
        <v>25</v>
      </c>
      <c r="H8672" t="s">
        <v>26</v>
      </c>
      <c r="I8672" t="s">
        <v>34</v>
      </c>
      <c r="J8672">
        <v>5.16</v>
      </c>
      <c r="K8672">
        <v>2</v>
      </c>
      <c r="L8672">
        <v>0</v>
      </c>
      <c r="M8672">
        <v>1.3415999999999999</v>
      </c>
    </row>
    <row r="8673" spans="1:13" x14ac:dyDescent="0.3">
      <c r="A8673" t="s">
        <v>28</v>
      </c>
      <c r="B8673" t="s">
        <v>44</v>
      </c>
      <c r="C8673" t="s">
        <v>15</v>
      </c>
      <c r="D8673" t="s">
        <v>144</v>
      </c>
      <c r="E8673" t="s">
        <v>24</v>
      </c>
      <c r="F8673">
        <v>92024</v>
      </c>
      <c r="G8673" t="s">
        <v>25</v>
      </c>
      <c r="H8673" t="s">
        <v>35</v>
      </c>
      <c r="I8673" t="s">
        <v>59</v>
      </c>
      <c r="J8673">
        <v>21.21</v>
      </c>
      <c r="K8673">
        <v>7</v>
      </c>
      <c r="L8673">
        <v>0</v>
      </c>
      <c r="M8673">
        <v>4.4541000000000004</v>
      </c>
    </row>
    <row r="8674" spans="1:13" x14ac:dyDescent="0.3">
      <c r="A8674" t="s">
        <v>13</v>
      </c>
      <c r="B8674" t="s">
        <v>22</v>
      </c>
      <c r="C8674" t="s">
        <v>15</v>
      </c>
      <c r="D8674" t="s">
        <v>317</v>
      </c>
      <c r="E8674" t="s">
        <v>76</v>
      </c>
      <c r="F8674">
        <v>13601</v>
      </c>
      <c r="G8674" t="s">
        <v>57</v>
      </c>
      <c r="H8674" t="s">
        <v>26</v>
      </c>
      <c r="I8674" t="s">
        <v>32</v>
      </c>
      <c r="J8674">
        <v>96.36</v>
      </c>
      <c r="K8674">
        <v>6</v>
      </c>
      <c r="L8674">
        <v>0</v>
      </c>
      <c r="M8674">
        <v>25.053599999999999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110</v>
      </c>
      <c r="J8675">
        <v>231.72</v>
      </c>
      <c r="K8675">
        <v>2</v>
      </c>
      <c r="L8675">
        <v>0</v>
      </c>
      <c r="M8675">
        <v>11.586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77</v>
      </c>
      <c r="J8676">
        <v>17.899999999999999</v>
      </c>
      <c r="K8676">
        <v>5</v>
      </c>
      <c r="L8676">
        <v>0</v>
      </c>
      <c r="M8676">
        <v>8.9499999999999993</v>
      </c>
    </row>
    <row r="8677" spans="1:13" x14ac:dyDescent="0.3">
      <c r="A8677" t="s">
        <v>168</v>
      </c>
      <c r="B8677" t="s">
        <v>22</v>
      </c>
      <c r="C8677" t="s">
        <v>15</v>
      </c>
      <c r="D8677" t="s">
        <v>23</v>
      </c>
      <c r="E8677" t="s">
        <v>24</v>
      </c>
      <c r="F8677">
        <v>90036</v>
      </c>
      <c r="G8677" t="s">
        <v>25</v>
      </c>
      <c r="H8677" t="s">
        <v>26</v>
      </c>
      <c r="I8677" t="s">
        <v>41</v>
      </c>
      <c r="J8677">
        <v>12.48</v>
      </c>
      <c r="K8677">
        <v>2</v>
      </c>
      <c r="L8677">
        <v>0</v>
      </c>
      <c r="M8677">
        <v>5.6159999999999997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55</v>
      </c>
      <c r="E8678" t="s">
        <v>56</v>
      </c>
      <c r="F8678">
        <v>19140</v>
      </c>
      <c r="G8678" t="s">
        <v>57</v>
      </c>
      <c r="H8678" t="s">
        <v>26</v>
      </c>
      <c r="I8678" t="s">
        <v>34</v>
      </c>
      <c r="J8678">
        <v>8.016</v>
      </c>
      <c r="K8678">
        <v>3</v>
      </c>
      <c r="L8678">
        <v>0.2</v>
      </c>
      <c r="M8678">
        <v>1.1022000000000001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259.89600000000002</v>
      </c>
      <c r="K8679">
        <v>2</v>
      </c>
      <c r="L8679">
        <v>0.4</v>
      </c>
      <c r="M8679">
        <v>-56.3108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36</v>
      </c>
      <c r="J8680">
        <v>247.18799999999999</v>
      </c>
      <c r="K8680">
        <v>2</v>
      </c>
      <c r="L8680">
        <v>0.4</v>
      </c>
      <c r="M8680">
        <v>-49.437600000000003</v>
      </c>
    </row>
    <row r="8681" spans="1:13" x14ac:dyDescent="0.3">
      <c r="A8681" t="s">
        <v>28</v>
      </c>
      <c r="B8681" t="s">
        <v>22</v>
      </c>
      <c r="C8681" t="s">
        <v>15</v>
      </c>
      <c r="D8681" t="s">
        <v>133</v>
      </c>
      <c r="E8681" t="s">
        <v>104</v>
      </c>
      <c r="F8681">
        <v>44312</v>
      </c>
      <c r="G8681" t="s">
        <v>57</v>
      </c>
      <c r="H8681" t="s">
        <v>35</v>
      </c>
      <c r="I8681" t="s">
        <v>59</v>
      </c>
      <c r="J8681">
        <v>279.95999999999998</v>
      </c>
      <c r="K8681">
        <v>5</v>
      </c>
      <c r="L8681">
        <v>0.2</v>
      </c>
      <c r="M8681">
        <v>48.993000000000002</v>
      </c>
    </row>
    <row r="8682" spans="1:13" x14ac:dyDescent="0.3">
      <c r="A8682" t="s">
        <v>28</v>
      </c>
      <c r="B8682" t="s">
        <v>44</v>
      </c>
      <c r="C8682" t="s">
        <v>15</v>
      </c>
      <c r="D8682" t="s">
        <v>52</v>
      </c>
      <c r="E8682" t="s">
        <v>24</v>
      </c>
      <c r="F8682">
        <v>94110</v>
      </c>
      <c r="G8682" t="s">
        <v>25</v>
      </c>
      <c r="H8682" t="s">
        <v>35</v>
      </c>
      <c r="I8682" t="s">
        <v>59</v>
      </c>
      <c r="J8682">
        <v>450</v>
      </c>
      <c r="K8682">
        <v>5</v>
      </c>
      <c r="L8682">
        <v>0</v>
      </c>
      <c r="M8682">
        <v>162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444</v>
      </c>
      <c r="E8683" t="s">
        <v>70</v>
      </c>
      <c r="F8683">
        <v>49505</v>
      </c>
      <c r="G8683" t="s">
        <v>47</v>
      </c>
      <c r="H8683" t="s">
        <v>26</v>
      </c>
      <c r="I8683" t="s">
        <v>41</v>
      </c>
      <c r="J8683">
        <v>19.440000000000001</v>
      </c>
      <c r="K8683">
        <v>3</v>
      </c>
      <c r="L8683">
        <v>0</v>
      </c>
      <c r="M8683">
        <v>9.5256000000000007</v>
      </c>
    </row>
    <row r="8684" spans="1:13" x14ac:dyDescent="0.3">
      <c r="A8684" t="s">
        <v>13</v>
      </c>
      <c r="B8684" t="s">
        <v>44</v>
      </c>
      <c r="C8684" t="s">
        <v>15</v>
      </c>
      <c r="D8684" t="s">
        <v>52</v>
      </c>
      <c r="E8684" t="s">
        <v>24</v>
      </c>
      <c r="F8684">
        <v>94109</v>
      </c>
      <c r="G8684" t="s">
        <v>25</v>
      </c>
      <c r="H8684" t="s">
        <v>19</v>
      </c>
      <c r="I8684" t="s">
        <v>31</v>
      </c>
      <c r="J8684">
        <v>300.904</v>
      </c>
      <c r="K8684">
        <v>1</v>
      </c>
      <c r="L8684">
        <v>0.2</v>
      </c>
      <c r="M8684">
        <v>11.283899999999999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35</v>
      </c>
      <c r="I8685" t="s">
        <v>36</v>
      </c>
      <c r="J8685">
        <v>239.976</v>
      </c>
      <c r="K8685">
        <v>3</v>
      </c>
      <c r="L8685">
        <v>0.2</v>
      </c>
      <c r="M8685">
        <v>26.997299999999999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33</v>
      </c>
      <c r="J8686">
        <v>31.167999999999999</v>
      </c>
      <c r="K8686">
        <v>4</v>
      </c>
      <c r="L8686">
        <v>0.2</v>
      </c>
      <c r="M8686">
        <v>9.3504000000000005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19</v>
      </c>
      <c r="I8687" t="s">
        <v>31</v>
      </c>
      <c r="J8687">
        <v>120.96</v>
      </c>
      <c r="K8687">
        <v>2</v>
      </c>
      <c r="L8687">
        <v>0.4</v>
      </c>
      <c r="M8687">
        <v>-28.224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35</v>
      </c>
      <c r="I8688" t="s">
        <v>36</v>
      </c>
      <c r="J8688">
        <v>2239.9360000000001</v>
      </c>
      <c r="K8688">
        <v>8</v>
      </c>
      <c r="L8688">
        <v>0.2</v>
      </c>
      <c r="M8688">
        <v>223.99359999999999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38</v>
      </c>
      <c r="J8689">
        <v>76.608000000000004</v>
      </c>
      <c r="K8689">
        <v>8</v>
      </c>
      <c r="L8689">
        <v>0.2</v>
      </c>
      <c r="M8689">
        <v>6.7031999999999998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32</v>
      </c>
      <c r="J8690">
        <v>142.77600000000001</v>
      </c>
      <c r="K8690">
        <v>1</v>
      </c>
      <c r="L8690">
        <v>0.2</v>
      </c>
      <c r="M8690">
        <v>17.847000000000001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405</v>
      </c>
      <c r="E8691" t="s">
        <v>86</v>
      </c>
      <c r="F8691">
        <v>37211</v>
      </c>
      <c r="G8691" t="s">
        <v>18</v>
      </c>
      <c r="H8691" t="s">
        <v>26</v>
      </c>
      <c r="I8691" t="s">
        <v>41</v>
      </c>
      <c r="J8691">
        <v>91.36</v>
      </c>
      <c r="K8691">
        <v>5</v>
      </c>
      <c r="L8691">
        <v>0.2</v>
      </c>
      <c r="M8691">
        <v>29.692</v>
      </c>
    </row>
    <row r="8692" spans="1:13" x14ac:dyDescent="0.3">
      <c r="A8692" t="s">
        <v>28</v>
      </c>
      <c r="B8692" t="s">
        <v>14</v>
      </c>
      <c r="C8692" t="s">
        <v>15</v>
      </c>
      <c r="D8692" t="s">
        <v>55</v>
      </c>
      <c r="E8692" t="s">
        <v>56</v>
      </c>
      <c r="F8692">
        <v>19120</v>
      </c>
      <c r="G8692" t="s">
        <v>57</v>
      </c>
      <c r="H8692" t="s">
        <v>26</v>
      </c>
      <c r="I8692" t="s">
        <v>38</v>
      </c>
      <c r="J8692">
        <v>3.552</v>
      </c>
      <c r="K8692">
        <v>2</v>
      </c>
      <c r="L8692">
        <v>0.2</v>
      </c>
      <c r="M8692">
        <v>0.44400000000000001</v>
      </c>
    </row>
    <row r="8693" spans="1:13" x14ac:dyDescent="0.3">
      <c r="A8693" t="s">
        <v>62</v>
      </c>
      <c r="B8693" t="s">
        <v>14</v>
      </c>
      <c r="C8693" t="s">
        <v>15</v>
      </c>
      <c r="D8693" t="s">
        <v>61</v>
      </c>
      <c r="E8693" t="s">
        <v>46</v>
      </c>
      <c r="F8693">
        <v>77041</v>
      </c>
      <c r="G8693" t="s">
        <v>47</v>
      </c>
      <c r="H8693" t="s">
        <v>35</v>
      </c>
      <c r="I8693" t="s">
        <v>36</v>
      </c>
      <c r="J8693">
        <v>115.136</v>
      </c>
      <c r="K8693">
        <v>8</v>
      </c>
      <c r="L8693">
        <v>0.2</v>
      </c>
      <c r="M8693">
        <v>11.5136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277</v>
      </c>
      <c r="E8694" t="s">
        <v>177</v>
      </c>
      <c r="F8694">
        <v>89502</v>
      </c>
      <c r="G8694" t="s">
        <v>25</v>
      </c>
      <c r="H8694" t="s">
        <v>26</v>
      </c>
      <c r="I8694" t="s">
        <v>77</v>
      </c>
      <c r="J8694">
        <v>4.71</v>
      </c>
      <c r="K8694">
        <v>1</v>
      </c>
      <c r="L8694">
        <v>0</v>
      </c>
      <c r="M8694">
        <v>0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19</v>
      </c>
      <c r="I8695" t="s">
        <v>21</v>
      </c>
      <c r="J8695">
        <v>172.76400000000001</v>
      </c>
      <c r="K8695">
        <v>2</v>
      </c>
      <c r="L8695">
        <v>0.1</v>
      </c>
      <c r="M8695">
        <v>13.437200000000001</v>
      </c>
    </row>
    <row r="8696" spans="1:13" x14ac:dyDescent="0.3">
      <c r="A8696" t="s">
        <v>28</v>
      </c>
      <c r="B8696" t="s">
        <v>44</v>
      </c>
      <c r="C8696" t="s">
        <v>15</v>
      </c>
      <c r="D8696" t="s">
        <v>75</v>
      </c>
      <c r="E8696" t="s">
        <v>76</v>
      </c>
      <c r="F8696">
        <v>10009</v>
      </c>
      <c r="G8696" t="s">
        <v>57</v>
      </c>
      <c r="H8696" t="s">
        <v>26</v>
      </c>
      <c r="I8696" t="s">
        <v>34</v>
      </c>
      <c r="J8696">
        <v>3.52</v>
      </c>
      <c r="K8696">
        <v>2</v>
      </c>
      <c r="L8696">
        <v>0</v>
      </c>
      <c r="M8696">
        <v>1.6896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35</v>
      </c>
      <c r="I8697" t="s">
        <v>36</v>
      </c>
      <c r="J8697">
        <v>79.968000000000004</v>
      </c>
      <c r="K8697">
        <v>4</v>
      </c>
      <c r="L8697">
        <v>0.2</v>
      </c>
      <c r="M8697">
        <v>-17.992799999999999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19</v>
      </c>
      <c r="I8698" t="s">
        <v>20</v>
      </c>
      <c r="J8698">
        <v>305.97449999999998</v>
      </c>
      <c r="K8698">
        <v>3</v>
      </c>
      <c r="L8698">
        <v>0.15</v>
      </c>
      <c r="M8698">
        <v>25.197900000000001</v>
      </c>
    </row>
    <row r="8699" spans="1:13" x14ac:dyDescent="0.3">
      <c r="A8699" t="s">
        <v>62</v>
      </c>
      <c r="B8699" t="s">
        <v>22</v>
      </c>
      <c r="C8699" t="s">
        <v>15</v>
      </c>
      <c r="D8699" t="s">
        <v>23</v>
      </c>
      <c r="E8699" t="s">
        <v>24</v>
      </c>
      <c r="F8699">
        <v>90008</v>
      </c>
      <c r="G8699" t="s">
        <v>25</v>
      </c>
      <c r="H8699" t="s">
        <v>26</v>
      </c>
      <c r="I8699" t="s">
        <v>32</v>
      </c>
      <c r="J8699">
        <v>344.91</v>
      </c>
      <c r="K8699">
        <v>3</v>
      </c>
      <c r="L8699">
        <v>0</v>
      </c>
      <c r="M8699">
        <v>10.347300000000001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144</v>
      </c>
      <c r="E8700" t="s">
        <v>24</v>
      </c>
      <c r="F8700">
        <v>92037</v>
      </c>
      <c r="G8700" t="s">
        <v>25</v>
      </c>
      <c r="H8700" t="s">
        <v>19</v>
      </c>
      <c r="I8700" t="s">
        <v>31</v>
      </c>
      <c r="J8700">
        <v>626.35199999999998</v>
      </c>
      <c r="K8700">
        <v>3</v>
      </c>
      <c r="L8700">
        <v>0.2</v>
      </c>
      <c r="M8700">
        <v>-23.488199999999999</v>
      </c>
    </row>
    <row r="8701" spans="1:13" x14ac:dyDescent="0.3">
      <c r="A8701" t="s">
        <v>28</v>
      </c>
      <c r="B8701" t="s">
        <v>14</v>
      </c>
      <c r="C8701" t="s">
        <v>15</v>
      </c>
      <c r="D8701" t="s">
        <v>52</v>
      </c>
      <c r="E8701" t="s">
        <v>24</v>
      </c>
      <c r="F8701">
        <v>94110</v>
      </c>
      <c r="G8701" t="s">
        <v>25</v>
      </c>
      <c r="H8701" t="s">
        <v>19</v>
      </c>
      <c r="I8701" t="s">
        <v>20</v>
      </c>
      <c r="J8701">
        <v>359.49900000000002</v>
      </c>
      <c r="K8701">
        <v>3</v>
      </c>
      <c r="L8701">
        <v>0.15</v>
      </c>
      <c r="M8701">
        <v>-29.605799999999999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35</v>
      </c>
      <c r="I8702" t="s">
        <v>36</v>
      </c>
      <c r="J8702">
        <v>71.951999999999998</v>
      </c>
      <c r="K8702">
        <v>6</v>
      </c>
      <c r="L8702">
        <v>0.2</v>
      </c>
      <c r="M8702">
        <v>5.3963999999999999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144</v>
      </c>
      <c r="E8703" t="s">
        <v>24</v>
      </c>
      <c r="F8703">
        <v>92105</v>
      </c>
      <c r="G8703" t="s">
        <v>25</v>
      </c>
      <c r="H8703" t="s">
        <v>26</v>
      </c>
      <c r="I8703" t="s">
        <v>37</v>
      </c>
      <c r="J8703">
        <v>29.8</v>
      </c>
      <c r="K8703">
        <v>5</v>
      </c>
      <c r="L8703">
        <v>0.2</v>
      </c>
      <c r="M8703">
        <v>9.3125</v>
      </c>
    </row>
    <row r="8704" spans="1:13" x14ac:dyDescent="0.3">
      <c r="A8704" t="s">
        <v>13</v>
      </c>
      <c r="B8704" t="s">
        <v>22</v>
      </c>
      <c r="C8704" t="s">
        <v>15</v>
      </c>
      <c r="D8704" t="s">
        <v>605</v>
      </c>
      <c r="E8704" t="s">
        <v>104</v>
      </c>
      <c r="F8704">
        <v>44035</v>
      </c>
      <c r="G8704" t="s">
        <v>57</v>
      </c>
      <c r="H8704" t="s">
        <v>26</v>
      </c>
      <c r="I8704" t="s">
        <v>37</v>
      </c>
      <c r="J8704">
        <v>1.8240000000000001</v>
      </c>
      <c r="K8704">
        <v>1</v>
      </c>
      <c r="L8704">
        <v>0.7</v>
      </c>
      <c r="M8704">
        <v>-1.3984000000000001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26</v>
      </c>
      <c r="I8705" t="s">
        <v>38</v>
      </c>
      <c r="J8705">
        <v>64.384</v>
      </c>
      <c r="K8705">
        <v>4</v>
      </c>
      <c r="L8705">
        <v>0.8</v>
      </c>
      <c r="M8705">
        <v>-160.96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19</v>
      </c>
      <c r="I8706" t="s">
        <v>33</v>
      </c>
      <c r="J8706">
        <v>6.984</v>
      </c>
      <c r="K8706">
        <v>2</v>
      </c>
      <c r="L8706">
        <v>0.6</v>
      </c>
      <c r="M8706">
        <v>-4.5396000000000001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34</v>
      </c>
      <c r="J8707">
        <v>11.263999999999999</v>
      </c>
      <c r="K8707">
        <v>8</v>
      </c>
      <c r="L8707">
        <v>0.2</v>
      </c>
      <c r="M8707">
        <v>3.9424000000000001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26</v>
      </c>
      <c r="I8708" t="s">
        <v>41</v>
      </c>
      <c r="J8708">
        <v>15.552</v>
      </c>
      <c r="K8708">
        <v>3</v>
      </c>
      <c r="L8708">
        <v>0.2</v>
      </c>
      <c r="M8708">
        <v>5.6375999999999999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19</v>
      </c>
      <c r="I8709" t="s">
        <v>21</v>
      </c>
      <c r="J8709">
        <v>379.37200000000001</v>
      </c>
      <c r="K8709">
        <v>2</v>
      </c>
      <c r="L8709">
        <v>0.3</v>
      </c>
      <c r="M8709">
        <v>-119.2312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32</v>
      </c>
      <c r="J8710">
        <v>67.536000000000001</v>
      </c>
      <c r="K8710">
        <v>9</v>
      </c>
      <c r="L8710">
        <v>0.2</v>
      </c>
      <c r="M8710">
        <v>6.7535999999999996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61</v>
      </c>
      <c r="E8711" t="s">
        <v>46</v>
      </c>
      <c r="F8711">
        <v>77070</v>
      </c>
      <c r="G8711" t="s">
        <v>47</v>
      </c>
      <c r="H8711" t="s">
        <v>26</v>
      </c>
      <c r="I8711" t="s">
        <v>37</v>
      </c>
      <c r="J8711">
        <v>1.524</v>
      </c>
      <c r="K8711">
        <v>2</v>
      </c>
      <c r="L8711">
        <v>0.8</v>
      </c>
      <c r="M8711">
        <v>-2.6669999999999998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37.408000000000001</v>
      </c>
      <c r="K8712">
        <v>7</v>
      </c>
      <c r="L8712">
        <v>0.2</v>
      </c>
      <c r="M8712">
        <v>13.0928</v>
      </c>
    </row>
    <row r="8713" spans="1:13" x14ac:dyDescent="0.3">
      <c r="A8713" t="s">
        <v>13</v>
      </c>
      <c r="B8713" t="s">
        <v>44</v>
      </c>
      <c r="C8713" t="s">
        <v>15</v>
      </c>
      <c r="D8713" t="s">
        <v>180</v>
      </c>
      <c r="E8713" t="s">
        <v>30</v>
      </c>
      <c r="F8713">
        <v>33178</v>
      </c>
      <c r="G8713" t="s">
        <v>18</v>
      </c>
      <c r="H8713" t="s">
        <v>26</v>
      </c>
      <c r="I8713" t="s">
        <v>41</v>
      </c>
      <c r="J8713">
        <v>25.344000000000001</v>
      </c>
      <c r="K8713">
        <v>6</v>
      </c>
      <c r="L8713">
        <v>0.2</v>
      </c>
      <c r="M8713">
        <v>8.8704000000000001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42</v>
      </c>
      <c r="E8714" t="s">
        <v>43</v>
      </c>
      <c r="F8714">
        <v>98115</v>
      </c>
      <c r="G8714" t="s">
        <v>25</v>
      </c>
      <c r="H8714" t="s">
        <v>26</v>
      </c>
      <c r="I8714" t="s">
        <v>34</v>
      </c>
      <c r="J8714">
        <v>46.2</v>
      </c>
      <c r="K8714">
        <v>4</v>
      </c>
      <c r="L8714">
        <v>0</v>
      </c>
      <c r="M8714">
        <v>21.251999999999999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35</v>
      </c>
      <c r="I8715" t="s">
        <v>59</v>
      </c>
      <c r="J8715">
        <v>4.7279999999999998</v>
      </c>
      <c r="K8715">
        <v>3</v>
      </c>
      <c r="L8715">
        <v>0.2</v>
      </c>
      <c r="M8715">
        <v>0.70920000000000005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33</v>
      </c>
      <c r="J8716">
        <v>53.351999999999997</v>
      </c>
      <c r="K8716">
        <v>3</v>
      </c>
      <c r="L8716">
        <v>0.2</v>
      </c>
      <c r="M8716">
        <v>16.005600000000001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19</v>
      </c>
      <c r="I8717" t="s">
        <v>20</v>
      </c>
      <c r="J8717">
        <v>131.10400000000001</v>
      </c>
      <c r="K8717">
        <v>2</v>
      </c>
      <c r="L8717">
        <v>0.2</v>
      </c>
      <c r="M8717">
        <v>8.1940000000000008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26</v>
      </c>
      <c r="I8718" t="s">
        <v>32</v>
      </c>
      <c r="J8718">
        <v>22.512</v>
      </c>
      <c r="K8718">
        <v>3</v>
      </c>
      <c r="L8718">
        <v>0.2</v>
      </c>
      <c r="M8718">
        <v>2.2511999999999999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161</v>
      </c>
      <c r="E8719" t="s">
        <v>86</v>
      </c>
      <c r="F8719">
        <v>37130</v>
      </c>
      <c r="G8719" t="s">
        <v>18</v>
      </c>
      <c r="H8719" t="s">
        <v>35</v>
      </c>
      <c r="I8719" t="s">
        <v>59</v>
      </c>
      <c r="J8719">
        <v>72.744</v>
      </c>
      <c r="K8719">
        <v>7</v>
      </c>
      <c r="L8719">
        <v>0.2</v>
      </c>
      <c r="M8719">
        <v>-12.7302</v>
      </c>
    </row>
    <row r="8720" spans="1:13" x14ac:dyDescent="0.3">
      <c r="A8720" t="s">
        <v>28</v>
      </c>
      <c r="B8720" t="s">
        <v>22</v>
      </c>
      <c r="C8720" t="s">
        <v>15</v>
      </c>
      <c r="D8720" t="s">
        <v>371</v>
      </c>
      <c r="E8720" t="s">
        <v>112</v>
      </c>
      <c r="F8720">
        <v>63116</v>
      </c>
      <c r="G8720" t="s">
        <v>47</v>
      </c>
      <c r="H8720" t="s">
        <v>26</v>
      </c>
      <c r="I8720" t="s">
        <v>110</v>
      </c>
      <c r="J8720">
        <v>52.59</v>
      </c>
      <c r="K8720">
        <v>3</v>
      </c>
      <c r="L8720">
        <v>0</v>
      </c>
      <c r="M8720">
        <v>15.776999999999999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26</v>
      </c>
      <c r="I8721" t="s">
        <v>41</v>
      </c>
      <c r="J8721">
        <v>19.440000000000001</v>
      </c>
      <c r="K8721">
        <v>3</v>
      </c>
      <c r="L8721">
        <v>0</v>
      </c>
      <c r="M8721">
        <v>9.3312000000000008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19</v>
      </c>
      <c r="I8722" t="s">
        <v>33</v>
      </c>
      <c r="J8722">
        <v>126.3</v>
      </c>
      <c r="K8722">
        <v>3</v>
      </c>
      <c r="L8722">
        <v>0</v>
      </c>
      <c r="M8722">
        <v>40.415999999999997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42</v>
      </c>
      <c r="E8723" t="s">
        <v>43</v>
      </c>
      <c r="F8723">
        <v>98105</v>
      </c>
      <c r="G8723" t="s">
        <v>25</v>
      </c>
      <c r="H8723" t="s">
        <v>35</v>
      </c>
      <c r="I8723" t="s">
        <v>59</v>
      </c>
      <c r="J8723">
        <v>1287.45</v>
      </c>
      <c r="K8723">
        <v>5</v>
      </c>
      <c r="L8723">
        <v>0</v>
      </c>
      <c r="M8723">
        <v>244.6155</v>
      </c>
    </row>
    <row r="8724" spans="1:13" x14ac:dyDescent="0.3">
      <c r="A8724" t="s">
        <v>13</v>
      </c>
      <c r="B8724" t="s">
        <v>22</v>
      </c>
      <c r="C8724" t="s">
        <v>15</v>
      </c>
      <c r="D8724" t="s">
        <v>75</v>
      </c>
      <c r="E8724" t="s">
        <v>76</v>
      </c>
      <c r="F8724">
        <v>10024</v>
      </c>
      <c r="G8724" t="s">
        <v>57</v>
      </c>
      <c r="H8724" t="s">
        <v>26</v>
      </c>
      <c r="I8724" t="s">
        <v>32</v>
      </c>
      <c r="J8724">
        <v>64.959999999999994</v>
      </c>
      <c r="K8724">
        <v>4</v>
      </c>
      <c r="L8724">
        <v>0</v>
      </c>
      <c r="M8724">
        <v>9.7439999999999998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530</v>
      </c>
      <c r="E8725" t="s">
        <v>68</v>
      </c>
      <c r="F8725">
        <v>55125</v>
      </c>
      <c r="G8725" t="s">
        <v>47</v>
      </c>
      <c r="H8725" t="s">
        <v>26</v>
      </c>
      <c r="I8725" t="s">
        <v>32</v>
      </c>
      <c r="J8725">
        <v>535.41</v>
      </c>
      <c r="K8725">
        <v>3</v>
      </c>
      <c r="L8725">
        <v>0</v>
      </c>
      <c r="M8725">
        <v>160.62299999999999</v>
      </c>
    </row>
    <row r="8726" spans="1:13" x14ac:dyDescent="0.3">
      <c r="A8726" t="s">
        <v>28</v>
      </c>
      <c r="B8726" t="s">
        <v>22</v>
      </c>
      <c r="C8726" t="s">
        <v>15</v>
      </c>
      <c r="D8726" t="s">
        <v>435</v>
      </c>
      <c r="E8726" t="s">
        <v>86</v>
      </c>
      <c r="F8726">
        <v>37421</v>
      </c>
      <c r="G8726" t="s">
        <v>18</v>
      </c>
      <c r="H8726" t="s">
        <v>26</v>
      </c>
      <c r="I8726" t="s">
        <v>37</v>
      </c>
      <c r="J8726">
        <v>8.1</v>
      </c>
      <c r="K8726">
        <v>5</v>
      </c>
      <c r="L8726">
        <v>0.7</v>
      </c>
      <c r="M8726">
        <v>-5.94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26</v>
      </c>
      <c r="I8727" t="s">
        <v>34</v>
      </c>
      <c r="J8727">
        <v>13.247999999999999</v>
      </c>
      <c r="K8727">
        <v>4</v>
      </c>
      <c r="L8727">
        <v>0.2</v>
      </c>
      <c r="M8727">
        <v>3.6432000000000002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55</v>
      </c>
      <c r="E8728" t="s">
        <v>56</v>
      </c>
      <c r="F8728">
        <v>19140</v>
      </c>
      <c r="G8728" t="s">
        <v>57</v>
      </c>
      <c r="H8728" t="s">
        <v>35</v>
      </c>
      <c r="I8728" t="s">
        <v>36</v>
      </c>
      <c r="J8728">
        <v>83.988</v>
      </c>
      <c r="K8728">
        <v>2</v>
      </c>
      <c r="L8728">
        <v>0.4</v>
      </c>
      <c r="M8728">
        <v>-20.997</v>
      </c>
    </row>
    <row r="8729" spans="1:13" x14ac:dyDescent="0.3">
      <c r="A8729" t="s">
        <v>62</v>
      </c>
      <c r="B8729" t="s">
        <v>14</v>
      </c>
      <c r="C8729" t="s">
        <v>15</v>
      </c>
      <c r="D8729" t="s">
        <v>325</v>
      </c>
      <c r="E8729" t="s">
        <v>125</v>
      </c>
      <c r="F8729">
        <v>70506</v>
      </c>
      <c r="G8729" t="s">
        <v>18</v>
      </c>
      <c r="H8729" t="s">
        <v>26</v>
      </c>
      <c r="I8729" t="s">
        <v>34</v>
      </c>
      <c r="J8729">
        <v>73.2</v>
      </c>
      <c r="K8729">
        <v>5</v>
      </c>
      <c r="L8729">
        <v>0</v>
      </c>
      <c r="M8729">
        <v>21.228000000000002</v>
      </c>
    </row>
    <row r="8730" spans="1:13" x14ac:dyDescent="0.3">
      <c r="A8730" t="s">
        <v>168</v>
      </c>
      <c r="B8730" t="s">
        <v>44</v>
      </c>
      <c r="C8730" t="s">
        <v>15</v>
      </c>
      <c r="D8730" t="s">
        <v>184</v>
      </c>
      <c r="E8730" t="s">
        <v>74</v>
      </c>
      <c r="F8730">
        <v>46226</v>
      </c>
      <c r="G8730" t="s">
        <v>47</v>
      </c>
      <c r="H8730" t="s">
        <v>26</v>
      </c>
      <c r="I8730" t="s">
        <v>37</v>
      </c>
      <c r="J8730">
        <v>10.74</v>
      </c>
      <c r="K8730">
        <v>3</v>
      </c>
      <c r="L8730">
        <v>0</v>
      </c>
      <c r="M8730">
        <v>5.1551999999999998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19</v>
      </c>
      <c r="I8731" t="s">
        <v>33</v>
      </c>
      <c r="J8731">
        <v>11.032</v>
      </c>
      <c r="K8731">
        <v>1</v>
      </c>
      <c r="L8731">
        <v>0.2</v>
      </c>
      <c r="M8731">
        <v>3.0337999999999998</v>
      </c>
    </row>
    <row r="8732" spans="1:13" x14ac:dyDescent="0.3">
      <c r="A8732" t="s">
        <v>62</v>
      </c>
      <c r="B8732" t="s">
        <v>14</v>
      </c>
      <c r="C8732" t="s">
        <v>15</v>
      </c>
      <c r="D8732" t="s">
        <v>584</v>
      </c>
      <c r="E8732" t="s">
        <v>95</v>
      </c>
      <c r="F8732">
        <v>97123</v>
      </c>
      <c r="G8732" t="s">
        <v>25</v>
      </c>
      <c r="H8732" t="s">
        <v>35</v>
      </c>
      <c r="I8732" t="s">
        <v>59</v>
      </c>
      <c r="J8732">
        <v>53.04</v>
      </c>
      <c r="K8732">
        <v>3</v>
      </c>
      <c r="L8732">
        <v>0.2</v>
      </c>
      <c r="M8732">
        <v>-4.641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34</v>
      </c>
      <c r="J8733">
        <v>17.12</v>
      </c>
      <c r="K8733">
        <v>4</v>
      </c>
      <c r="L8733">
        <v>0</v>
      </c>
      <c r="M8733">
        <v>4.9648000000000003</v>
      </c>
    </row>
    <row r="8734" spans="1:13" x14ac:dyDescent="0.3">
      <c r="A8734" t="s">
        <v>13</v>
      </c>
      <c r="B8734" t="s">
        <v>44</v>
      </c>
      <c r="C8734" t="s">
        <v>15</v>
      </c>
      <c r="D8734" t="s">
        <v>563</v>
      </c>
      <c r="E8734" t="s">
        <v>166</v>
      </c>
      <c r="F8734">
        <v>2138</v>
      </c>
      <c r="G8734" t="s">
        <v>57</v>
      </c>
      <c r="H8734" t="s">
        <v>26</v>
      </c>
      <c r="I8734" t="s">
        <v>41</v>
      </c>
      <c r="J8734">
        <v>59.94</v>
      </c>
      <c r="K8734">
        <v>3</v>
      </c>
      <c r="L8734">
        <v>0</v>
      </c>
      <c r="M8734">
        <v>28.171800000000001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19</v>
      </c>
      <c r="I8735" t="s">
        <v>33</v>
      </c>
      <c r="J8735">
        <v>210.58</v>
      </c>
      <c r="K8735">
        <v>2</v>
      </c>
      <c r="L8735">
        <v>0</v>
      </c>
      <c r="M8735">
        <v>12.6348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26</v>
      </c>
      <c r="I8736" t="s">
        <v>37</v>
      </c>
      <c r="J8736">
        <v>30.96</v>
      </c>
      <c r="K8736">
        <v>2</v>
      </c>
      <c r="L8736">
        <v>0.2</v>
      </c>
      <c r="M8736">
        <v>10.061999999999999</v>
      </c>
    </row>
    <row r="8737" spans="1:13" x14ac:dyDescent="0.3">
      <c r="A8737" t="s">
        <v>28</v>
      </c>
      <c r="B8737" t="s">
        <v>22</v>
      </c>
      <c r="C8737" t="s">
        <v>15</v>
      </c>
      <c r="D8737" t="s">
        <v>144</v>
      </c>
      <c r="E8737" t="s">
        <v>24</v>
      </c>
      <c r="F8737">
        <v>92105</v>
      </c>
      <c r="G8737" t="s">
        <v>25</v>
      </c>
      <c r="H8737" t="s">
        <v>35</v>
      </c>
      <c r="I8737" t="s">
        <v>123</v>
      </c>
      <c r="J8737">
        <v>239.98400000000001</v>
      </c>
      <c r="K8737">
        <v>2</v>
      </c>
      <c r="L8737">
        <v>0.2</v>
      </c>
      <c r="M8737">
        <v>38.997399999999999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26</v>
      </c>
      <c r="I8738" t="s">
        <v>37</v>
      </c>
      <c r="J8738">
        <v>3050.3760000000002</v>
      </c>
      <c r="K8738">
        <v>3</v>
      </c>
      <c r="L8738">
        <v>0.2</v>
      </c>
      <c r="M8738">
        <v>1143.8910000000001</v>
      </c>
    </row>
    <row r="8739" spans="1:13" x14ac:dyDescent="0.3">
      <c r="A8739" t="s">
        <v>62</v>
      </c>
      <c r="B8739" t="s">
        <v>14</v>
      </c>
      <c r="C8739" t="s">
        <v>15</v>
      </c>
      <c r="D8739" t="s">
        <v>75</v>
      </c>
      <c r="E8739" t="s">
        <v>76</v>
      </c>
      <c r="F8739">
        <v>10009</v>
      </c>
      <c r="G8739" t="s">
        <v>57</v>
      </c>
      <c r="H8739" t="s">
        <v>35</v>
      </c>
      <c r="I8739" t="s">
        <v>36</v>
      </c>
      <c r="J8739">
        <v>133.97999999999999</v>
      </c>
      <c r="K8739">
        <v>2</v>
      </c>
      <c r="L8739">
        <v>0</v>
      </c>
      <c r="M8739">
        <v>33.494999999999997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26</v>
      </c>
      <c r="I8740" t="s">
        <v>41</v>
      </c>
      <c r="J8740">
        <v>93.248000000000005</v>
      </c>
      <c r="K8740">
        <v>4</v>
      </c>
      <c r="L8740">
        <v>0.2</v>
      </c>
      <c r="M8740">
        <v>31.4712</v>
      </c>
    </row>
    <row r="8741" spans="1:13" x14ac:dyDescent="0.3">
      <c r="A8741" t="s">
        <v>28</v>
      </c>
      <c r="B8741" t="s">
        <v>44</v>
      </c>
      <c r="C8741" t="s">
        <v>15</v>
      </c>
      <c r="D8741" t="s">
        <v>404</v>
      </c>
      <c r="E8741" t="s">
        <v>30</v>
      </c>
      <c r="F8741">
        <v>32303</v>
      </c>
      <c r="G8741" t="s">
        <v>18</v>
      </c>
      <c r="H8741" t="s">
        <v>35</v>
      </c>
      <c r="I8741" t="s">
        <v>36</v>
      </c>
      <c r="J8741">
        <v>177.48</v>
      </c>
      <c r="K8741">
        <v>3</v>
      </c>
      <c r="L8741">
        <v>0.2</v>
      </c>
      <c r="M8741">
        <v>19.9665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27</v>
      </c>
      <c r="J8742">
        <v>17.712</v>
      </c>
      <c r="K8742">
        <v>6</v>
      </c>
      <c r="L8742">
        <v>0.2</v>
      </c>
      <c r="M8742">
        <v>5.9778000000000002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4.8600000000000003</v>
      </c>
      <c r="K8743">
        <v>3</v>
      </c>
      <c r="L8743">
        <v>0.7</v>
      </c>
      <c r="M8743">
        <v>-3.5640000000000001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252</v>
      </c>
      <c r="E8744" t="s">
        <v>104</v>
      </c>
      <c r="F8744">
        <v>43615</v>
      </c>
      <c r="G8744" t="s">
        <v>57</v>
      </c>
      <c r="H8744" t="s">
        <v>26</v>
      </c>
      <c r="I8744" t="s">
        <v>37</v>
      </c>
      <c r="J8744">
        <v>6.258</v>
      </c>
      <c r="K8744">
        <v>2</v>
      </c>
      <c r="L8744">
        <v>0.7</v>
      </c>
      <c r="M8744">
        <v>-5.2149999999999999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38</v>
      </c>
      <c r="J8745">
        <v>37.68</v>
      </c>
      <c r="K8745">
        <v>2</v>
      </c>
      <c r="L8745">
        <v>0</v>
      </c>
      <c r="M8745">
        <v>10.5504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26</v>
      </c>
      <c r="I8746" t="s">
        <v>41</v>
      </c>
      <c r="J8746">
        <v>51.84</v>
      </c>
      <c r="K8746">
        <v>8</v>
      </c>
      <c r="L8746">
        <v>0</v>
      </c>
      <c r="M8746">
        <v>24.883199999999999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19</v>
      </c>
      <c r="I8747" t="s">
        <v>33</v>
      </c>
      <c r="J8747">
        <v>27.42</v>
      </c>
      <c r="K8747">
        <v>3</v>
      </c>
      <c r="L8747">
        <v>0</v>
      </c>
      <c r="M8747">
        <v>9.3228000000000009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90</v>
      </c>
      <c r="E8748" t="s">
        <v>248</v>
      </c>
      <c r="F8748">
        <v>21044</v>
      </c>
      <c r="G8748" t="s">
        <v>57</v>
      </c>
      <c r="H8748" t="s">
        <v>26</v>
      </c>
      <c r="I8748" t="s">
        <v>37</v>
      </c>
      <c r="J8748">
        <v>5.4</v>
      </c>
      <c r="K8748">
        <v>3</v>
      </c>
      <c r="L8748">
        <v>0</v>
      </c>
      <c r="M8748">
        <v>2.5920000000000001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37</v>
      </c>
      <c r="J8749">
        <v>1270.99</v>
      </c>
      <c r="K8749">
        <v>1</v>
      </c>
      <c r="L8749">
        <v>0</v>
      </c>
      <c r="M8749">
        <v>635.495</v>
      </c>
    </row>
    <row r="8750" spans="1:13" x14ac:dyDescent="0.3">
      <c r="A8750" t="s">
        <v>28</v>
      </c>
      <c r="B8750" t="s">
        <v>44</v>
      </c>
      <c r="C8750" t="s">
        <v>15</v>
      </c>
      <c r="D8750" t="s">
        <v>200</v>
      </c>
      <c r="E8750" t="s">
        <v>167</v>
      </c>
      <c r="F8750">
        <v>30318</v>
      </c>
      <c r="G8750" t="s">
        <v>18</v>
      </c>
      <c r="H8750" t="s">
        <v>26</v>
      </c>
      <c r="I8750" t="s">
        <v>60</v>
      </c>
      <c r="J8750">
        <v>125.36</v>
      </c>
      <c r="K8750">
        <v>8</v>
      </c>
      <c r="L8750">
        <v>0</v>
      </c>
      <c r="M8750">
        <v>58.919199999999996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32</v>
      </c>
      <c r="J8751">
        <v>14.03</v>
      </c>
      <c r="K8751">
        <v>1</v>
      </c>
      <c r="L8751">
        <v>0</v>
      </c>
      <c r="M8751">
        <v>4.0686999999999998</v>
      </c>
    </row>
    <row r="8752" spans="1:13" x14ac:dyDescent="0.3">
      <c r="A8752" t="s">
        <v>28</v>
      </c>
      <c r="B8752" t="s">
        <v>14</v>
      </c>
      <c r="C8752" t="s">
        <v>15</v>
      </c>
      <c r="D8752" t="s">
        <v>390</v>
      </c>
      <c r="E8752" t="s">
        <v>24</v>
      </c>
      <c r="F8752">
        <v>95823</v>
      </c>
      <c r="G8752" t="s">
        <v>25</v>
      </c>
      <c r="H8752" t="s">
        <v>26</v>
      </c>
      <c r="I8752" t="s">
        <v>110</v>
      </c>
      <c r="J8752">
        <v>27.96</v>
      </c>
      <c r="K8752">
        <v>2</v>
      </c>
      <c r="L8752">
        <v>0</v>
      </c>
      <c r="M8752">
        <v>7.2695999999999996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34</v>
      </c>
      <c r="J8753">
        <v>5.3440000000000003</v>
      </c>
      <c r="K8753">
        <v>2</v>
      </c>
      <c r="L8753">
        <v>0.2</v>
      </c>
      <c r="M8753">
        <v>0.73480000000000001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37</v>
      </c>
      <c r="J8754">
        <v>1.696</v>
      </c>
      <c r="K8754">
        <v>2</v>
      </c>
      <c r="L8754">
        <v>0.8</v>
      </c>
      <c r="M8754">
        <v>-2.544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38</v>
      </c>
      <c r="J8755">
        <v>24.588000000000001</v>
      </c>
      <c r="K8755">
        <v>3</v>
      </c>
      <c r="L8755">
        <v>0.8</v>
      </c>
      <c r="M8755">
        <v>-67.617000000000004</v>
      </c>
    </row>
    <row r="8756" spans="1:13" x14ac:dyDescent="0.3">
      <c r="A8756" t="s">
        <v>28</v>
      </c>
      <c r="B8756" t="s">
        <v>22</v>
      </c>
      <c r="C8756" t="s">
        <v>15</v>
      </c>
      <c r="D8756" t="s">
        <v>45</v>
      </c>
      <c r="E8756" t="s">
        <v>46</v>
      </c>
      <c r="F8756">
        <v>76106</v>
      </c>
      <c r="G8756" t="s">
        <v>47</v>
      </c>
      <c r="H8756" t="s">
        <v>26</v>
      </c>
      <c r="I8756" t="s">
        <v>37</v>
      </c>
      <c r="J8756">
        <v>7.98</v>
      </c>
      <c r="K8756">
        <v>5</v>
      </c>
      <c r="L8756">
        <v>0.8</v>
      </c>
      <c r="M8756">
        <v>-13.167</v>
      </c>
    </row>
    <row r="8757" spans="1:13" x14ac:dyDescent="0.3">
      <c r="A8757" t="s">
        <v>28</v>
      </c>
      <c r="B8757" t="s">
        <v>14</v>
      </c>
      <c r="C8757" t="s">
        <v>15</v>
      </c>
      <c r="D8757" t="s">
        <v>103</v>
      </c>
      <c r="E8757" t="s">
        <v>104</v>
      </c>
      <c r="F8757">
        <v>43229</v>
      </c>
      <c r="G8757" t="s">
        <v>57</v>
      </c>
      <c r="H8757" t="s">
        <v>35</v>
      </c>
      <c r="I8757" t="s">
        <v>59</v>
      </c>
      <c r="J8757">
        <v>288</v>
      </c>
      <c r="K8757">
        <v>4</v>
      </c>
      <c r="L8757">
        <v>0.2</v>
      </c>
      <c r="M8757">
        <v>57.6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35</v>
      </c>
      <c r="I8758" t="s">
        <v>36</v>
      </c>
      <c r="J8758">
        <v>146.952</v>
      </c>
      <c r="K8758">
        <v>3</v>
      </c>
      <c r="L8758">
        <v>0.2</v>
      </c>
      <c r="M8758">
        <v>9.1844999999999999</v>
      </c>
    </row>
    <row r="8759" spans="1:13" x14ac:dyDescent="0.3">
      <c r="A8759" t="s">
        <v>168</v>
      </c>
      <c r="B8759" t="s">
        <v>44</v>
      </c>
      <c r="C8759" t="s">
        <v>15</v>
      </c>
      <c r="D8759" t="s">
        <v>183</v>
      </c>
      <c r="E8759" t="s">
        <v>98</v>
      </c>
      <c r="F8759">
        <v>80027</v>
      </c>
      <c r="G8759" t="s">
        <v>25</v>
      </c>
      <c r="H8759" t="s">
        <v>19</v>
      </c>
      <c r="I8759" t="s">
        <v>21</v>
      </c>
      <c r="J8759">
        <v>83.135999999999996</v>
      </c>
      <c r="K8759">
        <v>4</v>
      </c>
      <c r="L8759">
        <v>0.2</v>
      </c>
      <c r="M8759">
        <v>5.1959999999999997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38</v>
      </c>
      <c r="J8760">
        <v>942.78399999999999</v>
      </c>
      <c r="K8760">
        <v>4</v>
      </c>
      <c r="L8760">
        <v>0.2</v>
      </c>
      <c r="M8760">
        <v>94.278400000000005</v>
      </c>
    </row>
    <row r="8761" spans="1:13" x14ac:dyDescent="0.3">
      <c r="A8761" t="s">
        <v>62</v>
      </c>
      <c r="B8761" t="s">
        <v>22</v>
      </c>
      <c r="C8761" t="s">
        <v>15</v>
      </c>
      <c r="D8761" t="s">
        <v>339</v>
      </c>
      <c r="E8761" t="s">
        <v>40</v>
      </c>
      <c r="F8761">
        <v>27604</v>
      </c>
      <c r="G8761" t="s">
        <v>18</v>
      </c>
      <c r="H8761" t="s">
        <v>26</v>
      </c>
      <c r="I8761" t="s">
        <v>41</v>
      </c>
      <c r="J8761">
        <v>74.352000000000004</v>
      </c>
      <c r="K8761">
        <v>3</v>
      </c>
      <c r="L8761">
        <v>0.2</v>
      </c>
      <c r="M8761">
        <v>23.234999999999999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38</v>
      </c>
      <c r="J8762">
        <v>26.88</v>
      </c>
      <c r="K8762">
        <v>6</v>
      </c>
      <c r="L8762">
        <v>0</v>
      </c>
      <c r="M8762">
        <v>6.72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75</v>
      </c>
      <c r="E8763" t="s">
        <v>76</v>
      </c>
      <c r="F8763">
        <v>10024</v>
      </c>
      <c r="G8763" t="s">
        <v>57</v>
      </c>
      <c r="H8763" t="s">
        <v>26</v>
      </c>
      <c r="I8763" t="s">
        <v>37</v>
      </c>
      <c r="J8763">
        <v>10.896000000000001</v>
      </c>
      <c r="K8763">
        <v>2</v>
      </c>
      <c r="L8763">
        <v>0.2</v>
      </c>
      <c r="M8763">
        <v>3.8136000000000001</v>
      </c>
    </row>
    <row r="8764" spans="1:13" x14ac:dyDescent="0.3">
      <c r="A8764" t="s">
        <v>13</v>
      </c>
      <c r="B8764" t="s">
        <v>44</v>
      </c>
      <c r="C8764" t="s">
        <v>15</v>
      </c>
      <c r="D8764" t="s">
        <v>79</v>
      </c>
      <c r="E8764" t="s">
        <v>65</v>
      </c>
      <c r="F8764">
        <v>60623</v>
      </c>
      <c r="G8764" t="s">
        <v>47</v>
      </c>
      <c r="H8764" t="s">
        <v>26</v>
      </c>
      <c r="I8764" t="s">
        <v>34</v>
      </c>
      <c r="J8764">
        <v>3.536</v>
      </c>
      <c r="K8764">
        <v>2</v>
      </c>
      <c r="L8764">
        <v>0.2</v>
      </c>
      <c r="M8764">
        <v>0.30940000000000001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19</v>
      </c>
      <c r="I8765" t="s">
        <v>21</v>
      </c>
      <c r="J8765">
        <v>528.42999999999995</v>
      </c>
      <c r="K8765">
        <v>5</v>
      </c>
      <c r="L8765">
        <v>0.3</v>
      </c>
      <c r="M8765">
        <v>0</v>
      </c>
    </row>
    <row r="8766" spans="1:13" x14ac:dyDescent="0.3">
      <c r="A8766" t="s">
        <v>62</v>
      </c>
      <c r="B8766" t="s">
        <v>22</v>
      </c>
      <c r="C8766" t="s">
        <v>15</v>
      </c>
      <c r="D8766" t="s">
        <v>195</v>
      </c>
      <c r="E8766" t="s">
        <v>46</v>
      </c>
      <c r="F8766">
        <v>77340</v>
      </c>
      <c r="G8766" t="s">
        <v>47</v>
      </c>
      <c r="H8766" t="s">
        <v>26</v>
      </c>
      <c r="I8766" t="s">
        <v>41</v>
      </c>
      <c r="J8766">
        <v>41.472000000000001</v>
      </c>
      <c r="K8766">
        <v>8</v>
      </c>
      <c r="L8766">
        <v>0.2</v>
      </c>
      <c r="M8766">
        <v>14.5152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75</v>
      </c>
      <c r="E8767" t="s">
        <v>76</v>
      </c>
      <c r="F8767">
        <v>10024</v>
      </c>
      <c r="G8767" t="s">
        <v>57</v>
      </c>
      <c r="H8767" t="s">
        <v>19</v>
      </c>
      <c r="I8767" t="s">
        <v>20</v>
      </c>
      <c r="J8767">
        <v>287.976</v>
      </c>
      <c r="K8767">
        <v>3</v>
      </c>
      <c r="L8767">
        <v>0.2</v>
      </c>
      <c r="M8767">
        <v>7.1993999999999998</v>
      </c>
    </row>
    <row r="8768" spans="1:13" x14ac:dyDescent="0.3">
      <c r="A8768" t="s">
        <v>13</v>
      </c>
      <c r="B8768" t="s">
        <v>14</v>
      </c>
      <c r="C8768" t="s">
        <v>15</v>
      </c>
      <c r="D8768" t="s">
        <v>210</v>
      </c>
      <c r="E8768" t="s">
        <v>95</v>
      </c>
      <c r="F8768">
        <v>97301</v>
      </c>
      <c r="G8768" t="s">
        <v>25</v>
      </c>
      <c r="H8768" t="s">
        <v>26</v>
      </c>
      <c r="I8768" t="s">
        <v>32</v>
      </c>
      <c r="J8768">
        <v>29.303999999999998</v>
      </c>
      <c r="K8768">
        <v>3</v>
      </c>
      <c r="L8768">
        <v>0.2</v>
      </c>
      <c r="M8768">
        <v>2.5640999999999998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26</v>
      </c>
      <c r="I8769" t="s">
        <v>34</v>
      </c>
      <c r="J8769">
        <v>55.328000000000003</v>
      </c>
      <c r="K8769">
        <v>2</v>
      </c>
      <c r="L8769">
        <v>0.2</v>
      </c>
      <c r="M8769">
        <v>6.2244000000000002</v>
      </c>
    </row>
    <row r="8770" spans="1:13" x14ac:dyDescent="0.3">
      <c r="A8770" t="s">
        <v>62</v>
      </c>
      <c r="B8770" t="s">
        <v>22</v>
      </c>
      <c r="C8770" t="s">
        <v>15</v>
      </c>
      <c r="D8770" t="s">
        <v>61</v>
      </c>
      <c r="E8770" t="s">
        <v>46</v>
      </c>
      <c r="F8770">
        <v>77070</v>
      </c>
      <c r="G8770" t="s">
        <v>47</v>
      </c>
      <c r="H8770" t="s">
        <v>19</v>
      </c>
      <c r="I8770" t="s">
        <v>20</v>
      </c>
      <c r="J8770">
        <v>1227.9983999999999</v>
      </c>
      <c r="K8770">
        <v>6</v>
      </c>
      <c r="L8770">
        <v>0.32</v>
      </c>
      <c r="M8770">
        <v>-36.117600000000003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26</v>
      </c>
      <c r="I8771" t="s">
        <v>37</v>
      </c>
      <c r="J8771">
        <v>20.416</v>
      </c>
      <c r="K8771">
        <v>4</v>
      </c>
      <c r="L8771">
        <v>0.2</v>
      </c>
      <c r="M8771">
        <v>6.6352000000000002</v>
      </c>
    </row>
    <row r="8772" spans="1:13" x14ac:dyDescent="0.3">
      <c r="A8772" t="s">
        <v>28</v>
      </c>
      <c r="B8772" t="s">
        <v>22</v>
      </c>
      <c r="C8772" t="s">
        <v>15</v>
      </c>
      <c r="D8772" t="s">
        <v>606</v>
      </c>
      <c r="E8772" t="s">
        <v>437</v>
      </c>
      <c r="F8772">
        <v>83301</v>
      </c>
      <c r="G8772" t="s">
        <v>25</v>
      </c>
      <c r="H8772" t="s">
        <v>19</v>
      </c>
      <c r="I8772" t="s">
        <v>31</v>
      </c>
      <c r="J8772">
        <v>1128.3900000000001</v>
      </c>
      <c r="K8772">
        <v>3</v>
      </c>
      <c r="L8772">
        <v>0</v>
      </c>
      <c r="M8772">
        <v>259.52969999999999</v>
      </c>
    </row>
    <row r="8773" spans="1:13" x14ac:dyDescent="0.3">
      <c r="A8773" t="s">
        <v>28</v>
      </c>
      <c r="B8773" t="s">
        <v>44</v>
      </c>
      <c r="C8773" t="s">
        <v>15</v>
      </c>
      <c r="D8773" t="s">
        <v>375</v>
      </c>
      <c r="E8773" t="s">
        <v>86</v>
      </c>
      <c r="F8773">
        <v>37918</v>
      </c>
      <c r="G8773" t="s">
        <v>18</v>
      </c>
      <c r="H8773" t="s">
        <v>26</v>
      </c>
      <c r="I8773" t="s">
        <v>27</v>
      </c>
      <c r="J8773">
        <v>4.6079999999999997</v>
      </c>
      <c r="K8773">
        <v>2</v>
      </c>
      <c r="L8773">
        <v>0.2</v>
      </c>
      <c r="M8773">
        <v>1.6704000000000001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35</v>
      </c>
      <c r="I8774" t="s">
        <v>36</v>
      </c>
      <c r="J8774">
        <v>195.96</v>
      </c>
      <c r="K8774">
        <v>5</v>
      </c>
      <c r="L8774">
        <v>0.2</v>
      </c>
      <c r="M8774">
        <v>19.596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26</v>
      </c>
      <c r="I8775" t="s">
        <v>41</v>
      </c>
      <c r="J8775">
        <v>15.552</v>
      </c>
      <c r="K8775">
        <v>3</v>
      </c>
      <c r="L8775">
        <v>0.2</v>
      </c>
      <c r="M8775">
        <v>5.4432</v>
      </c>
    </row>
    <row r="8776" spans="1:13" x14ac:dyDescent="0.3">
      <c r="A8776" t="s">
        <v>28</v>
      </c>
      <c r="B8776" t="s">
        <v>22</v>
      </c>
      <c r="C8776" t="s">
        <v>15</v>
      </c>
      <c r="D8776" t="s">
        <v>108</v>
      </c>
      <c r="E8776" t="s">
        <v>81</v>
      </c>
      <c r="F8776">
        <v>85023</v>
      </c>
      <c r="G8776" t="s">
        <v>25</v>
      </c>
      <c r="H8776" t="s">
        <v>35</v>
      </c>
      <c r="I8776" t="s">
        <v>59</v>
      </c>
      <c r="J8776">
        <v>271.96800000000002</v>
      </c>
      <c r="K8776">
        <v>4</v>
      </c>
      <c r="L8776">
        <v>0.2</v>
      </c>
      <c r="M8776">
        <v>54.393599999999999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21</v>
      </c>
      <c r="J8777">
        <v>698.35199999999998</v>
      </c>
      <c r="K8777">
        <v>3</v>
      </c>
      <c r="L8777">
        <v>0.2</v>
      </c>
      <c r="M8777">
        <v>52.376399999999997</v>
      </c>
    </row>
    <row r="8778" spans="1:13" x14ac:dyDescent="0.3">
      <c r="A8778" t="s">
        <v>28</v>
      </c>
      <c r="B8778" t="s">
        <v>14</v>
      </c>
      <c r="C8778" t="s">
        <v>15</v>
      </c>
      <c r="D8778" t="s">
        <v>124</v>
      </c>
      <c r="E8778" t="s">
        <v>40</v>
      </c>
      <c r="F8778">
        <v>28110</v>
      </c>
      <c r="G8778" t="s">
        <v>18</v>
      </c>
      <c r="H8778" t="s">
        <v>19</v>
      </c>
      <c r="I8778" t="s">
        <v>20</v>
      </c>
      <c r="J8778">
        <v>77.727999999999994</v>
      </c>
      <c r="K8778">
        <v>2</v>
      </c>
      <c r="L8778">
        <v>0.2</v>
      </c>
      <c r="M8778">
        <v>-3.8864000000000001</v>
      </c>
    </row>
    <row r="8779" spans="1:13" x14ac:dyDescent="0.3">
      <c r="A8779" t="s">
        <v>28</v>
      </c>
      <c r="B8779" t="s">
        <v>22</v>
      </c>
      <c r="C8779" t="s">
        <v>15</v>
      </c>
      <c r="D8779" t="s">
        <v>182</v>
      </c>
      <c r="E8779" t="s">
        <v>83</v>
      </c>
      <c r="F8779">
        <v>23223</v>
      </c>
      <c r="G8779" t="s">
        <v>18</v>
      </c>
      <c r="H8779" t="s">
        <v>26</v>
      </c>
      <c r="I8779" t="s">
        <v>37</v>
      </c>
      <c r="J8779">
        <v>46.62</v>
      </c>
      <c r="K8779">
        <v>9</v>
      </c>
      <c r="L8779">
        <v>0</v>
      </c>
      <c r="M8779">
        <v>21.4452</v>
      </c>
    </row>
    <row r="8780" spans="1:13" x14ac:dyDescent="0.3">
      <c r="A8780" t="s">
        <v>28</v>
      </c>
      <c r="B8780" t="s">
        <v>14</v>
      </c>
      <c r="C8780" t="s">
        <v>15</v>
      </c>
      <c r="D8780" t="s">
        <v>61</v>
      </c>
      <c r="E8780" t="s">
        <v>46</v>
      </c>
      <c r="F8780">
        <v>77041</v>
      </c>
      <c r="G8780" t="s">
        <v>47</v>
      </c>
      <c r="H8780" t="s">
        <v>35</v>
      </c>
      <c r="I8780" t="s">
        <v>36</v>
      </c>
      <c r="J8780">
        <v>537.54399999999998</v>
      </c>
      <c r="K8780">
        <v>7</v>
      </c>
      <c r="L8780">
        <v>0.2</v>
      </c>
      <c r="M8780">
        <v>47.0351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27</v>
      </c>
      <c r="J8781">
        <v>14.62</v>
      </c>
      <c r="K8781">
        <v>2</v>
      </c>
      <c r="L8781">
        <v>0</v>
      </c>
      <c r="M8781">
        <v>6.8714000000000004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26</v>
      </c>
      <c r="I8782" t="s">
        <v>77</v>
      </c>
      <c r="J8782">
        <v>22.55</v>
      </c>
      <c r="K8782">
        <v>5</v>
      </c>
      <c r="L8782">
        <v>0</v>
      </c>
      <c r="M8782">
        <v>8.7944999999999993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583.79999999999995</v>
      </c>
      <c r="K8783">
        <v>5</v>
      </c>
      <c r="L8783">
        <v>0.2</v>
      </c>
      <c r="M8783">
        <v>72.974999999999994</v>
      </c>
    </row>
    <row r="8784" spans="1:13" x14ac:dyDescent="0.3">
      <c r="A8784" t="s">
        <v>62</v>
      </c>
      <c r="B8784" t="s">
        <v>22</v>
      </c>
      <c r="C8784" t="s">
        <v>15</v>
      </c>
      <c r="D8784" t="s">
        <v>23</v>
      </c>
      <c r="E8784" t="s">
        <v>24</v>
      </c>
      <c r="F8784">
        <v>90008</v>
      </c>
      <c r="G8784" t="s">
        <v>25</v>
      </c>
      <c r="H8784" t="s">
        <v>35</v>
      </c>
      <c r="I8784" t="s">
        <v>36</v>
      </c>
      <c r="J8784">
        <v>211.16800000000001</v>
      </c>
      <c r="K8784">
        <v>4</v>
      </c>
      <c r="L8784">
        <v>0.2</v>
      </c>
      <c r="M8784">
        <v>15.8376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41</v>
      </c>
      <c r="J8785">
        <v>12.96</v>
      </c>
      <c r="K8785">
        <v>2</v>
      </c>
      <c r="L8785">
        <v>0</v>
      </c>
      <c r="M8785">
        <v>6.2207999999999997</v>
      </c>
    </row>
    <row r="8786" spans="1:13" x14ac:dyDescent="0.3">
      <c r="A8786" t="s">
        <v>28</v>
      </c>
      <c r="B8786" t="s">
        <v>14</v>
      </c>
      <c r="C8786" t="s">
        <v>15</v>
      </c>
      <c r="D8786" t="s">
        <v>58</v>
      </c>
      <c r="E8786" t="s">
        <v>51</v>
      </c>
      <c r="F8786">
        <v>84057</v>
      </c>
      <c r="G8786" t="s">
        <v>25</v>
      </c>
      <c r="H8786" t="s">
        <v>26</v>
      </c>
      <c r="I8786" t="s">
        <v>34</v>
      </c>
      <c r="J8786">
        <v>45.98</v>
      </c>
      <c r="K8786">
        <v>2</v>
      </c>
      <c r="L8786">
        <v>0</v>
      </c>
      <c r="M8786">
        <v>12.8744</v>
      </c>
    </row>
    <row r="8787" spans="1:13" x14ac:dyDescent="0.3">
      <c r="A8787" t="s">
        <v>28</v>
      </c>
      <c r="B8787" t="s">
        <v>44</v>
      </c>
      <c r="C8787" t="s">
        <v>15</v>
      </c>
      <c r="D8787" t="s">
        <v>223</v>
      </c>
      <c r="E8787" t="s">
        <v>380</v>
      </c>
      <c r="F8787">
        <v>5408</v>
      </c>
      <c r="G8787" t="s">
        <v>57</v>
      </c>
      <c r="H8787" t="s">
        <v>35</v>
      </c>
      <c r="I8787" t="s">
        <v>36</v>
      </c>
      <c r="J8787">
        <v>1294.75</v>
      </c>
      <c r="K8787">
        <v>5</v>
      </c>
      <c r="L8787">
        <v>0</v>
      </c>
      <c r="M8787">
        <v>336.63499999999999</v>
      </c>
    </row>
    <row r="8788" spans="1:13" x14ac:dyDescent="0.3">
      <c r="A8788" t="s">
        <v>62</v>
      </c>
      <c r="B8788" t="s">
        <v>14</v>
      </c>
      <c r="C8788" t="s">
        <v>15</v>
      </c>
      <c r="D8788" t="s">
        <v>55</v>
      </c>
      <c r="E8788" t="s">
        <v>56</v>
      </c>
      <c r="F8788">
        <v>19134</v>
      </c>
      <c r="G8788" t="s">
        <v>57</v>
      </c>
      <c r="H8788" t="s">
        <v>35</v>
      </c>
      <c r="I8788" t="s">
        <v>162</v>
      </c>
      <c r="J8788">
        <v>1799.97</v>
      </c>
      <c r="K8788">
        <v>5</v>
      </c>
      <c r="L8788">
        <v>0.4</v>
      </c>
      <c r="M8788">
        <v>239.99600000000001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79</v>
      </c>
      <c r="E8789" t="s">
        <v>65</v>
      </c>
      <c r="F8789">
        <v>60623</v>
      </c>
      <c r="G8789" t="s">
        <v>47</v>
      </c>
      <c r="H8789" t="s">
        <v>26</v>
      </c>
      <c r="I8789" t="s">
        <v>41</v>
      </c>
      <c r="J8789">
        <v>10.688000000000001</v>
      </c>
      <c r="K8789">
        <v>2</v>
      </c>
      <c r="L8789">
        <v>0.2</v>
      </c>
      <c r="M8789">
        <v>3.7408000000000001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35</v>
      </c>
      <c r="I8790" t="s">
        <v>36</v>
      </c>
      <c r="J8790">
        <v>221.98</v>
      </c>
      <c r="K8790">
        <v>2</v>
      </c>
      <c r="L8790">
        <v>0</v>
      </c>
      <c r="M8790">
        <v>62.154400000000003</v>
      </c>
    </row>
    <row r="8791" spans="1:13" x14ac:dyDescent="0.3">
      <c r="A8791" t="s">
        <v>62</v>
      </c>
      <c r="B8791" t="s">
        <v>14</v>
      </c>
      <c r="C8791" t="s">
        <v>15</v>
      </c>
      <c r="D8791" t="s">
        <v>354</v>
      </c>
      <c r="E8791" t="s">
        <v>119</v>
      </c>
      <c r="F8791">
        <v>73120</v>
      </c>
      <c r="G8791" t="s">
        <v>47</v>
      </c>
      <c r="H8791" t="s">
        <v>19</v>
      </c>
      <c r="I8791" t="s">
        <v>20</v>
      </c>
      <c r="J8791">
        <v>341.96</v>
      </c>
      <c r="K8791">
        <v>2</v>
      </c>
      <c r="L8791">
        <v>0</v>
      </c>
      <c r="M8791">
        <v>54.7136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35</v>
      </c>
      <c r="I8792" t="s">
        <v>59</v>
      </c>
      <c r="J8792">
        <v>34.770000000000003</v>
      </c>
      <c r="K8792">
        <v>3</v>
      </c>
      <c r="L8792">
        <v>0</v>
      </c>
      <c r="M8792">
        <v>11.4741</v>
      </c>
    </row>
    <row r="8793" spans="1:13" x14ac:dyDescent="0.3">
      <c r="A8793" t="s">
        <v>62</v>
      </c>
      <c r="B8793" t="s">
        <v>22</v>
      </c>
      <c r="C8793" t="s">
        <v>15</v>
      </c>
      <c r="D8793" t="s">
        <v>75</v>
      </c>
      <c r="E8793" t="s">
        <v>76</v>
      </c>
      <c r="F8793">
        <v>10035</v>
      </c>
      <c r="G8793" t="s">
        <v>57</v>
      </c>
      <c r="H8793" t="s">
        <v>26</v>
      </c>
      <c r="I8793" t="s">
        <v>27</v>
      </c>
      <c r="J8793">
        <v>18.899999999999999</v>
      </c>
      <c r="K8793">
        <v>3</v>
      </c>
      <c r="L8793">
        <v>0</v>
      </c>
      <c r="M8793">
        <v>8.6940000000000008</v>
      </c>
    </row>
    <row r="8794" spans="1:13" x14ac:dyDescent="0.3">
      <c r="A8794" t="s">
        <v>28</v>
      </c>
      <c r="B8794" t="s">
        <v>14</v>
      </c>
      <c r="C8794" t="s">
        <v>15</v>
      </c>
      <c r="D8794" t="s">
        <v>374</v>
      </c>
      <c r="E8794" t="s">
        <v>51</v>
      </c>
      <c r="F8794">
        <v>84106</v>
      </c>
      <c r="G8794" t="s">
        <v>25</v>
      </c>
      <c r="H8794" t="s">
        <v>26</v>
      </c>
      <c r="I8794" t="s">
        <v>37</v>
      </c>
      <c r="J8794">
        <v>102.72</v>
      </c>
      <c r="K8794">
        <v>3</v>
      </c>
      <c r="L8794">
        <v>0.2</v>
      </c>
      <c r="M8794">
        <v>37.235999999999997</v>
      </c>
    </row>
    <row r="8795" spans="1:13" x14ac:dyDescent="0.3">
      <c r="A8795" t="s">
        <v>28</v>
      </c>
      <c r="B8795" t="s">
        <v>22</v>
      </c>
      <c r="C8795" t="s">
        <v>15</v>
      </c>
      <c r="D8795" t="s">
        <v>547</v>
      </c>
      <c r="E8795" t="s">
        <v>76</v>
      </c>
      <c r="F8795">
        <v>13501</v>
      </c>
      <c r="G8795" t="s">
        <v>57</v>
      </c>
      <c r="H8795" t="s">
        <v>19</v>
      </c>
      <c r="I8795" t="s">
        <v>33</v>
      </c>
      <c r="J8795">
        <v>40.479999999999997</v>
      </c>
      <c r="K8795">
        <v>2</v>
      </c>
      <c r="L8795">
        <v>0</v>
      </c>
      <c r="M8795">
        <v>14.572800000000001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26</v>
      </c>
      <c r="I8796" t="s">
        <v>37</v>
      </c>
      <c r="J8796">
        <v>33.281999999999996</v>
      </c>
      <c r="K8796">
        <v>3</v>
      </c>
      <c r="L8796">
        <v>0.7</v>
      </c>
      <c r="M8796">
        <v>-27.734999999999999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35</v>
      </c>
      <c r="I8797" t="s">
        <v>36</v>
      </c>
      <c r="J8797">
        <v>118.65</v>
      </c>
      <c r="K8797">
        <v>5</v>
      </c>
      <c r="L8797">
        <v>0.4</v>
      </c>
      <c r="M8797">
        <v>19.774999999999999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55</v>
      </c>
      <c r="E8798" t="s">
        <v>56</v>
      </c>
      <c r="F8798">
        <v>19134</v>
      </c>
      <c r="G8798" t="s">
        <v>57</v>
      </c>
      <c r="H8798" t="s">
        <v>26</v>
      </c>
      <c r="I8798" t="s">
        <v>27</v>
      </c>
      <c r="J8798">
        <v>14.76</v>
      </c>
      <c r="K8798">
        <v>5</v>
      </c>
      <c r="L8798">
        <v>0.2</v>
      </c>
      <c r="M8798">
        <v>4.9814999999999996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23</v>
      </c>
      <c r="E8799" t="s">
        <v>24</v>
      </c>
      <c r="F8799">
        <v>90004</v>
      </c>
      <c r="G8799" t="s">
        <v>25</v>
      </c>
      <c r="H8799" t="s">
        <v>26</v>
      </c>
      <c r="I8799" t="s">
        <v>41</v>
      </c>
      <c r="J8799">
        <v>37.520000000000003</v>
      </c>
      <c r="K8799">
        <v>4</v>
      </c>
      <c r="L8799">
        <v>0</v>
      </c>
      <c r="M8799">
        <v>18.009599999999999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38</v>
      </c>
      <c r="J8800">
        <v>207.14400000000001</v>
      </c>
      <c r="K8800">
        <v>3</v>
      </c>
      <c r="L8800">
        <v>0.1</v>
      </c>
      <c r="M8800">
        <v>48.333599999999997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84</v>
      </c>
      <c r="E8801" t="s">
        <v>70</v>
      </c>
      <c r="F8801">
        <v>49201</v>
      </c>
      <c r="G8801" t="s">
        <v>47</v>
      </c>
      <c r="H8801" t="s">
        <v>26</v>
      </c>
      <c r="I8801" t="s">
        <v>34</v>
      </c>
      <c r="J8801">
        <v>13.9</v>
      </c>
      <c r="K8801">
        <v>5</v>
      </c>
      <c r="L8801">
        <v>0</v>
      </c>
      <c r="M8801">
        <v>3.7530000000000001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305</v>
      </c>
      <c r="E8802" t="s">
        <v>81</v>
      </c>
      <c r="F8802">
        <v>85301</v>
      </c>
      <c r="G8802" t="s">
        <v>25</v>
      </c>
      <c r="H8802" t="s">
        <v>19</v>
      </c>
      <c r="I8802" t="s">
        <v>21</v>
      </c>
      <c r="J8802">
        <v>266.35199999999998</v>
      </c>
      <c r="K8802">
        <v>3</v>
      </c>
      <c r="L8802">
        <v>0.2</v>
      </c>
      <c r="M8802">
        <v>13.317600000000001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35</v>
      </c>
      <c r="I8803" t="s">
        <v>36</v>
      </c>
      <c r="J8803">
        <v>307.98</v>
      </c>
      <c r="K8803">
        <v>2</v>
      </c>
      <c r="L8803">
        <v>0</v>
      </c>
      <c r="M8803">
        <v>89.3142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41</v>
      </c>
      <c r="J8804">
        <v>44.1</v>
      </c>
      <c r="K8804">
        <v>6</v>
      </c>
      <c r="L8804">
        <v>0</v>
      </c>
      <c r="M8804">
        <v>20.727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34</v>
      </c>
      <c r="J8805">
        <v>13.12</v>
      </c>
      <c r="K8805">
        <v>4</v>
      </c>
      <c r="L8805">
        <v>0</v>
      </c>
      <c r="M8805">
        <v>5.6416000000000004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60</v>
      </c>
      <c r="J8806">
        <v>16.559999999999999</v>
      </c>
      <c r="K8806">
        <v>2</v>
      </c>
      <c r="L8806">
        <v>0</v>
      </c>
      <c r="M8806">
        <v>7.7831999999999999</v>
      </c>
    </row>
    <row r="8807" spans="1:13" x14ac:dyDescent="0.3">
      <c r="A8807" t="s">
        <v>13</v>
      </c>
      <c r="B8807" t="s">
        <v>14</v>
      </c>
      <c r="C8807" t="s">
        <v>15</v>
      </c>
      <c r="D8807" t="s">
        <v>106</v>
      </c>
      <c r="E8807" t="s">
        <v>72</v>
      </c>
      <c r="F8807">
        <v>19805</v>
      </c>
      <c r="G8807" t="s">
        <v>57</v>
      </c>
      <c r="H8807" t="s">
        <v>26</v>
      </c>
      <c r="I8807" t="s">
        <v>41</v>
      </c>
      <c r="J8807">
        <v>38.880000000000003</v>
      </c>
      <c r="K8807">
        <v>6</v>
      </c>
      <c r="L8807">
        <v>0</v>
      </c>
      <c r="M8807">
        <v>18.662400000000002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164</v>
      </c>
      <c r="E8808" t="s">
        <v>46</v>
      </c>
      <c r="F8808">
        <v>78745</v>
      </c>
      <c r="G8808" t="s">
        <v>47</v>
      </c>
      <c r="H8808" t="s">
        <v>26</v>
      </c>
      <c r="I8808" t="s">
        <v>41</v>
      </c>
      <c r="J8808">
        <v>335.52</v>
      </c>
      <c r="K8808">
        <v>4</v>
      </c>
      <c r="L8808">
        <v>0.2</v>
      </c>
      <c r="M8808">
        <v>117.432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35</v>
      </c>
      <c r="I8809" t="s">
        <v>162</v>
      </c>
      <c r="J8809">
        <v>959.98400000000004</v>
      </c>
      <c r="K8809">
        <v>2</v>
      </c>
      <c r="L8809">
        <v>0.2</v>
      </c>
      <c r="M8809">
        <v>311.9948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37</v>
      </c>
      <c r="J8810">
        <v>4.0860000000000003</v>
      </c>
      <c r="K8810">
        <v>2</v>
      </c>
      <c r="L8810">
        <v>0.7</v>
      </c>
      <c r="M8810">
        <v>-2.9964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34</v>
      </c>
      <c r="J8811">
        <v>55.984000000000002</v>
      </c>
      <c r="K8811">
        <v>2</v>
      </c>
      <c r="L8811">
        <v>0.2</v>
      </c>
      <c r="M8811">
        <v>4.1988000000000003</v>
      </c>
    </row>
    <row r="8812" spans="1:13" x14ac:dyDescent="0.3">
      <c r="A8812" t="s">
        <v>28</v>
      </c>
      <c r="B8812" t="s">
        <v>14</v>
      </c>
      <c r="C8812" t="s">
        <v>15</v>
      </c>
      <c r="D8812" t="s">
        <v>422</v>
      </c>
      <c r="E8812" t="s">
        <v>30</v>
      </c>
      <c r="F8812">
        <v>32839</v>
      </c>
      <c r="G8812" t="s">
        <v>18</v>
      </c>
      <c r="H8812" t="s">
        <v>26</v>
      </c>
      <c r="I8812" t="s">
        <v>41</v>
      </c>
      <c r="J8812">
        <v>10.688000000000001</v>
      </c>
      <c r="K8812">
        <v>2</v>
      </c>
      <c r="L8812">
        <v>0.2</v>
      </c>
      <c r="M8812">
        <v>3.7408000000000001</v>
      </c>
    </row>
    <row r="8813" spans="1:13" x14ac:dyDescent="0.3">
      <c r="A8813" t="s">
        <v>13</v>
      </c>
      <c r="B8813" t="s">
        <v>14</v>
      </c>
      <c r="C8813" t="s">
        <v>15</v>
      </c>
      <c r="D8813" t="s">
        <v>351</v>
      </c>
      <c r="E8813" t="s">
        <v>56</v>
      </c>
      <c r="F8813">
        <v>19601</v>
      </c>
      <c r="G8813" t="s">
        <v>57</v>
      </c>
      <c r="H8813" t="s">
        <v>26</v>
      </c>
      <c r="I8813" t="s">
        <v>60</v>
      </c>
      <c r="J8813">
        <v>8.8559999999999999</v>
      </c>
      <c r="K8813">
        <v>3</v>
      </c>
      <c r="L8813">
        <v>0.2</v>
      </c>
      <c r="M8813">
        <v>2.8782000000000001</v>
      </c>
    </row>
    <row r="8814" spans="1:13" x14ac:dyDescent="0.3">
      <c r="A8814" t="s">
        <v>62</v>
      </c>
      <c r="B8814" t="s">
        <v>14</v>
      </c>
      <c r="C8814" t="s">
        <v>15</v>
      </c>
      <c r="D8814" t="s">
        <v>55</v>
      </c>
      <c r="E8814" t="s">
        <v>56</v>
      </c>
      <c r="F8814">
        <v>19134</v>
      </c>
      <c r="G8814" t="s">
        <v>57</v>
      </c>
      <c r="H8814" t="s">
        <v>26</v>
      </c>
      <c r="I8814" t="s">
        <v>27</v>
      </c>
      <c r="J8814">
        <v>6.9119999999999999</v>
      </c>
      <c r="K8814">
        <v>3</v>
      </c>
      <c r="L8814">
        <v>0.2</v>
      </c>
      <c r="M8814">
        <v>2.5055999999999998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26.72</v>
      </c>
      <c r="K8815">
        <v>5</v>
      </c>
      <c r="L8815">
        <v>0.2</v>
      </c>
      <c r="M8815">
        <v>9.3520000000000003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61</v>
      </c>
      <c r="E8816" t="s">
        <v>46</v>
      </c>
      <c r="F8816">
        <v>77095</v>
      </c>
      <c r="G8816" t="s">
        <v>47</v>
      </c>
      <c r="H8816" t="s">
        <v>26</v>
      </c>
      <c r="I8816" t="s">
        <v>41</v>
      </c>
      <c r="J8816">
        <v>33.488</v>
      </c>
      <c r="K8816">
        <v>7</v>
      </c>
      <c r="L8816">
        <v>0.2</v>
      </c>
      <c r="M8816">
        <v>10.465</v>
      </c>
    </row>
    <row r="8817" spans="1:13" x14ac:dyDescent="0.3">
      <c r="A8817" t="s">
        <v>28</v>
      </c>
      <c r="B8817" t="s">
        <v>22</v>
      </c>
      <c r="C8817" t="s">
        <v>15</v>
      </c>
      <c r="D8817" t="s">
        <v>582</v>
      </c>
      <c r="E8817" t="s">
        <v>112</v>
      </c>
      <c r="F8817">
        <v>63301</v>
      </c>
      <c r="G8817" t="s">
        <v>47</v>
      </c>
      <c r="H8817" t="s">
        <v>26</v>
      </c>
      <c r="I8817" t="s">
        <v>41</v>
      </c>
      <c r="J8817">
        <v>10.56</v>
      </c>
      <c r="K8817">
        <v>2</v>
      </c>
      <c r="L8817">
        <v>0</v>
      </c>
      <c r="M8817">
        <v>4.7519999999999998</v>
      </c>
    </row>
    <row r="8818" spans="1:13" x14ac:dyDescent="0.3">
      <c r="A8818" t="s">
        <v>62</v>
      </c>
      <c r="B8818" t="s">
        <v>22</v>
      </c>
      <c r="C8818" t="s">
        <v>15</v>
      </c>
      <c r="D8818" t="s">
        <v>330</v>
      </c>
      <c r="E8818" t="s">
        <v>74</v>
      </c>
      <c r="F8818">
        <v>46203</v>
      </c>
      <c r="G8818" t="s">
        <v>47</v>
      </c>
      <c r="H8818" t="s">
        <v>26</v>
      </c>
      <c r="I8818" t="s">
        <v>32</v>
      </c>
      <c r="J8818">
        <v>386.34</v>
      </c>
      <c r="K8818">
        <v>2</v>
      </c>
      <c r="L8818">
        <v>0</v>
      </c>
      <c r="M8818">
        <v>54.087600000000002</v>
      </c>
    </row>
    <row r="8819" spans="1:13" x14ac:dyDescent="0.3">
      <c r="A8819" t="s">
        <v>13</v>
      </c>
      <c r="B8819" t="s">
        <v>22</v>
      </c>
      <c r="C8819" t="s">
        <v>15</v>
      </c>
      <c r="D8819" t="s">
        <v>42</v>
      </c>
      <c r="E8819" t="s">
        <v>43</v>
      </c>
      <c r="F8819">
        <v>98115</v>
      </c>
      <c r="G8819" t="s">
        <v>25</v>
      </c>
      <c r="H8819" t="s">
        <v>26</v>
      </c>
      <c r="I8819" t="s">
        <v>37</v>
      </c>
      <c r="J8819">
        <v>33.44</v>
      </c>
      <c r="K8819">
        <v>10</v>
      </c>
      <c r="L8819">
        <v>0.2</v>
      </c>
      <c r="M8819">
        <v>11.704000000000001</v>
      </c>
    </row>
    <row r="8820" spans="1:13" x14ac:dyDescent="0.3">
      <c r="A8820" t="s">
        <v>28</v>
      </c>
      <c r="B8820" t="s">
        <v>44</v>
      </c>
      <c r="C8820" t="s">
        <v>15</v>
      </c>
      <c r="D8820" t="s">
        <v>278</v>
      </c>
      <c r="E8820" t="s">
        <v>83</v>
      </c>
      <c r="F8820">
        <v>22801</v>
      </c>
      <c r="G8820" t="s">
        <v>18</v>
      </c>
      <c r="H8820" t="s">
        <v>19</v>
      </c>
      <c r="I8820" t="s">
        <v>33</v>
      </c>
      <c r="J8820">
        <v>39.96</v>
      </c>
      <c r="K8820">
        <v>2</v>
      </c>
      <c r="L8820">
        <v>0</v>
      </c>
      <c r="M8820">
        <v>14.3856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92</v>
      </c>
      <c r="E8821" t="s">
        <v>76</v>
      </c>
      <c r="F8821">
        <v>14609</v>
      </c>
      <c r="G8821" t="s">
        <v>57</v>
      </c>
      <c r="H8821" t="s">
        <v>26</v>
      </c>
      <c r="I8821" t="s">
        <v>37</v>
      </c>
      <c r="J8821">
        <v>1217.568</v>
      </c>
      <c r="K8821">
        <v>2</v>
      </c>
      <c r="L8821">
        <v>0.2</v>
      </c>
      <c r="M8821">
        <v>456.58800000000002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26</v>
      </c>
      <c r="I8822" t="s">
        <v>32</v>
      </c>
      <c r="J8822">
        <v>15.51</v>
      </c>
      <c r="K8822">
        <v>1</v>
      </c>
      <c r="L8822">
        <v>0</v>
      </c>
      <c r="M8822">
        <v>3.8774999999999999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35</v>
      </c>
      <c r="I8823" t="s">
        <v>36</v>
      </c>
      <c r="J8823">
        <v>89.9</v>
      </c>
      <c r="K8823">
        <v>2</v>
      </c>
      <c r="L8823">
        <v>0</v>
      </c>
      <c r="M8823">
        <v>25.172000000000001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14.28</v>
      </c>
      <c r="K8824">
        <v>4</v>
      </c>
      <c r="L8824">
        <v>0</v>
      </c>
      <c r="M8824">
        <v>3.7128000000000001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34</v>
      </c>
      <c r="J8825">
        <v>12.72</v>
      </c>
      <c r="K8825">
        <v>3</v>
      </c>
      <c r="L8825">
        <v>0</v>
      </c>
      <c r="M8825">
        <v>4.9607999999999999</v>
      </c>
    </row>
    <row r="8826" spans="1:13" x14ac:dyDescent="0.3">
      <c r="A8826" t="s">
        <v>28</v>
      </c>
      <c r="B8826" t="s">
        <v>44</v>
      </c>
      <c r="C8826" t="s">
        <v>15</v>
      </c>
      <c r="D8826" t="s">
        <v>497</v>
      </c>
      <c r="E8826" t="s">
        <v>167</v>
      </c>
      <c r="F8826">
        <v>30328</v>
      </c>
      <c r="G8826" t="s">
        <v>18</v>
      </c>
      <c r="H8826" t="s">
        <v>26</v>
      </c>
      <c r="I8826" t="s">
        <v>27</v>
      </c>
      <c r="J8826">
        <v>15.75</v>
      </c>
      <c r="K8826">
        <v>5</v>
      </c>
      <c r="L8826">
        <v>0</v>
      </c>
      <c r="M8826">
        <v>7.56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34</v>
      </c>
      <c r="J8827">
        <v>70.95</v>
      </c>
      <c r="K8827">
        <v>3</v>
      </c>
      <c r="L8827">
        <v>0</v>
      </c>
      <c r="M8827">
        <v>18.446999999999999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26</v>
      </c>
      <c r="I8828" t="s">
        <v>37</v>
      </c>
      <c r="J8828">
        <v>65.567999999999998</v>
      </c>
      <c r="K8828">
        <v>2</v>
      </c>
      <c r="L8828">
        <v>0.2</v>
      </c>
      <c r="M8828">
        <v>23.7684</v>
      </c>
    </row>
    <row r="8829" spans="1:13" x14ac:dyDescent="0.3">
      <c r="A8829" t="s">
        <v>13</v>
      </c>
      <c r="B8829" t="s">
        <v>22</v>
      </c>
      <c r="C8829" t="s">
        <v>15</v>
      </c>
      <c r="D8829" t="s">
        <v>23</v>
      </c>
      <c r="E8829" t="s">
        <v>24</v>
      </c>
      <c r="F8829">
        <v>90004</v>
      </c>
      <c r="G8829" t="s">
        <v>25</v>
      </c>
      <c r="H8829" t="s">
        <v>35</v>
      </c>
      <c r="I8829" t="s">
        <v>59</v>
      </c>
      <c r="J8829">
        <v>299.97000000000003</v>
      </c>
      <c r="K8829">
        <v>3</v>
      </c>
      <c r="L8829">
        <v>0</v>
      </c>
      <c r="M8829">
        <v>131.98679999999999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89.97</v>
      </c>
      <c r="K8830">
        <v>3</v>
      </c>
      <c r="L8830">
        <v>0</v>
      </c>
      <c r="M8830">
        <v>39.586799999999997</v>
      </c>
    </row>
    <row r="8831" spans="1:13" x14ac:dyDescent="0.3">
      <c r="A8831" t="s">
        <v>28</v>
      </c>
      <c r="B8831" t="s">
        <v>22</v>
      </c>
      <c r="C8831" t="s">
        <v>15</v>
      </c>
      <c r="D8831" t="s">
        <v>52</v>
      </c>
      <c r="E8831" t="s">
        <v>24</v>
      </c>
      <c r="F8831">
        <v>94110</v>
      </c>
      <c r="G8831" t="s">
        <v>25</v>
      </c>
      <c r="H8831" t="s">
        <v>35</v>
      </c>
      <c r="I8831" t="s">
        <v>59</v>
      </c>
      <c r="J8831">
        <v>31.86</v>
      </c>
      <c r="K8831">
        <v>2</v>
      </c>
      <c r="L8831">
        <v>0</v>
      </c>
      <c r="M8831">
        <v>11.151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93</v>
      </c>
      <c r="E8832" t="s">
        <v>68</v>
      </c>
      <c r="F8832">
        <v>55407</v>
      </c>
      <c r="G8832" t="s">
        <v>47</v>
      </c>
      <c r="H8832" t="s">
        <v>26</v>
      </c>
      <c r="I8832" t="s">
        <v>32</v>
      </c>
      <c r="J8832">
        <v>67.150000000000006</v>
      </c>
      <c r="K8832">
        <v>5</v>
      </c>
      <c r="L8832">
        <v>0</v>
      </c>
      <c r="M8832">
        <v>16.787500000000001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37</v>
      </c>
      <c r="J8833">
        <v>7.2359999999999998</v>
      </c>
      <c r="K8833">
        <v>3</v>
      </c>
      <c r="L8833">
        <v>0.7</v>
      </c>
      <c r="M8833">
        <v>-6.03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77</v>
      </c>
      <c r="J8834">
        <v>4.8239999999999998</v>
      </c>
      <c r="K8834">
        <v>3</v>
      </c>
      <c r="L8834">
        <v>0.2</v>
      </c>
      <c r="M8834">
        <v>1.7486999999999999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41</v>
      </c>
      <c r="J8835">
        <v>91.36</v>
      </c>
      <c r="K8835">
        <v>5</v>
      </c>
      <c r="L8835">
        <v>0.2</v>
      </c>
      <c r="M8835">
        <v>29.692</v>
      </c>
    </row>
    <row r="8836" spans="1:13" x14ac:dyDescent="0.3">
      <c r="A8836" t="s">
        <v>28</v>
      </c>
      <c r="B8836" t="s">
        <v>14</v>
      </c>
      <c r="C8836" t="s">
        <v>15</v>
      </c>
      <c r="D8836" t="s">
        <v>103</v>
      </c>
      <c r="E8836" t="s">
        <v>104</v>
      </c>
      <c r="F8836">
        <v>43229</v>
      </c>
      <c r="G8836" t="s">
        <v>57</v>
      </c>
      <c r="H8836" t="s">
        <v>26</v>
      </c>
      <c r="I8836" t="s">
        <v>38</v>
      </c>
      <c r="J8836">
        <v>130.11199999999999</v>
      </c>
      <c r="K8836">
        <v>2</v>
      </c>
      <c r="L8836">
        <v>0.2</v>
      </c>
      <c r="M8836">
        <v>13.011200000000001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35</v>
      </c>
      <c r="I8837" t="s">
        <v>36</v>
      </c>
      <c r="J8837">
        <v>74.239999999999995</v>
      </c>
      <c r="K8837">
        <v>1</v>
      </c>
      <c r="L8837">
        <v>0.2</v>
      </c>
      <c r="M8837">
        <v>8.3520000000000003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19</v>
      </c>
      <c r="I8838" t="s">
        <v>33</v>
      </c>
      <c r="J8838">
        <v>159.84</v>
      </c>
      <c r="K8838">
        <v>10</v>
      </c>
      <c r="L8838">
        <v>0.2</v>
      </c>
      <c r="M8838">
        <v>45.954000000000001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37</v>
      </c>
      <c r="J8839">
        <v>2.8919999999999999</v>
      </c>
      <c r="K8839">
        <v>2</v>
      </c>
      <c r="L8839">
        <v>0.7</v>
      </c>
      <c r="M8839">
        <v>-2.3136000000000001</v>
      </c>
    </row>
    <row r="8840" spans="1:13" x14ac:dyDescent="0.3">
      <c r="A8840" t="s">
        <v>62</v>
      </c>
      <c r="B8840" t="s">
        <v>22</v>
      </c>
      <c r="C8840" t="s">
        <v>15</v>
      </c>
      <c r="D8840" t="s">
        <v>339</v>
      </c>
      <c r="E8840" t="s">
        <v>40</v>
      </c>
      <c r="F8840">
        <v>27604</v>
      </c>
      <c r="G8840" t="s">
        <v>18</v>
      </c>
      <c r="H8840" t="s">
        <v>26</v>
      </c>
      <c r="I8840" t="s">
        <v>41</v>
      </c>
      <c r="J8840">
        <v>9.3919999999999995</v>
      </c>
      <c r="K8840">
        <v>2</v>
      </c>
      <c r="L8840">
        <v>0.2</v>
      </c>
      <c r="M8840">
        <v>3.2871999999999999</v>
      </c>
    </row>
    <row r="8841" spans="1:13" x14ac:dyDescent="0.3">
      <c r="A8841" t="s">
        <v>13</v>
      </c>
      <c r="B8841" t="s">
        <v>14</v>
      </c>
      <c r="C8841" t="s">
        <v>15</v>
      </c>
      <c r="D8841" t="s">
        <v>75</v>
      </c>
      <c r="E8841" t="s">
        <v>76</v>
      </c>
      <c r="F8841">
        <v>10011</v>
      </c>
      <c r="G8841" t="s">
        <v>57</v>
      </c>
      <c r="H8841" t="s">
        <v>26</v>
      </c>
      <c r="I8841" t="s">
        <v>41</v>
      </c>
      <c r="J8841">
        <v>123.92</v>
      </c>
      <c r="K8841">
        <v>4</v>
      </c>
      <c r="L8841">
        <v>0</v>
      </c>
      <c r="M8841">
        <v>55.764000000000003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26</v>
      </c>
      <c r="I8842" t="s">
        <v>110</v>
      </c>
      <c r="J8842">
        <v>55.6</v>
      </c>
      <c r="K8842">
        <v>5</v>
      </c>
      <c r="L8842">
        <v>0.2</v>
      </c>
      <c r="M8842">
        <v>6.2549999999999999</v>
      </c>
    </row>
    <row r="8843" spans="1:13" x14ac:dyDescent="0.3">
      <c r="A8843" t="s">
        <v>62</v>
      </c>
      <c r="B8843" t="s">
        <v>14</v>
      </c>
      <c r="C8843" t="s">
        <v>15</v>
      </c>
      <c r="D8843" t="s">
        <v>55</v>
      </c>
      <c r="E8843" t="s">
        <v>56</v>
      </c>
      <c r="F8843">
        <v>19143</v>
      </c>
      <c r="G8843" t="s">
        <v>57</v>
      </c>
      <c r="H8843" t="s">
        <v>35</v>
      </c>
      <c r="I8843" t="s">
        <v>59</v>
      </c>
      <c r="J8843">
        <v>617.976</v>
      </c>
      <c r="K8843">
        <v>3</v>
      </c>
      <c r="L8843">
        <v>0.2</v>
      </c>
      <c r="M8843">
        <v>-7.7247000000000003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436</v>
      </c>
      <c r="E8844" t="s">
        <v>437</v>
      </c>
      <c r="F8844">
        <v>83642</v>
      </c>
      <c r="G8844" t="s">
        <v>25</v>
      </c>
      <c r="H8844" t="s">
        <v>26</v>
      </c>
      <c r="I8844" t="s">
        <v>37</v>
      </c>
      <c r="J8844">
        <v>21.312000000000001</v>
      </c>
      <c r="K8844">
        <v>3</v>
      </c>
      <c r="L8844">
        <v>0.2</v>
      </c>
      <c r="M8844">
        <v>7.992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59</v>
      </c>
      <c r="J8845">
        <v>209.94</v>
      </c>
      <c r="K8845">
        <v>6</v>
      </c>
      <c r="L8845">
        <v>0</v>
      </c>
      <c r="M8845">
        <v>39.888599999999997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35</v>
      </c>
      <c r="I8846" t="s">
        <v>36</v>
      </c>
      <c r="J8846">
        <v>31.984000000000002</v>
      </c>
      <c r="K8846">
        <v>2</v>
      </c>
      <c r="L8846">
        <v>0.2</v>
      </c>
      <c r="M8846">
        <v>-7.9960000000000004</v>
      </c>
    </row>
    <row r="8847" spans="1:13" x14ac:dyDescent="0.3">
      <c r="A8847" t="s">
        <v>28</v>
      </c>
      <c r="B8847" t="s">
        <v>22</v>
      </c>
      <c r="C8847" t="s">
        <v>15</v>
      </c>
      <c r="D8847" t="s">
        <v>390</v>
      </c>
      <c r="E8847" t="s">
        <v>24</v>
      </c>
      <c r="F8847">
        <v>95823</v>
      </c>
      <c r="G8847" t="s">
        <v>25</v>
      </c>
      <c r="H8847" t="s">
        <v>26</v>
      </c>
      <c r="I8847" t="s">
        <v>37</v>
      </c>
      <c r="J8847">
        <v>5083.96</v>
      </c>
      <c r="K8847">
        <v>5</v>
      </c>
      <c r="L8847">
        <v>0.2</v>
      </c>
      <c r="M8847">
        <v>1906.4849999999999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99</v>
      </c>
      <c r="E8848" t="s">
        <v>40</v>
      </c>
      <c r="F8848">
        <v>28205</v>
      </c>
      <c r="G8848" t="s">
        <v>18</v>
      </c>
      <c r="H8848" t="s">
        <v>35</v>
      </c>
      <c r="I8848" t="s">
        <v>36</v>
      </c>
      <c r="J8848">
        <v>35.96</v>
      </c>
      <c r="K8848">
        <v>1</v>
      </c>
      <c r="L8848">
        <v>0.2</v>
      </c>
      <c r="M8848">
        <v>3.5960000000000001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26</v>
      </c>
      <c r="I8849" t="s">
        <v>27</v>
      </c>
      <c r="J8849">
        <v>31.05</v>
      </c>
      <c r="K8849">
        <v>3</v>
      </c>
      <c r="L8849">
        <v>0</v>
      </c>
      <c r="M8849">
        <v>14.904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19</v>
      </c>
      <c r="I8850" t="s">
        <v>33</v>
      </c>
      <c r="J8850">
        <v>8.92</v>
      </c>
      <c r="K8850">
        <v>4</v>
      </c>
      <c r="L8850">
        <v>0</v>
      </c>
      <c r="M8850">
        <v>3.9247999999999998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37</v>
      </c>
      <c r="J8851">
        <v>209.6</v>
      </c>
      <c r="K8851">
        <v>4</v>
      </c>
      <c r="L8851">
        <v>0</v>
      </c>
      <c r="M8851">
        <v>96.415999999999997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38</v>
      </c>
      <c r="J8852">
        <v>111.04</v>
      </c>
      <c r="K8852">
        <v>4</v>
      </c>
      <c r="L8852">
        <v>0</v>
      </c>
      <c r="M8852">
        <v>29.980799999999999</v>
      </c>
    </row>
    <row r="8853" spans="1:13" x14ac:dyDescent="0.3">
      <c r="A8853" t="s">
        <v>28</v>
      </c>
      <c r="B8853" t="s">
        <v>44</v>
      </c>
      <c r="C8853" t="s">
        <v>15</v>
      </c>
      <c r="D8853" t="s">
        <v>353</v>
      </c>
      <c r="E8853" t="s">
        <v>132</v>
      </c>
      <c r="F8853">
        <v>7501</v>
      </c>
      <c r="G8853" t="s">
        <v>57</v>
      </c>
      <c r="H8853" t="s">
        <v>26</v>
      </c>
      <c r="I8853" t="s">
        <v>41</v>
      </c>
      <c r="J8853">
        <v>38.880000000000003</v>
      </c>
      <c r="K8853">
        <v>6</v>
      </c>
      <c r="L8853">
        <v>0</v>
      </c>
      <c r="M8853">
        <v>18.662400000000002</v>
      </c>
    </row>
    <row r="8854" spans="1:13" x14ac:dyDescent="0.3">
      <c r="A8854" t="s">
        <v>28</v>
      </c>
      <c r="B8854" t="s">
        <v>14</v>
      </c>
      <c r="C8854" t="s">
        <v>15</v>
      </c>
      <c r="D8854" t="s">
        <v>155</v>
      </c>
      <c r="E8854" t="s">
        <v>83</v>
      </c>
      <c r="F8854">
        <v>22204</v>
      </c>
      <c r="G8854" t="s">
        <v>18</v>
      </c>
      <c r="H8854" t="s">
        <v>26</v>
      </c>
      <c r="I8854" t="s">
        <v>38</v>
      </c>
      <c r="J8854">
        <v>36.270000000000003</v>
      </c>
      <c r="K8854">
        <v>3</v>
      </c>
      <c r="L8854">
        <v>0</v>
      </c>
      <c r="M8854">
        <v>10.881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19</v>
      </c>
      <c r="I8855" t="s">
        <v>20</v>
      </c>
      <c r="J8855">
        <v>493.43</v>
      </c>
      <c r="K8855">
        <v>5</v>
      </c>
      <c r="L8855">
        <v>0.3</v>
      </c>
      <c r="M8855">
        <v>-70.489999999999995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79</v>
      </c>
      <c r="E8856" t="s">
        <v>65</v>
      </c>
      <c r="F8856">
        <v>60653</v>
      </c>
      <c r="G8856" t="s">
        <v>47</v>
      </c>
      <c r="H8856" t="s">
        <v>35</v>
      </c>
      <c r="I8856" t="s">
        <v>36</v>
      </c>
      <c r="J8856">
        <v>11.12</v>
      </c>
      <c r="K8856">
        <v>2</v>
      </c>
      <c r="L8856">
        <v>0.2</v>
      </c>
      <c r="M8856">
        <v>3.4750000000000001</v>
      </c>
    </row>
    <row r="8857" spans="1:13" x14ac:dyDescent="0.3">
      <c r="A8857" t="s">
        <v>28</v>
      </c>
      <c r="B8857" t="s">
        <v>14</v>
      </c>
      <c r="C8857" t="s">
        <v>15</v>
      </c>
      <c r="D8857" t="s">
        <v>144</v>
      </c>
      <c r="E8857" t="s">
        <v>24</v>
      </c>
      <c r="F8857">
        <v>92037</v>
      </c>
      <c r="G8857" t="s">
        <v>25</v>
      </c>
      <c r="H8857" t="s">
        <v>35</v>
      </c>
      <c r="I8857" t="s">
        <v>123</v>
      </c>
      <c r="J8857">
        <v>686.4</v>
      </c>
      <c r="K8857">
        <v>2</v>
      </c>
      <c r="L8857">
        <v>0.2</v>
      </c>
      <c r="M8857">
        <v>77.22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26</v>
      </c>
      <c r="I8858" t="s">
        <v>37</v>
      </c>
      <c r="J8858">
        <v>15.92</v>
      </c>
      <c r="K8858">
        <v>5</v>
      </c>
      <c r="L8858">
        <v>0.2</v>
      </c>
      <c r="M8858">
        <v>5.3730000000000002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19</v>
      </c>
      <c r="I8859" t="s">
        <v>33</v>
      </c>
      <c r="J8859">
        <v>70.680000000000007</v>
      </c>
      <c r="K8859">
        <v>12</v>
      </c>
      <c r="L8859">
        <v>0</v>
      </c>
      <c r="M8859">
        <v>31.0992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42</v>
      </c>
      <c r="E8860" t="s">
        <v>43</v>
      </c>
      <c r="F8860">
        <v>98105</v>
      </c>
      <c r="G8860" t="s">
        <v>25</v>
      </c>
      <c r="H8860" t="s">
        <v>26</v>
      </c>
      <c r="I8860" t="s">
        <v>32</v>
      </c>
      <c r="J8860">
        <v>541.24</v>
      </c>
      <c r="K8860">
        <v>4</v>
      </c>
      <c r="L8860">
        <v>0</v>
      </c>
      <c r="M8860">
        <v>5.4123999999999999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35</v>
      </c>
      <c r="I8861" t="s">
        <v>123</v>
      </c>
      <c r="J8861">
        <v>101.994</v>
      </c>
      <c r="K8861">
        <v>2</v>
      </c>
      <c r="L8861">
        <v>0.7</v>
      </c>
      <c r="M8861">
        <v>-71.395799999999994</v>
      </c>
    </row>
    <row r="8862" spans="1:13" x14ac:dyDescent="0.3">
      <c r="A8862" t="s">
        <v>168</v>
      </c>
      <c r="B8862" t="s">
        <v>14</v>
      </c>
      <c r="C8862" t="s">
        <v>15</v>
      </c>
      <c r="D8862" t="s">
        <v>103</v>
      </c>
      <c r="E8862" t="s">
        <v>104</v>
      </c>
      <c r="F8862">
        <v>43229</v>
      </c>
      <c r="G8862" t="s">
        <v>57</v>
      </c>
      <c r="H8862" t="s">
        <v>26</v>
      </c>
      <c r="I8862" t="s">
        <v>37</v>
      </c>
      <c r="J8862">
        <v>18.263999999999999</v>
      </c>
      <c r="K8862">
        <v>2</v>
      </c>
      <c r="L8862">
        <v>0.7</v>
      </c>
      <c r="M8862">
        <v>-13.393599999999999</v>
      </c>
    </row>
    <row r="8863" spans="1:13" x14ac:dyDescent="0.3">
      <c r="A8863" t="s">
        <v>13</v>
      </c>
      <c r="B8863" t="s">
        <v>14</v>
      </c>
      <c r="C8863" t="s">
        <v>15</v>
      </c>
      <c r="D8863" t="s">
        <v>61</v>
      </c>
      <c r="E8863" t="s">
        <v>46</v>
      </c>
      <c r="F8863">
        <v>77095</v>
      </c>
      <c r="G8863" t="s">
        <v>47</v>
      </c>
      <c r="H8863" t="s">
        <v>26</v>
      </c>
      <c r="I8863" t="s">
        <v>37</v>
      </c>
      <c r="J8863">
        <v>21.99</v>
      </c>
      <c r="K8863">
        <v>5</v>
      </c>
      <c r="L8863">
        <v>0.8</v>
      </c>
      <c r="M8863">
        <v>-32.984999999999999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110</v>
      </c>
      <c r="J8864">
        <v>185.376</v>
      </c>
      <c r="K8864">
        <v>2</v>
      </c>
      <c r="L8864">
        <v>0.2</v>
      </c>
      <c r="M8864">
        <v>-34.758000000000003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303</v>
      </c>
      <c r="E8865" t="s">
        <v>46</v>
      </c>
      <c r="F8865">
        <v>75061</v>
      </c>
      <c r="G8865" t="s">
        <v>47</v>
      </c>
      <c r="H8865" t="s">
        <v>26</v>
      </c>
      <c r="I8865" t="s">
        <v>38</v>
      </c>
      <c r="J8865">
        <v>58.923999999999999</v>
      </c>
      <c r="K8865">
        <v>1</v>
      </c>
      <c r="L8865">
        <v>0.8</v>
      </c>
      <c r="M8865">
        <v>-153.20240000000001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35</v>
      </c>
      <c r="I8866" t="s">
        <v>123</v>
      </c>
      <c r="J8866">
        <v>480</v>
      </c>
      <c r="K8866">
        <v>4</v>
      </c>
      <c r="L8866">
        <v>0</v>
      </c>
      <c r="M8866">
        <v>225.6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147</v>
      </c>
      <c r="E8867" t="s">
        <v>132</v>
      </c>
      <c r="F8867">
        <v>7960</v>
      </c>
      <c r="G8867" t="s">
        <v>57</v>
      </c>
      <c r="H8867" t="s">
        <v>26</v>
      </c>
      <c r="I8867" t="s">
        <v>32</v>
      </c>
      <c r="J8867">
        <v>34.049999999999997</v>
      </c>
      <c r="K8867">
        <v>3</v>
      </c>
      <c r="L8867">
        <v>0</v>
      </c>
      <c r="M8867">
        <v>9.5340000000000007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26</v>
      </c>
      <c r="I8868" t="s">
        <v>41</v>
      </c>
      <c r="J8868">
        <v>192.72</v>
      </c>
      <c r="K8868">
        <v>11</v>
      </c>
      <c r="L8868">
        <v>0</v>
      </c>
      <c r="M8868">
        <v>92.505600000000001</v>
      </c>
    </row>
    <row r="8869" spans="1:13" x14ac:dyDescent="0.3">
      <c r="A8869" t="s">
        <v>62</v>
      </c>
      <c r="B8869" t="s">
        <v>22</v>
      </c>
      <c r="C8869" t="s">
        <v>15</v>
      </c>
      <c r="D8869" t="s">
        <v>23</v>
      </c>
      <c r="E8869" t="s">
        <v>24</v>
      </c>
      <c r="F8869">
        <v>90008</v>
      </c>
      <c r="G8869" t="s">
        <v>25</v>
      </c>
      <c r="H8869" t="s">
        <v>35</v>
      </c>
      <c r="I8869" t="s">
        <v>59</v>
      </c>
      <c r="J8869">
        <v>239.97</v>
      </c>
      <c r="K8869">
        <v>3</v>
      </c>
      <c r="L8869">
        <v>0</v>
      </c>
      <c r="M8869">
        <v>86.389200000000002</v>
      </c>
    </row>
    <row r="8870" spans="1:13" x14ac:dyDescent="0.3">
      <c r="A8870" t="s">
        <v>13</v>
      </c>
      <c r="B8870" t="s">
        <v>44</v>
      </c>
      <c r="C8870" t="s">
        <v>15</v>
      </c>
      <c r="D8870" t="s">
        <v>97</v>
      </c>
      <c r="E8870" t="s">
        <v>65</v>
      </c>
      <c r="F8870">
        <v>60505</v>
      </c>
      <c r="G8870" t="s">
        <v>47</v>
      </c>
      <c r="H8870" t="s">
        <v>35</v>
      </c>
      <c r="I8870" t="s">
        <v>59</v>
      </c>
      <c r="J8870">
        <v>50.12</v>
      </c>
      <c r="K8870">
        <v>7</v>
      </c>
      <c r="L8870">
        <v>0.2</v>
      </c>
      <c r="M8870">
        <v>-0.62649999999999995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35</v>
      </c>
      <c r="I8871" t="s">
        <v>36</v>
      </c>
      <c r="J8871">
        <v>15.984</v>
      </c>
      <c r="K8871">
        <v>2</v>
      </c>
      <c r="L8871">
        <v>0.2</v>
      </c>
      <c r="M8871">
        <v>1.3986000000000001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89</v>
      </c>
      <c r="E8872" t="s">
        <v>40</v>
      </c>
      <c r="F8872">
        <v>27707</v>
      </c>
      <c r="G8872" t="s">
        <v>18</v>
      </c>
      <c r="H8872" t="s">
        <v>26</v>
      </c>
      <c r="I8872" t="s">
        <v>41</v>
      </c>
      <c r="J8872">
        <v>14.352</v>
      </c>
      <c r="K8872">
        <v>3</v>
      </c>
      <c r="L8872">
        <v>0.2</v>
      </c>
      <c r="M8872">
        <v>4.4850000000000003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6.5279999999999996</v>
      </c>
      <c r="K8873">
        <v>4</v>
      </c>
      <c r="L8873">
        <v>0.7</v>
      </c>
      <c r="M8873">
        <v>-4.5696000000000003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2.8620000000000001</v>
      </c>
      <c r="K8874">
        <v>3</v>
      </c>
      <c r="L8874">
        <v>0.7</v>
      </c>
      <c r="M8874">
        <v>-2.2896000000000001</v>
      </c>
    </row>
    <row r="8875" spans="1:13" x14ac:dyDescent="0.3">
      <c r="A8875" t="s">
        <v>28</v>
      </c>
      <c r="B8875" t="s">
        <v>22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20.856000000000002</v>
      </c>
      <c r="K8875">
        <v>8</v>
      </c>
      <c r="L8875">
        <v>0.7</v>
      </c>
      <c r="M8875">
        <v>-16.684799999999999</v>
      </c>
    </row>
    <row r="8876" spans="1:13" x14ac:dyDescent="0.3">
      <c r="A8876" t="s">
        <v>13</v>
      </c>
      <c r="B8876" t="s">
        <v>22</v>
      </c>
      <c r="C8876" t="s">
        <v>15</v>
      </c>
      <c r="D8876" t="s">
        <v>23</v>
      </c>
      <c r="E8876" t="s">
        <v>24</v>
      </c>
      <c r="F8876">
        <v>90036</v>
      </c>
      <c r="G8876" t="s">
        <v>25</v>
      </c>
      <c r="H8876" t="s">
        <v>26</v>
      </c>
      <c r="I8876" t="s">
        <v>32</v>
      </c>
      <c r="J8876">
        <v>276.27999999999997</v>
      </c>
      <c r="K8876">
        <v>2</v>
      </c>
      <c r="L8876">
        <v>0</v>
      </c>
      <c r="M8876">
        <v>0</v>
      </c>
    </row>
    <row r="8877" spans="1:13" x14ac:dyDescent="0.3">
      <c r="A8877" t="s">
        <v>28</v>
      </c>
      <c r="B8877" t="s">
        <v>44</v>
      </c>
      <c r="C8877" t="s">
        <v>15</v>
      </c>
      <c r="D8877" t="s">
        <v>366</v>
      </c>
      <c r="E8877" t="s">
        <v>24</v>
      </c>
      <c r="F8877">
        <v>95207</v>
      </c>
      <c r="G8877" t="s">
        <v>25</v>
      </c>
      <c r="H8877" t="s">
        <v>19</v>
      </c>
      <c r="I8877" t="s">
        <v>33</v>
      </c>
      <c r="J8877">
        <v>629.64</v>
      </c>
      <c r="K8877">
        <v>9</v>
      </c>
      <c r="L8877">
        <v>0</v>
      </c>
      <c r="M8877">
        <v>107.03879999999999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35</v>
      </c>
      <c r="I8878" t="s">
        <v>36</v>
      </c>
      <c r="J8878">
        <v>449.97</v>
      </c>
      <c r="K8878">
        <v>3</v>
      </c>
      <c r="L8878">
        <v>0</v>
      </c>
      <c r="M8878">
        <v>220.4853</v>
      </c>
    </row>
    <row r="8879" spans="1:13" x14ac:dyDescent="0.3">
      <c r="A8879" t="s">
        <v>13</v>
      </c>
      <c r="B8879" t="s">
        <v>44</v>
      </c>
      <c r="C8879" t="s">
        <v>15</v>
      </c>
      <c r="D8879" t="s">
        <v>90</v>
      </c>
      <c r="E8879" t="s">
        <v>112</v>
      </c>
      <c r="F8879">
        <v>65203</v>
      </c>
      <c r="G8879" t="s">
        <v>47</v>
      </c>
      <c r="H8879" t="s">
        <v>26</v>
      </c>
      <c r="I8879" t="s">
        <v>38</v>
      </c>
      <c r="J8879">
        <v>1927.59</v>
      </c>
      <c r="K8879">
        <v>7</v>
      </c>
      <c r="L8879">
        <v>0</v>
      </c>
      <c r="M8879">
        <v>751.76009999999997</v>
      </c>
    </row>
    <row r="8880" spans="1:13" x14ac:dyDescent="0.3">
      <c r="A8880" t="s">
        <v>62</v>
      </c>
      <c r="B8880" t="s">
        <v>44</v>
      </c>
      <c r="C8880" t="s">
        <v>15</v>
      </c>
      <c r="D8880" t="s">
        <v>103</v>
      </c>
      <c r="E8880" t="s">
        <v>167</v>
      </c>
      <c r="F8880">
        <v>31907</v>
      </c>
      <c r="G8880" t="s">
        <v>18</v>
      </c>
      <c r="H8880" t="s">
        <v>19</v>
      </c>
      <c r="I8880" t="s">
        <v>21</v>
      </c>
      <c r="J8880">
        <v>121.78</v>
      </c>
      <c r="K8880">
        <v>2</v>
      </c>
      <c r="L8880">
        <v>0</v>
      </c>
      <c r="M8880">
        <v>30.445</v>
      </c>
    </row>
    <row r="8881" spans="1:13" x14ac:dyDescent="0.3">
      <c r="A8881" t="s">
        <v>28</v>
      </c>
      <c r="B8881" t="s">
        <v>44</v>
      </c>
      <c r="C8881" t="s">
        <v>15</v>
      </c>
      <c r="D8881" t="s">
        <v>144</v>
      </c>
      <c r="E8881" t="s">
        <v>24</v>
      </c>
      <c r="F8881">
        <v>92037</v>
      </c>
      <c r="G8881" t="s">
        <v>25</v>
      </c>
      <c r="H8881" t="s">
        <v>19</v>
      </c>
      <c r="I8881" t="s">
        <v>21</v>
      </c>
      <c r="J8881">
        <v>2676.672</v>
      </c>
      <c r="K8881">
        <v>9</v>
      </c>
      <c r="L8881">
        <v>0.2</v>
      </c>
      <c r="M8881">
        <v>267.66719999999998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572</v>
      </c>
      <c r="E8882" t="s">
        <v>46</v>
      </c>
      <c r="F8882">
        <v>77590</v>
      </c>
      <c r="G8882" t="s">
        <v>47</v>
      </c>
      <c r="H8882" t="s">
        <v>19</v>
      </c>
      <c r="I8882" t="s">
        <v>31</v>
      </c>
      <c r="J8882">
        <v>489.23</v>
      </c>
      <c r="K8882">
        <v>2</v>
      </c>
      <c r="L8882">
        <v>0.3</v>
      </c>
      <c r="M8882">
        <v>41.933999999999997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19</v>
      </c>
      <c r="I8883" t="s">
        <v>33</v>
      </c>
      <c r="J8883">
        <v>312.02999999999997</v>
      </c>
      <c r="K8883">
        <v>3</v>
      </c>
      <c r="L8883">
        <v>0</v>
      </c>
      <c r="M8883">
        <v>43.684199999999997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26</v>
      </c>
      <c r="I8884" t="s">
        <v>32</v>
      </c>
      <c r="J8884">
        <v>17.940000000000001</v>
      </c>
      <c r="K8884">
        <v>3</v>
      </c>
      <c r="L8884">
        <v>0</v>
      </c>
      <c r="M8884">
        <v>3.0497999999999998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35</v>
      </c>
      <c r="I8885" t="s">
        <v>36</v>
      </c>
      <c r="J8885">
        <v>165.6</v>
      </c>
      <c r="K8885">
        <v>3</v>
      </c>
      <c r="L8885">
        <v>0.2</v>
      </c>
      <c r="M8885">
        <v>10.35</v>
      </c>
    </row>
    <row r="8886" spans="1:13" x14ac:dyDescent="0.3">
      <c r="A8886" t="s">
        <v>28</v>
      </c>
      <c r="B8886" t="s">
        <v>14</v>
      </c>
      <c r="C8886" t="s">
        <v>15</v>
      </c>
      <c r="D8886" t="s">
        <v>23</v>
      </c>
      <c r="E8886" t="s">
        <v>24</v>
      </c>
      <c r="F8886">
        <v>90004</v>
      </c>
      <c r="G8886" t="s">
        <v>25</v>
      </c>
      <c r="H8886" t="s">
        <v>26</v>
      </c>
      <c r="I8886" t="s">
        <v>41</v>
      </c>
      <c r="J8886">
        <v>37.520000000000003</v>
      </c>
      <c r="K8886">
        <v>4</v>
      </c>
      <c r="L8886">
        <v>0</v>
      </c>
      <c r="M8886">
        <v>18.009599999999999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35</v>
      </c>
      <c r="I8887" t="s">
        <v>36</v>
      </c>
      <c r="J8887">
        <v>494.97</v>
      </c>
      <c r="K8887">
        <v>3</v>
      </c>
      <c r="L8887">
        <v>0</v>
      </c>
      <c r="M8887">
        <v>148.49100000000001</v>
      </c>
    </row>
    <row r="8888" spans="1:13" x14ac:dyDescent="0.3">
      <c r="A8888" t="s">
        <v>13</v>
      </c>
      <c r="B8888" t="s">
        <v>22</v>
      </c>
      <c r="C8888" t="s">
        <v>15</v>
      </c>
      <c r="D8888" t="s">
        <v>82</v>
      </c>
      <c r="E8888" t="s">
        <v>83</v>
      </c>
      <c r="F8888">
        <v>22153</v>
      </c>
      <c r="G8888" t="s">
        <v>18</v>
      </c>
      <c r="H8888" t="s">
        <v>26</v>
      </c>
      <c r="I8888" t="s">
        <v>27</v>
      </c>
      <c r="J8888">
        <v>25.06</v>
      </c>
      <c r="K8888">
        <v>2</v>
      </c>
      <c r="L8888">
        <v>0</v>
      </c>
      <c r="M8888">
        <v>11.7782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19</v>
      </c>
      <c r="I8889" t="s">
        <v>33</v>
      </c>
      <c r="J8889">
        <v>32.064</v>
      </c>
      <c r="K8889">
        <v>3</v>
      </c>
      <c r="L8889">
        <v>0.6</v>
      </c>
      <c r="M8889">
        <v>-12.8256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26</v>
      </c>
      <c r="I8890" t="s">
        <v>41</v>
      </c>
      <c r="J8890">
        <v>18.495999999999999</v>
      </c>
      <c r="K8890">
        <v>4</v>
      </c>
      <c r="L8890">
        <v>0.2</v>
      </c>
      <c r="M8890">
        <v>6.7047999999999996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19</v>
      </c>
      <c r="I8891" t="s">
        <v>21</v>
      </c>
      <c r="J8891">
        <v>191.07900000000001</v>
      </c>
      <c r="K8891">
        <v>3</v>
      </c>
      <c r="L8891">
        <v>0.3</v>
      </c>
      <c r="M8891">
        <v>-38.215800000000002</v>
      </c>
    </row>
    <row r="8892" spans="1:13" x14ac:dyDescent="0.3">
      <c r="A8892" t="s">
        <v>28</v>
      </c>
      <c r="B8892" t="s">
        <v>14</v>
      </c>
      <c r="C8892" t="s">
        <v>15</v>
      </c>
      <c r="D8892" t="s">
        <v>87</v>
      </c>
      <c r="E8892" t="s">
        <v>65</v>
      </c>
      <c r="F8892">
        <v>62521</v>
      </c>
      <c r="G8892" t="s">
        <v>47</v>
      </c>
      <c r="H8892" t="s">
        <v>26</v>
      </c>
      <c r="I8892" t="s">
        <v>41</v>
      </c>
      <c r="J8892">
        <v>10.368</v>
      </c>
      <c r="K8892">
        <v>2</v>
      </c>
      <c r="L8892">
        <v>0.2</v>
      </c>
      <c r="M8892">
        <v>3.6288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26</v>
      </c>
      <c r="I8893" t="s">
        <v>27</v>
      </c>
      <c r="J8893">
        <v>30.53</v>
      </c>
      <c r="K8893">
        <v>1</v>
      </c>
      <c r="L8893">
        <v>0</v>
      </c>
      <c r="M8893">
        <v>14.043799999999999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35</v>
      </c>
      <c r="I8894" t="s">
        <v>59</v>
      </c>
      <c r="J8894">
        <v>30.84</v>
      </c>
      <c r="K8894">
        <v>3</v>
      </c>
      <c r="L8894">
        <v>0</v>
      </c>
      <c r="M8894">
        <v>6.1680000000000001</v>
      </c>
    </row>
    <row r="8895" spans="1:13" x14ac:dyDescent="0.3">
      <c r="A8895" t="s">
        <v>168</v>
      </c>
      <c r="B8895" t="s">
        <v>44</v>
      </c>
      <c r="C8895" t="s">
        <v>15</v>
      </c>
      <c r="D8895" t="s">
        <v>75</v>
      </c>
      <c r="E8895" t="s">
        <v>76</v>
      </c>
      <c r="F8895">
        <v>10009</v>
      </c>
      <c r="G8895" t="s">
        <v>57</v>
      </c>
      <c r="H8895" t="s">
        <v>26</v>
      </c>
      <c r="I8895" t="s">
        <v>41</v>
      </c>
      <c r="J8895">
        <v>75.06</v>
      </c>
      <c r="K8895">
        <v>9</v>
      </c>
      <c r="L8895">
        <v>0</v>
      </c>
      <c r="M8895">
        <v>33.777000000000001</v>
      </c>
    </row>
    <row r="8896" spans="1:13" x14ac:dyDescent="0.3">
      <c r="A8896" t="s">
        <v>62</v>
      </c>
      <c r="B8896" t="s">
        <v>22</v>
      </c>
      <c r="C8896" t="s">
        <v>15</v>
      </c>
      <c r="D8896" t="s">
        <v>52</v>
      </c>
      <c r="E8896" t="s">
        <v>24</v>
      </c>
      <c r="F8896">
        <v>94110</v>
      </c>
      <c r="G8896" t="s">
        <v>25</v>
      </c>
      <c r="H8896" t="s">
        <v>35</v>
      </c>
      <c r="I8896" t="s">
        <v>36</v>
      </c>
      <c r="J8896">
        <v>66.975999999999999</v>
      </c>
      <c r="K8896">
        <v>7</v>
      </c>
      <c r="L8896">
        <v>0.2</v>
      </c>
      <c r="M8896">
        <v>6.6976000000000004</v>
      </c>
    </row>
    <row r="8897" spans="1:13" x14ac:dyDescent="0.3">
      <c r="A8897" t="s">
        <v>28</v>
      </c>
      <c r="B8897" t="s">
        <v>22</v>
      </c>
      <c r="C8897" t="s">
        <v>15</v>
      </c>
      <c r="D8897" t="s">
        <v>520</v>
      </c>
      <c r="E8897" t="s">
        <v>24</v>
      </c>
      <c r="F8897">
        <v>92553</v>
      </c>
      <c r="G8897" t="s">
        <v>25</v>
      </c>
      <c r="H8897" t="s">
        <v>26</v>
      </c>
      <c r="I8897" t="s">
        <v>41</v>
      </c>
      <c r="J8897">
        <v>182.72</v>
      </c>
      <c r="K8897">
        <v>8</v>
      </c>
      <c r="L8897">
        <v>0</v>
      </c>
      <c r="M8897">
        <v>84.051199999999994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316</v>
      </c>
      <c r="E8898" t="s">
        <v>166</v>
      </c>
      <c r="F8898">
        <v>2149</v>
      </c>
      <c r="G8898" t="s">
        <v>57</v>
      </c>
      <c r="H8898" t="s">
        <v>26</v>
      </c>
      <c r="I8898" t="s">
        <v>27</v>
      </c>
      <c r="J8898">
        <v>21.93</v>
      </c>
      <c r="K8898">
        <v>3</v>
      </c>
      <c r="L8898">
        <v>0</v>
      </c>
      <c r="M8898">
        <v>10.3071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59</v>
      </c>
      <c r="J8899">
        <v>95.975999999999999</v>
      </c>
      <c r="K8899">
        <v>3</v>
      </c>
      <c r="L8899">
        <v>0.2</v>
      </c>
      <c r="M8899">
        <v>15.5961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35</v>
      </c>
      <c r="I8900" t="s">
        <v>36</v>
      </c>
      <c r="J8900">
        <v>143.928</v>
      </c>
      <c r="K8900">
        <v>9</v>
      </c>
      <c r="L8900">
        <v>0.2</v>
      </c>
      <c r="M8900">
        <v>-32.383800000000001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37</v>
      </c>
      <c r="J8901">
        <v>3.5640000000000001</v>
      </c>
      <c r="K8901">
        <v>2</v>
      </c>
      <c r="L8901">
        <v>0.7</v>
      </c>
      <c r="M8901">
        <v>-2.97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435</v>
      </c>
      <c r="E8902" t="s">
        <v>86</v>
      </c>
      <c r="F8902">
        <v>37421</v>
      </c>
      <c r="G8902" t="s">
        <v>18</v>
      </c>
      <c r="H8902" t="s">
        <v>26</v>
      </c>
      <c r="I8902" t="s">
        <v>27</v>
      </c>
      <c r="J8902">
        <v>4.9279999999999999</v>
      </c>
      <c r="K8902">
        <v>2</v>
      </c>
      <c r="L8902">
        <v>0.2</v>
      </c>
      <c r="M8902">
        <v>1.7248000000000001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32</v>
      </c>
      <c r="J8903">
        <v>856.65599999999995</v>
      </c>
      <c r="K8903">
        <v>6</v>
      </c>
      <c r="L8903">
        <v>0.2</v>
      </c>
      <c r="M8903">
        <v>107.08199999999999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37</v>
      </c>
      <c r="J8904">
        <v>13.183999999999999</v>
      </c>
      <c r="K8904">
        <v>4</v>
      </c>
      <c r="L8904">
        <v>0.8</v>
      </c>
      <c r="M8904">
        <v>-20.435199999999998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38</v>
      </c>
      <c r="J8905">
        <v>48.783999999999999</v>
      </c>
      <c r="K8905">
        <v>4</v>
      </c>
      <c r="L8905">
        <v>0.8</v>
      </c>
      <c r="M8905">
        <v>-131.71680000000001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41</v>
      </c>
      <c r="J8906">
        <v>76.64</v>
      </c>
      <c r="K8906">
        <v>2</v>
      </c>
      <c r="L8906">
        <v>0.2</v>
      </c>
      <c r="M8906">
        <v>26.824000000000002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164</v>
      </c>
      <c r="E8907" t="s">
        <v>46</v>
      </c>
      <c r="F8907">
        <v>78745</v>
      </c>
      <c r="G8907" t="s">
        <v>47</v>
      </c>
      <c r="H8907" t="s">
        <v>26</v>
      </c>
      <c r="I8907" t="s">
        <v>37</v>
      </c>
      <c r="J8907">
        <v>18.527999999999999</v>
      </c>
      <c r="K8907">
        <v>6</v>
      </c>
      <c r="L8907">
        <v>0.8</v>
      </c>
      <c r="M8907">
        <v>-27.792000000000002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258</v>
      </c>
      <c r="E8908" t="s">
        <v>83</v>
      </c>
      <c r="F8908">
        <v>23464</v>
      </c>
      <c r="G8908" t="s">
        <v>18</v>
      </c>
      <c r="H8908" t="s">
        <v>19</v>
      </c>
      <c r="I8908" t="s">
        <v>33</v>
      </c>
      <c r="J8908">
        <v>177.68</v>
      </c>
      <c r="K8908">
        <v>2</v>
      </c>
      <c r="L8908">
        <v>0</v>
      </c>
      <c r="M8908">
        <v>46.196800000000003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401</v>
      </c>
      <c r="E8909" t="s">
        <v>76</v>
      </c>
      <c r="F8909">
        <v>14701</v>
      </c>
      <c r="G8909" t="s">
        <v>57</v>
      </c>
      <c r="H8909" t="s">
        <v>35</v>
      </c>
      <c r="I8909" t="s">
        <v>59</v>
      </c>
      <c r="J8909">
        <v>159.97999999999999</v>
      </c>
      <c r="K8909">
        <v>2</v>
      </c>
      <c r="L8909">
        <v>0</v>
      </c>
      <c r="M8909">
        <v>57.592799999999997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35</v>
      </c>
      <c r="I8910" t="s">
        <v>36</v>
      </c>
      <c r="J8910">
        <v>52.68</v>
      </c>
      <c r="K8910">
        <v>3</v>
      </c>
      <c r="L8910">
        <v>0.2</v>
      </c>
      <c r="M8910">
        <v>19.754999999999999</v>
      </c>
    </row>
    <row r="8911" spans="1:13" x14ac:dyDescent="0.3">
      <c r="A8911" t="s">
        <v>28</v>
      </c>
      <c r="B8911" t="s">
        <v>22</v>
      </c>
      <c r="C8911" t="s">
        <v>15</v>
      </c>
      <c r="D8911" t="s">
        <v>607</v>
      </c>
      <c r="E8911" t="s">
        <v>30</v>
      </c>
      <c r="F8911">
        <v>33134</v>
      </c>
      <c r="G8911" t="s">
        <v>18</v>
      </c>
      <c r="H8911" t="s">
        <v>19</v>
      </c>
      <c r="I8911" t="s">
        <v>33</v>
      </c>
      <c r="J8911">
        <v>11.568</v>
      </c>
      <c r="K8911">
        <v>3</v>
      </c>
      <c r="L8911">
        <v>0.2</v>
      </c>
      <c r="M8911">
        <v>2.6027999999999998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455</v>
      </c>
      <c r="E8912" t="s">
        <v>40</v>
      </c>
      <c r="F8912">
        <v>28601</v>
      </c>
      <c r="G8912" t="s">
        <v>18</v>
      </c>
      <c r="H8912" t="s">
        <v>26</v>
      </c>
      <c r="I8912" t="s">
        <v>37</v>
      </c>
      <c r="J8912">
        <v>4.5720000000000001</v>
      </c>
      <c r="K8912">
        <v>4</v>
      </c>
      <c r="L8912">
        <v>0.7</v>
      </c>
      <c r="M8912">
        <v>-3.81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35</v>
      </c>
      <c r="I8913" t="s">
        <v>36</v>
      </c>
      <c r="J8913">
        <v>1439.9680000000001</v>
      </c>
      <c r="K8913">
        <v>4</v>
      </c>
      <c r="L8913">
        <v>0.2</v>
      </c>
      <c r="M8913">
        <v>143.99680000000001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26</v>
      </c>
      <c r="I8914" t="s">
        <v>37</v>
      </c>
      <c r="J8914">
        <v>1.728</v>
      </c>
      <c r="K8914">
        <v>3</v>
      </c>
      <c r="L8914">
        <v>0.8</v>
      </c>
      <c r="M8914">
        <v>-2.6783999999999999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264</v>
      </c>
      <c r="E8915" t="s">
        <v>65</v>
      </c>
      <c r="F8915">
        <v>61107</v>
      </c>
      <c r="G8915" t="s">
        <v>47</v>
      </c>
      <c r="H8915" t="s">
        <v>19</v>
      </c>
      <c r="I8915" t="s">
        <v>31</v>
      </c>
      <c r="J8915">
        <v>626.1</v>
      </c>
      <c r="K8915">
        <v>3</v>
      </c>
      <c r="L8915">
        <v>0.5</v>
      </c>
      <c r="M8915">
        <v>-538.44600000000003</v>
      </c>
    </row>
    <row r="8916" spans="1:13" x14ac:dyDescent="0.3">
      <c r="A8916" t="s">
        <v>13</v>
      </c>
      <c r="B8916" t="s">
        <v>22</v>
      </c>
      <c r="C8916" t="s">
        <v>15</v>
      </c>
      <c r="D8916" t="s">
        <v>42</v>
      </c>
      <c r="E8916" t="s">
        <v>43</v>
      </c>
      <c r="F8916">
        <v>98103</v>
      </c>
      <c r="G8916" t="s">
        <v>25</v>
      </c>
      <c r="H8916" t="s">
        <v>26</v>
      </c>
      <c r="I8916" t="s">
        <v>34</v>
      </c>
      <c r="J8916">
        <v>99.2</v>
      </c>
      <c r="K8916">
        <v>5</v>
      </c>
      <c r="L8916">
        <v>0</v>
      </c>
      <c r="M8916">
        <v>25.792000000000002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609.98</v>
      </c>
      <c r="K8917">
        <v>4</v>
      </c>
      <c r="L8917">
        <v>0.3</v>
      </c>
      <c r="M8917">
        <v>-113.282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19</v>
      </c>
      <c r="I8918" t="s">
        <v>31</v>
      </c>
      <c r="J8918">
        <v>211.37200000000001</v>
      </c>
      <c r="K8918">
        <v>2</v>
      </c>
      <c r="L8918">
        <v>0.3</v>
      </c>
      <c r="M8918">
        <v>-45.293999999999997</v>
      </c>
    </row>
    <row r="8919" spans="1:13" x14ac:dyDescent="0.3">
      <c r="A8919" t="s">
        <v>28</v>
      </c>
      <c r="B8919" t="s">
        <v>14</v>
      </c>
      <c r="C8919" t="s">
        <v>15</v>
      </c>
      <c r="D8919" t="s">
        <v>195</v>
      </c>
      <c r="E8919" t="s">
        <v>46</v>
      </c>
      <c r="F8919">
        <v>77340</v>
      </c>
      <c r="G8919" t="s">
        <v>47</v>
      </c>
      <c r="H8919" t="s">
        <v>35</v>
      </c>
      <c r="I8919" t="s">
        <v>36</v>
      </c>
      <c r="J8919">
        <v>239.976</v>
      </c>
      <c r="K8919">
        <v>3</v>
      </c>
      <c r="L8919">
        <v>0.2</v>
      </c>
      <c r="M8919">
        <v>17.998200000000001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19</v>
      </c>
      <c r="I8920" t="s">
        <v>33</v>
      </c>
      <c r="J8920">
        <v>99.95</v>
      </c>
      <c r="K8920">
        <v>5</v>
      </c>
      <c r="L8920">
        <v>0</v>
      </c>
      <c r="M8920">
        <v>22.988499999999998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241</v>
      </c>
      <c r="E8921" t="s">
        <v>49</v>
      </c>
      <c r="F8921">
        <v>53209</v>
      </c>
      <c r="G8921" t="s">
        <v>47</v>
      </c>
      <c r="H8921" t="s">
        <v>35</v>
      </c>
      <c r="I8921" t="s">
        <v>59</v>
      </c>
      <c r="J8921">
        <v>29.34</v>
      </c>
      <c r="K8921">
        <v>3</v>
      </c>
      <c r="L8921">
        <v>0</v>
      </c>
      <c r="M8921">
        <v>10.8558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207</v>
      </c>
      <c r="E8922" t="s">
        <v>49</v>
      </c>
      <c r="F8922">
        <v>54302</v>
      </c>
      <c r="G8922" t="s">
        <v>47</v>
      </c>
      <c r="H8922" t="s">
        <v>19</v>
      </c>
      <c r="I8922" t="s">
        <v>33</v>
      </c>
      <c r="J8922">
        <v>16.739999999999998</v>
      </c>
      <c r="K8922">
        <v>2</v>
      </c>
      <c r="L8922">
        <v>0</v>
      </c>
      <c r="M8922">
        <v>4.3524000000000003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26</v>
      </c>
      <c r="I8923" t="s">
        <v>41</v>
      </c>
      <c r="J8923">
        <v>12.672000000000001</v>
      </c>
      <c r="K8923">
        <v>3</v>
      </c>
      <c r="L8923">
        <v>0.2</v>
      </c>
      <c r="M8923">
        <v>3.96</v>
      </c>
    </row>
    <row r="8924" spans="1:13" x14ac:dyDescent="0.3">
      <c r="A8924" t="s">
        <v>168</v>
      </c>
      <c r="B8924" t="s">
        <v>22</v>
      </c>
      <c r="C8924" t="s">
        <v>15</v>
      </c>
      <c r="D8924" t="s">
        <v>55</v>
      </c>
      <c r="E8924" t="s">
        <v>56</v>
      </c>
      <c r="F8924">
        <v>19120</v>
      </c>
      <c r="G8924" t="s">
        <v>57</v>
      </c>
      <c r="H8924" t="s">
        <v>35</v>
      </c>
      <c r="I8924" t="s">
        <v>59</v>
      </c>
      <c r="J8924">
        <v>1119.8879999999999</v>
      </c>
      <c r="K8924">
        <v>14</v>
      </c>
      <c r="L8924">
        <v>0.2</v>
      </c>
      <c r="M8924">
        <v>209.97900000000001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26</v>
      </c>
      <c r="I8925" t="s">
        <v>34</v>
      </c>
      <c r="J8925">
        <v>204.85</v>
      </c>
      <c r="K8925">
        <v>5</v>
      </c>
      <c r="L8925">
        <v>0</v>
      </c>
      <c r="M8925">
        <v>53.261000000000003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35</v>
      </c>
      <c r="I8926" t="s">
        <v>36</v>
      </c>
      <c r="J8926">
        <v>135.98400000000001</v>
      </c>
      <c r="K8926">
        <v>2</v>
      </c>
      <c r="L8926">
        <v>0.2</v>
      </c>
      <c r="M8926">
        <v>16.998000000000001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34</v>
      </c>
      <c r="J8927">
        <v>16.399999999999999</v>
      </c>
      <c r="K8927">
        <v>5</v>
      </c>
      <c r="L8927">
        <v>0</v>
      </c>
      <c r="M8927">
        <v>7.0519999999999996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23</v>
      </c>
      <c r="E8928" t="s">
        <v>24</v>
      </c>
      <c r="F8928">
        <v>90008</v>
      </c>
      <c r="G8928" t="s">
        <v>25</v>
      </c>
      <c r="H8928" t="s">
        <v>26</v>
      </c>
      <c r="I8928" t="s">
        <v>37</v>
      </c>
      <c r="J8928">
        <v>92.96</v>
      </c>
      <c r="K8928">
        <v>2</v>
      </c>
      <c r="L8928">
        <v>0.2</v>
      </c>
      <c r="M8928">
        <v>31.373999999999999</v>
      </c>
    </row>
    <row r="8929" spans="1:13" x14ac:dyDescent="0.3">
      <c r="A8929" t="s">
        <v>13</v>
      </c>
      <c r="B8929" t="s">
        <v>14</v>
      </c>
      <c r="C8929" t="s">
        <v>15</v>
      </c>
      <c r="D8929" t="s">
        <v>458</v>
      </c>
      <c r="E8929" t="s">
        <v>30</v>
      </c>
      <c r="F8929">
        <v>33161</v>
      </c>
      <c r="G8929" t="s">
        <v>18</v>
      </c>
      <c r="H8929" t="s">
        <v>26</v>
      </c>
      <c r="I8929" t="s">
        <v>110</v>
      </c>
      <c r="J8929">
        <v>7.6319999999999997</v>
      </c>
      <c r="K8929">
        <v>3</v>
      </c>
      <c r="L8929">
        <v>0.2</v>
      </c>
      <c r="M8929">
        <v>-1.8126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26</v>
      </c>
      <c r="I8930" t="s">
        <v>37</v>
      </c>
      <c r="J8930">
        <v>4.1580000000000004</v>
      </c>
      <c r="K8930">
        <v>7</v>
      </c>
      <c r="L8930">
        <v>0.7</v>
      </c>
      <c r="M8930">
        <v>-3.4649999999999999</v>
      </c>
    </row>
    <row r="8931" spans="1:13" x14ac:dyDescent="0.3">
      <c r="A8931" t="s">
        <v>62</v>
      </c>
      <c r="B8931" t="s">
        <v>14</v>
      </c>
      <c r="C8931" t="s">
        <v>15</v>
      </c>
      <c r="D8931" t="s">
        <v>94</v>
      </c>
      <c r="E8931" t="s">
        <v>95</v>
      </c>
      <c r="F8931">
        <v>97206</v>
      </c>
      <c r="G8931" t="s">
        <v>25</v>
      </c>
      <c r="H8931" t="s">
        <v>35</v>
      </c>
      <c r="I8931" t="s">
        <v>123</v>
      </c>
      <c r="J8931">
        <v>179.99100000000001</v>
      </c>
      <c r="K8931">
        <v>3</v>
      </c>
      <c r="L8931">
        <v>0.7</v>
      </c>
      <c r="M8931">
        <v>-251.98740000000001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97</v>
      </c>
      <c r="E8932" t="s">
        <v>65</v>
      </c>
      <c r="F8932">
        <v>60505</v>
      </c>
      <c r="G8932" t="s">
        <v>47</v>
      </c>
      <c r="H8932" t="s">
        <v>19</v>
      </c>
      <c r="I8932" t="s">
        <v>21</v>
      </c>
      <c r="J8932">
        <v>239.358</v>
      </c>
      <c r="K8932">
        <v>3</v>
      </c>
      <c r="L8932">
        <v>0.3</v>
      </c>
      <c r="M8932">
        <v>-47.871600000000001</v>
      </c>
    </row>
    <row r="8933" spans="1:13" x14ac:dyDescent="0.3">
      <c r="A8933" t="s">
        <v>62</v>
      </c>
      <c r="B8933" t="s">
        <v>44</v>
      </c>
      <c r="C8933" t="s">
        <v>15</v>
      </c>
      <c r="D8933" t="s">
        <v>52</v>
      </c>
      <c r="E8933" t="s">
        <v>24</v>
      </c>
      <c r="F8933">
        <v>94109</v>
      </c>
      <c r="G8933" t="s">
        <v>25</v>
      </c>
      <c r="H8933" t="s">
        <v>26</v>
      </c>
      <c r="I8933" t="s">
        <v>41</v>
      </c>
      <c r="J8933">
        <v>164.88</v>
      </c>
      <c r="K8933">
        <v>3</v>
      </c>
      <c r="L8933">
        <v>0</v>
      </c>
      <c r="M8933">
        <v>80.791200000000003</v>
      </c>
    </row>
    <row r="8934" spans="1:13" x14ac:dyDescent="0.3">
      <c r="A8934" t="s">
        <v>13</v>
      </c>
      <c r="B8934" t="s">
        <v>22</v>
      </c>
      <c r="C8934" t="s">
        <v>15</v>
      </c>
      <c r="D8934" t="s">
        <v>52</v>
      </c>
      <c r="E8934" t="s">
        <v>24</v>
      </c>
      <c r="F8934">
        <v>94110</v>
      </c>
      <c r="G8934" t="s">
        <v>25</v>
      </c>
      <c r="H8934" t="s">
        <v>26</v>
      </c>
      <c r="I8934" t="s">
        <v>110</v>
      </c>
      <c r="J8934">
        <v>10.95</v>
      </c>
      <c r="K8934">
        <v>3</v>
      </c>
      <c r="L8934">
        <v>0</v>
      </c>
      <c r="M8934">
        <v>3.2850000000000001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41</v>
      </c>
      <c r="J8935">
        <v>19.440000000000001</v>
      </c>
      <c r="K8935">
        <v>3</v>
      </c>
      <c r="L8935">
        <v>0</v>
      </c>
      <c r="M8935">
        <v>9.3312000000000008</v>
      </c>
    </row>
    <row r="8936" spans="1:13" x14ac:dyDescent="0.3">
      <c r="A8936" t="s">
        <v>28</v>
      </c>
      <c r="B8936" t="s">
        <v>22</v>
      </c>
      <c r="C8936" t="s">
        <v>15</v>
      </c>
      <c r="D8936" t="s">
        <v>302</v>
      </c>
      <c r="E8936" t="s">
        <v>166</v>
      </c>
      <c r="F8936">
        <v>2740</v>
      </c>
      <c r="G8936" t="s">
        <v>57</v>
      </c>
      <c r="H8936" t="s">
        <v>26</v>
      </c>
      <c r="I8936" t="s">
        <v>37</v>
      </c>
      <c r="J8936">
        <v>12.3</v>
      </c>
      <c r="K8936">
        <v>5</v>
      </c>
      <c r="L8936">
        <v>0</v>
      </c>
      <c r="M8936">
        <v>6.15</v>
      </c>
    </row>
    <row r="8937" spans="1:13" x14ac:dyDescent="0.3">
      <c r="A8937" t="s">
        <v>62</v>
      </c>
      <c r="B8937" t="s">
        <v>14</v>
      </c>
      <c r="C8937" t="s">
        <v>15</v>
      </c>
      <c r="D8937" t="s">
        <v>144</v>
      </c>
      <c r="E8937" t="s">
        <v>24</v>
      </c>
      <c r="F8937">
        <v>92037</v>
      </c>
      <c r="G8937" t="s">
        <v>25</v>
      </c>
      <c r="H8937" t="s">
        <v>26</v>
      </c>
      <c r="I8937" t="s">
        <v>38</v>
      </c>
      <c r="J8937">
        <v>13.97</v>
      </c>
      <c r="K8937">
        <v>1</v>
      </c>
      <c r="L8937">
        <v>0</v>
      </c>
      <c r="M8937">
        <v>3.6322000000000001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19</v>
      </c>
      <c r="I8938" t="s">
        <v>31</v>
      </c>
      <c r="J8938">
        <v>934.95600000000002</v>
      </c>
      <c r="K8938">
        <v>6</v>
      </c>
      <c r="L8938">
        <v>0.4</v>
      </c>
      <c r="M8938">
        <v>-249.32159999999999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35</v>
      </c>
      <c r="I8939" t="s">
        <v>59</v>
      </c>
      <c r="J8939">
        <v>46.863999999999997</v>
      </c>
      <c r="K8939">
        <v>2</v>
      </c>
      <c r="L8939">
        <v>0.2</v>
      </c>
      <c r="M8939">
        <v>7.6154000000000002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32</v>
      </c>
      <c r="J8940">
        <v>26.16</v>
      </c>
      <c r="K8940">
        <v>3</v>
      </c>
      <c r="L8940">
        <v>0.2</v>
      </c>
      <c r="M8940">
        <v>1.962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34</v>
      </c>
      <c r="J8941">
        <v>23.128</v>
      </c>
      <c r="K8941">
        <v>7</v>
      </c>
      <c r="L8941">
        <v>0.2</v>
      </c>
      <c r="M8941">
        <v>2.891</v>
      </c>
    </row>
    <row r="8942" spans="1:13" x14ac:dyDescent="0.3">
      <c r="A8942" t="s">
        <v>28</v>
      </c>
      <c r="B8942" t="s">
        <v>14</v>
      </c>
      <c r="C8942" t="s">
        <v>15</v>
      </c>
      <c r="D8942" t="s">
        <v>84</v>
      </c>
      <c r="E8942" t="s">
        <v>86</v>
      </c>
      <c r="F8942">
        <v>38301</v>
      </c>
      <c r="G8942" t="s">
        <v>18</v>
      </c>
      <c r="H8942" t="s">
        <v>26</v>
      </c>
      <c r="I8942" t="s">
        <v>38</v>
      </c>
      <c r="J8942">
        <v>59.24</v>
      </c>
      <c r="K8942">
        <v>5</v>
      </c>
      <c r="L8942">
        <v>0.2</v>
      </c>
      <c r="M8942">
        <v>16.291</v>
      </c>
    </row>
    <row r="8943" spans="1:13" x14ac:dyDescent="0.3">
      <c r="A8943" t="s">
        <v>13</v>
      </c>
      <c r="B8943" t="s">
        <v>14</v>
      </c>
      <c r="C8943" t="s">
        <v>15</v>
      </c>
      <c r="D8943" t="s">
        <v>189</v>
      </c>
      <c r="E8943" t="s">
        <v>30</v>
      </c>
      <c r="F8943">
        <v>32216</v>
      </c>
      <c r="G8943" t="s">
        <v>18</v>
      </c>
      <c r="H8943" t="s">
        <v>19</v>
      </c>
      <c r="I8943" t="s">
        <v>20</v>
      </c>
      <c r="J8943">
        <v>155.45599999999999</v>
      </c>
      <c r="K8943">
        <v>4</v>
      </c>
      <c r="L8943">
        <v>0.2</v>
      </c>
      <c r="M8943">
        <v>-7.7728000000000002</v>
      </c>
    </row>
    <row r="8944" spans="1:13" x14ac:dyDescent="0.3">
      <c r="A8944" t="s">
        <v>28</v>
      </c>
      <c r="B8944" t="s">
        <v>22</v>
      </c>
      <c r="C8944" t="s">
        <v>15</v>
      </c>
      <c r="D8944" t="s">
        <v>144</v>
      </c>
      <c r="E8944" t="s">
        <v>24</v>
      </c>
      <c r="F8944">
        <v>92024</v>
      </c>
      <c r="G8944" t="s">
        <v>25</v>
      </c>
      <c r="H8944" t="s">
        <v>26</v>
      </c>
      <c r="I8944" t="s">
        <v>41</v>
      </c>
      <c r="J8944">
        <v>8.56</v>
      </c>
      <c r="K8944">
        <v>2</v>
      </c>
      <c r="L8944">
        <v>0</v>
      </c>
      <c r="M8944">
        <v>3.8519999999999999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19</v>
      </c>
      <c r="I8945" t="s">
        <v>33</v>
      </c>
      <c r="J8945">
        <v>21</v>
      </c>
      <c r="K8945">
        <v>3</v>
      </c>
      <c r="L8945">
        <v>0.2</v>
      </c>
      <c r="M8945">
        <v>5.7750000000000004</v>
      </c>
    </row>
    <row r="8946" spans="1:13" x14ac:dyDescent="0.3">
      <c r="A8946" t="s">
        <v>62</v>
      </c>
      <c r="B8946" t="s">
        <v>14</v>
      </c>
      <c r="C8946" t="s">
        <v>15</v>
      </c>
      <c r="D8946" t="s">
        <v>229</v>
      </c>
      <c r="E8946" t="s">
        <v>30</v>
      </c>
      <c r="F8946">
        <v>33012</v>
      </c>
      <c r="G8946" t="s">
        <v>18</v>
      </c>
      <c r="H8946" t="s">
        <v>35</v>
      </c>
      <c r="I8946" t="s">
        <v>123</v>
      </c>
      <c r="J8946">
        <v>120</v>
      </c>
      <c r="K8946">
        <v>2</v>
      </c>
      <c r="L8946">
        <v>0.5</v>
      </c>
      <c r="M8946">
        <v>-7.2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35</v>
      </c>
      <c r="I8947" t="s">
        <v>36</v>
      </c>
      <c r="J8947">
        <v>299.95999999999998</v>
      </c>
      <c r="K8947">
        <v>5</v>
      </c>
      <c r="L8947">
        <v>0.2</v>
      </c>
      <c r="M8947">
        <v>37.494999999999997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26</v>
      </c>
      <c r="I8948" t="s">
        <v>38</v>
      </c>
      <c r="J8948">
        <v>67.84</v>
      </c>
      <c r="K8948">
        <v>5</v>
      </c>
      <c r="L8948">
        <v>0.8</v>
      </c>
      <c r="M8948">
        <v>-179.77600000000001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19</v>
      </c>
      <c r="I8949" t="s">
        <v>21</v>
      </c>
      <c r="J8949">
        <v>853.93</v>
      </c>
      <c r="K8949">
        <v>5</v>
      </c>
      <c r="L8949">
        <v>0.3</v>
      </c>
      <c r="M8949">
        <v>-24.398</v>
      </c>
    </row>
    <row r="8950" spans="1:13" x14ac:dyDescent="0.3">
      <c r="A8950" t="s">
        <v>28</v>
      </c>
      <c r="B8950" t="s">
        <v>14</v>
      </c>
      <c r="C8950" t="s">
        <v>15</v>
      </c>
      <c r="D8950" t="s">
        <v>61</v>
      </c>
      <c r="E8950" t="s">
        <v>46</v>
      </c>
      <c r="F8950">
        <v>77070</v>
      </c>
      <c r="G8950" t="s">
        <v>47</v>
      </c>
      <c r="H8950" t="s">
        <v>26</v>
      </c>
      <c r="I8950" t="s">
        <v>34</v>
      </c>
      <c r="J8950">
        <v>18.687999999999999</v>
      </c>
      <c r="K8950">
        <v>4</v>
      </c>
      <c r="L8950">
        <v>0.2</v>
      </c>
      <c r="M8950">
        <v>3.7376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19</v>
      </c>
      <c r="I8951" t="s">
        <v>33</v>
      </c>
      <c r="J8951">
        <v>273.95999999999998</v>
      </c>
      <c r="K8951">
        <v>2</v>
      </c>
      <c r="L8951">
        <v>0</v>
      </c>
      <c r="M8951">
        <v>71.229600000000005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35</v>
      </c>
      <c r="I8952" t="s">
        <v>59</v>
      </c>
      <c r="J8952">
        <v>89.97</v>
      </c>
      <c r="K8952">
        <v>3</v>
      </c>
      <c r="L8952">
        <v>0</v>
      </c>
      <c r="M8952">
        <v>18.893699999999999</v>
      </c>
    </row>
    <row r="8953" spans="1:13" x14ac:dyDescent="0.3">
      <c r="A8953" t="s">
        <v>62</v>
      </c>
      <c r="B8953" t="s">
        <v>14</v>
      </c>
      <c r="C8953" t="s">
        <v>15</v>
      </c>
      <c r="D8953" t="s">
        <v>258</v>
      </c>
      <c r="E8953" t="s">
        <v>83</v>
      </c>
      <c r="F8953">
        <v>23464</v>
      </c>
      <c r="G8953" t="s">
        <v>18</v>
      </c>
      <c r="H8953" t="s">
        <v>19</v>
      </c>
      <c r="I8953" t="s">
        <v>33</v>
      </c>
      <c r="J8953">
        <v>756.8</v>
      </c>
      <c r="K8953">
        <v>5</v>
      </c>
      <c r="L8953">
        <v>0</v>
      </c>
      <c r="M8953">
        <v>75.680000000000007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61</v>
      </c>
      <c r="E8954" t="s">
        <v>46</v>
      </c>
      <c r="F8954">
        <v>77070</v>
      </c>
      <c r="G8954" t="s">
        <v>47</v>
      </c>
      <c r="H8954" t="s">
        <v>26</v>
      </c>
      <c r="I8954" t="s">
        <v>37</v>
      </c>
      <c r="J8954">
        <v>1.248</v>
      </c>
      <c r="K8954">
        <v>2</v>
      </c>
      <c r="L8954">
        <v>0.8</v>
      </c>
      <c r="M8954">
        <v>-1.9343999999999999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35</v>
      </c>
      <c r="I8955" t="s">
        <v>59</v>
      </c>
      <c r="J8955">
        <v>72</v>
      </c>
      <c r="K8955">
        <v>1</v>
      </c>
      <c r="L8955">
        <v>0.2</v>
      </c>
      <c r="M8955">
        <v>14.4</v>
      </c>
    </row>
    <row r="8956" spans="1:13" x14ac:dyDescent="0.3">
      <c r="A8956" t="s">
        <v>28</v>
      </c>
      <c r="B8956" t="s">
        <v>44</v>
      </c>
      <c r="C8956" t="s">
        <v>15</v>
      </c>
      <c r="D8956" t="s">
        <v>55</v>
      </c>
      <c r="E8956" t="s">
        <v>56</v>
      </c>
      <c r="F8956">
        <v>19120</v>
      </c>
      <c r="G8956" t="s">
        <v>57</v>
      </c>
      <c r="H8956" t="s">
        <v>19</v>
      </c>
      <c r="I8956" t="s">
        <v>21</v>
      </c>
      <c r="J8956">
        <v>470.15499999999997</v>
      </c>
      <c r="K8956">
        <v>7</v>
      </c>
      <c r="L8956">
        <v>0.3</v>
      </c>
      <c r="M8956">
        <v>-13.433</v>
      </c>
    </row>
    <row r="8957" spans="1:13" x14ac:dyDescent="0.3">
      <c r="A8957" t="s">
        <v>62</v>
      </c>
      <c r="B8957" t="s">
        <v>14</v>
      </c>
      <c r="C8957" t="s">
        <v>15</v>
      </c>
      <c r="D8957" t="s">
        <v>85</v>
      </c>
      <c r="E8957" t="s">
        <v>86</v>
      </c>
      <c r="F8957">
        <v>38109</v>
      </c>
      <c r="G8957" t="s">
        <v>18</v>
      </c>
      <c r="H8957" t="s">
        <v>26</v>
      </c>
      <c r="I8957" t="s">
        <v>32</v>
      </c>
      <c r="J8957">
        <v>39.128</v>
      </c>
      <c r="K8957">
        <v>1</v>
      </c>
      <c r="L8957">
        <v>0.2</v>
      </c>
      <c r="M8957">
        <v>-8.8038000000000007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26</v>
      </c>
      <c r="I8958" t="s">
        <v>34</v>
      </c>
      <c r="J8958">
        <v>19.728000000000002</v>
      </c>
      <c r="K8958">
        <v>9</v>
      </c>
      <c r="L8958">
        <v>0.2</v>
      </c>
      <c r="M8958">
        <v>1.7262</v>
      </c>
    </row>
    <row r="8959" spans="1:13" x14ac:dyDescent="0.3">
      <c r="A8959" t="s">
        <v>28</v>
      </c>
      <c r="B8959" t="s">
        <v>22</v>
      </c>
      <c r="C8959" t="s">
        <v>15</v>
      </c>
      <c r="D8959" t="s">
        <v>154</v>
      </c>
      <c r="E8959" t="s">
        <v>104</v>
      </c>
      <c r="F8959">
        <v>44107</v>
      </c>
      <c r="G8959" t="s">
        <v>57</v>
      </c>
      <c r="H8959" t="s">
        <v>35</v>
      </c>
      <c r="I8959" t="s">
        <v>36</v>
      </c>
      <c r="J8959">
        <v>151.18799999999999</v>
      </c>
      <c r="K8959">
        <v>2</v>
      </c>
      <c r="L8959">
        <v>0.4</v>
      </c>
      <c r="M8959">
        <v>-25.198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75</v>
      </c>
      <c r="E8960" t="s">
        <v>76</v>
      </c>
      <c r="F8960">
        <v>10011</v>
      </c>
      <c r="G8960" t="s">
        <v>57</v>
      </c>
      <c r="H8960" t="s">
        <v>19</v>
      </c>
      <c r="I8960" t="s">
        <v>21</v>
      </c>
      <c r="J8960">
        <v>271.76400000000001</v>
      </c>
      <c r="K8960">
        <v>2</v>
      </c>
      <c r="L8960">
        <v>0.1</v>
      </c>
      <c r="M8960">
        <v>60.392000000000003</v>
      </c>
    </row>
    <row r="8961" spans="1:13" x14ac:dyDescent="0.3">
      <c r="A8961" t="s">
        <v>62</v>
      </c>
      <c r="B8961" t="s">
        <v>14</v>
      </c>
      <c r="C8961" t="s">
        <v>15</v>
      </c>
      <c r="D8961" t="s">
        <v>55</v>
      </c>
      <c r="E8961" t="s">
        <v>56</v>
      </c>
      <c r="F8961">
        <v>19120</v>
      </c>
      <c r="G8961" t="s">
        <v>57</v>
      </c>
      <c r="H8961" t="s">
        <v>35</v>
      </c>
      <c r="I8961" t="s">
        <v>59</v>
      </c>
      <c r="J8961">
        <v>47.496000000000002</v>
      </c>
      <c r="K8961">
        <v>1</v>
      </c>
      <c r="L8961">
        <v>0.2</v>
      </c>
      <c r="M8961">
        <v>-1.1874</v>
      </c>
    </row>
    <row r="8962" spans="1:13" x14ac:dyDescent="0.3">
      <c r="A8962" t="s">
        <v>13</v>
      </c>
      <c r="B8962" t="s">
        <v>14</v>
      </c>
      <c r="C8962" t="s">
        <v>15</v>
      </c>
      <c r="D8962" t="s">
        <v>23</v>
      </c>
      <c r="E8962" t="s">
        <v>24</v>
      </c>
      <c r="F8962">
        <v>90008</v>
      </c>
      <c r="G8962" t="s">
        <v>25</v>
      </c>
      <c r="H8962" t="s">
        <v>19</v>
      </c>
      <c r="I8962" t="s">
        <v>20</v>
      </c>
      <c r="J8962">
        <v>344.98099999999999</v>
      </c>
      <c r="K8962">
        <v>7</v>
      </c>
      <c r="L8962">
        <v>0.15</v>
      </c>
      <c r="M8962">
        <v>28.4102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36.287999999999997</v>
      </c>
      <c r="K8963">
        <v>7</v>
      </c>
      <c r="L8963">
        <v>0.2</v>
      </c>
      <c r="M8963">
        <v>12.700799999999999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26</v>
      </c>
      <c r="I8964" t="s">
        <v>41</v>
      </c>
      <c r="J8964">
        <v>78.304000000000002</v>
      </c>
      <c r="K8964">
        <v>2</v>
      </c>
      <c r="L8964">
        <v>0.2</v>
      </c>
      <c r="M8964">
        <v>29.364000000000001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19</v>
      </c>
      <c r="I8965" t="s">
        <v>31</v>
      </c>
      <c r="J8965">
        <v>127.785</v>
      </c>
      <c r="K8965">
        <v>1</v>
      </c>
      <c r="L8965">
        <v>0.3</v>
      </c>
      <c r="M8965">
        <v>-31.0335</v>
      </c>
    </row>
    <row r="8966" spans="1:13" x14ac:dyDescent="0.3">
      <c r="A8966" t="s">
        <v>62</v>
      </c>
      <c r="B8966" t="s">
        <v>22</v>
      </c>
      <c r="C8966" t="s">
        <v>15</v>
      </c>
      <c r="D8966" t="s">
        <v>135</v>
      </c>
      <c r="E8966" t="s">
        <v>46</v>
      </c>
      <c r="F8966">
        <v>75220</v>
      </c>
      <c r="G8966" t="s">
        <v>47</v>
      </c>
      <c r="H8966" t="s">
        <v>26</v>
      </c>
      <c r="I8966" t="s">
        <v>37</v>
      </c>
      <c r="J8966">
        <v>6.1040000000000001</v>
      </c>
      <c r="K8966">
        <v>2</v>
      </c>
      <c r="L8966">
        <v>0.8</v>
      </c>
      <c r="M8966">
        <v>-9.1560000000000006</v>
      </c>
    </row>
    <row r="8967" spans="1:13" x14ac:dyDescent="0.3">
      <c r="A8967" t="s">
        <v>13</v>
      </c>
      <c r="B8967" t="s">
        <v>22</v>
      </c>
      <c r="C8967" t="s">
        <v>15</v>
      </c>
      <c r="D8967" t="s">
        <v>423</v>
      </c>
      <c r="E8967" t="s">
        <v>132</v>
      </c>
      <c r="F8967">
        <v>7050</v>
      </c>
      <c r="G8967" t="s">
        <v>57</v>
      </c>
      <c r="H8967" t="s">
        <v>26</v>
      </c>
      <c r="I8967" t="s">
        <v>37</v>
      </c>
      <c r="J8967">
        <v>5.76</v>
      </c>
      <c r="K8967">
        <v>2</v>
      </c>
      <c r="L8967">
        <v>0</v>
      </c>
      <c r="M8967">
        <v>2.8224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135</v>
      </c>
      <c r="E8968" t="s">
        <v>46</v>
      </c>
      <c r="F8968">
        <v>75220</v>
      </c>
      <c r="G8968" t="s">
        <v>47</v>
      </c>
      <c r="H8968" t="s">
        <v>26</v>
      </c>
      <c r="I8968" t="s">
        <v>37</v>
      </c>
      <c r="J8968">
        <v>1.72</v>
      </c>
      <c r="K8968">
        <v>1</v>
      </c>
      <c r="L8968">
        <v>0.8</v>
      </c>
      <c r="M8968">
        <v>-2.8380000000000001</v>
      </c>
    </row>
    <row r="8969" spans="1:13" x14ac:dyDescent="0.3">
      <c r="A8969" t="s">
        <v>13</v>
      </c>
      <c r="B8969" t="s">
        <v>14</v>
      </c>
      <c r="C8969" t="s">
        <v>15</v>
      </c>
      <c r="D8969" t="s">
        <v>608</v>
      </c>
      <c r="E8969" t="s">
        <v>65</v>
      </c>
      <c r="F8969">
        <v>60441</v>
      </c>
      <c r="G8969" t="s">
        <v>47</v>
      </c>
      <c r="H8969" t="s">
        <v>26</v>
      </c>
      <c r="I8969" t="s">
        <v>37</v>
      </c>
      <c r="J8969">
        <v>8.952</v>
      </c>
      <c r="K8969">
        <v>2</v>
      </c>
      <c r="L8969">
        <v>0.8</v>
      </c>
      <c r="M8969">
        <v>-14.770799999999999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38</v>
      </c>
      <c r="J8970">
        <v>2.3340000000000001</v>
      </c>
      <c r="K8970">
        <v>3</v>
      </c>
      <c r="L8970">
        <v>0.8</v>
      </c>
      <c r="M8970">
        <v>-6.3018000000000001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26</v>
      </c>
      <c r="I8971" t="s">
        <v>37</v>
      </c>
      <c r="J8971">
        <v>1.728</v>
      </c>
      <c r="K8971">
        <v>4</v>
      </c>
      <c r="L8971">
        <v>0.8</v>
      </c>
      <c r="M8971">
        <v>-2.7648000000000001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33</v>
      </c>
      <c r="J8972">
        <v>159.04</v>
      </c>
      <c r="K8972">
        <v>5</v>
      </c>
      <c r="L8972">
        <v>0.6</v>
      </c>
      <c r="M8972">
        <v>-194.82400000000001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79</v>
      </c>
      <c r="E8973" t="s">
        <v>65</v>
      </c>
      <c r="F8973">
        <v>60623</v>
      </c>
      <c r="G8973" t="s">
        <v>47</v>
      </c>
      <c r="H8973" t="s">
        <v>19</v>
      </c>
      <c r="I8973" t="s">
        <v>31</v>
      </c>
      <c r="J8973">
        <v>145.97999999999999</v>
      </c>
      <c r="K8973">
        <v>2</v>
      </c>
      <c r="L8973">
        <v>0.5</v>
      </c>
      <c r="M8973">
        <v>-99.266400000000004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19</v>
      </c>
      <c r="I8974" t="s">
        <v>33</v>
      </c>
      <c r="J8974">
        <v>77.951999999999998</v>
      </c>
      <c r="K8974">
        <v>3</v>
      </c>
      <c r="L8974">
        <v>0.2</v>
      </c>
      <c r="M8974">
        <v>12.667199999999999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26</v>
      </c>
      <c r="I8975" t="s">
        <v>37</v>
      </c>
      <c r="J8975">
        <v>95.97</v>
      </c>
      <c r="K8975">
        <v>5</v>
      </c>
      <c r="L8975">
        <v>0.7</v>
      </c>
      <c r="M8975">
        <v>-73.576999999999998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35</v>
      </c>
      <c r="I8976" t="s">
        <v>36</v>
      </c>
      <c r="J8976">
        <v>105.584</v>
      </c>
      <c r="K8976">
        <v>2</v>
      </c>
      <c r="L8976">
        <v>0.2</v>
      </c>
      <c r="M8976">
        <v>9.2385999999999999</v>
      </c>
    </row>
    <row r="8977" spans="1:13" x14ac:dyDescent="0.3">
      <c r="A8977" t="s">
        <v>28</v>
      </c>
      <c r="B8977" t="s">
        <v>14</v>
      </c>
      <c r="C8977" t="s">
        <v>15</v>
      </c>
      <c r="D8977" t="s">
        <v>189</v>
      </c>
      <c r="E8977" t="s">
        <v>40</v>
      </c>
      <c r="F8977">
        <v>28540</v>
      </c>
      <c r="G8977" t="s">
        <v>18</v>
      </c>
      <c r="H8977" t="s">
        <v>26</v>
      </c>
      <c r="I8977" t="s">
        <v>34</v>
      </c>
      <c r="J8977">
        <v>9.3439999999999994</v>
      </c>
      <c r="K8977">
        <v>2</v>
      </c>
      <c r="L8977">
        <v>0.2</v>
      </c>
      <c r="M8977">
        <v>1.1679999999999999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19</v>
      </c>
      <c r="I8978" t="s">
        <v>33</v>
      </c>
      <c r="J8978">
        <v>9.68</v>
      </c>
      <c r="K8978">
        <v>2</v>
      </c>
      <c r="L8978">
        <v>0</v>
      </c>
      <c r="M8978">
        <v>3.7751999999999999</v>
      </c>
    </row>
    <row r="8979" spans="1:13" x14ac:dyDescent="0.3">
      <c r="A8979" t="s">
        <v>28</v>
      </c>
      <c r="B8979" t="s">
        <v>22</v>
      </c>
      <c r="C8979" t="s">
        <v>15</v>
      </c>
      <c r="D8979" t="s">
        <v>82</v>
      </c>
      <c r="E8979" t="s">
        <v>112</v>
      </c>
      <c r="F8979">
        <v>65807</v>
      </c>
      <c r="G8979" t="s">
        <v>47</v>
      </c>
      <c r="H8979" t="s">
        <v>35</v>
      </c>
      <c r="I8979" t="s">
        <v>162</v>
      </c>
      <c r="J8979">
        <v>4899.93</v>
      </c>
      <c r="K8979">
        <v>7</v>
      </c>
      <c r="L8979">
        <v>0</v>
      </c>
      <c r="M8979">
        <v>2302.9670999999998</v>
      </c>
    </row>
    <row r="8980" spans="1:13" x14ac:dyDescent="0.3">
      <c r="A8980" t="s">
        <v>28</v>
      </c>
      <c r="B8980" t="s">
        <v>44</v>
      </c>
      <c r="C8980" t="s">
        <v>15</v>
      </c>
      <c r="D8980" t="s">
        <v>52</v>
      </c>
      <c r="E8980" t="s">
        <v>24</v>
      </c>
      <c r="F8980">
        <v>94110</v>
      </c>
      <c r="G8980" t="s">
        <v>25</v>
      </c>
      <c r="H8980" t="s">
        <v>35</v>
      </c>
      <c r="I8980" t="s">
        <v>59</v>
      </c>
      <c r="J8980">
        <v>104.75</v>
      </c>
      <c r="K8980">
        <v>5</v>
      </c>
      <c r="L8980">
        <v>0</v>
      </c>
      <c r="M8980">
        <v>21.997499999999999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35</v>
      </c>
      <c r="I8981" t="s">
        <v>59</v>
      </c>
      <c r="J8981">
        <v>18.527999999999999</v>
      </c>
      <c r="K8981">
        <v>2</v>
      </c>
      <c r="L8981">
        <v>0.2</v>
      </c>
      <c r="M8981">
        <v>4.4004000000000003</v>
      </c>
    </row>
    <row r="8982" spans="1:13" x14ac:dyDescent="0.3">
      <c r="A8982" t="s">
        <v>28</v>
      </c>
      <c r="B8982" t="s">
        <v>22</v>
      </c>
      <c r="C8982" t="s">
        <v>15</v>
      </c>
      <c r="D8982" t="s">
        <v>90</v>
      </c>
      <c r="E8982" t="s">
        <v>86</v>
      </c>
      <c r="F8982">
        <v>38401</v>
      </c>
      <c r="G8982" t="s">
        <v>18</v>
      </c>
      <c r="H8982" t="s">
        <v>19</v>
      </c>
      <c r="I8982" t="s">
        <v>31</v>
      </c>
      <c r="J8982">
        <v>1875.258</v>
      </c>
      <c r="K8982">
        <v>7</v>
      </c>
      <c r="L8982">
        <v>0.4</v>
      </c>
      <c r="M8982">
        <v>-968.88329999999996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41</v>
      </c>
      <c r="J8983">
        <v>91.36</v>
      </c>
      <c r="K8983">
        <v>5</v>
      </c>
      <c r="L8983">
        <v>0.2</v>
      </c>
      <c r="M8983">
        <v>29.692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479</v>
      </c>
      <c r="E8984" t="s">
        <v>30</v>
      </c>
      <c r="F8984">
        <v>33021</v>
      </c>
      <c r="G8984" t="s">
        <v>18</v>
      </c>
      <c r="H8984" t="s">
        <v>26</v>
      </c>
      <c r="I8984" t="s">
        <v>38</v>
      </c>
      <c r="J8984">
        <v>152.24</v>
      </c>
      <c r="K8984">
        <v>5</v>
      </c>
      <c r="L8984">
        <v>0.2</v>
      </c>
      <c r="M8984">
        <v>17.126999999999999</v>
      </c>
    </row>
    <row r="8985" spans="1:13" x14ac:dyDescent="0.3">
      <c r="A8985" t="s">
        <v>62</v>
      </c>
      <c r="B8985" t="s">
        <v>14</v>
      </c>
      <c r="C8985" t="s">
        <v>15</v>
      </c>
      <c r="D8985" t="s">
        <v>135</v>
      </c>
      <c r="E8985" t="s">
        <v>46</v>
      </c>
      <c r="F8985">
        <v>75081</v>
      </c>
      <c r="G8985" t="s">
        <v>47</v>
      </c>
      <c r="H8985" t="s">
        <v>35</v>
      </c>
      <c r="I8985" t="s">
        <v>36</v>
      </c>
      <c r="J8985">
        <v>35.183999999999997</v>
      </c>
      <c r="K8985">
        <v>2</v>
      </c>
      <c r="L8985">
        <v>0.2</v>
      </c>
      <c r="M8985">
        <v>12.314399999999999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56.704000000000001</v>
      </c>
      <c r="K8986">
        <v>2</v>
      </c>
      <c r="L8986">
        <v>0.2</v>
      </c>
      <c r="M8986">
        <v>19.137599999999999</v>
      </c>
    </row>
    <row r="8987" spans="1:13" x14ac:dyDescent="0.3">
      <c r="A8987" t="s">
        <v>168</v>
      </c>
      <c r="B8987" t="s">
        <v>14</v>
      </c>
      <c r="C8987" t="s">
        <v>15</v>
      </c>
      <c r="D8987" t="s">
        <v>61</v>
      </c>
      <c r="E8987" t="s">
        <v>46</v>
      </c>
      <c r="F8987">
        <v>77041</v>
      </c>
      <c r="G8987" t="s">
        <v>47</v>
      </c>
      <c r="H8987" t="s">
        <v>26</v>
      </c>
      <c r="I8987" t="s">
        <v>41</v>
      </c>
      <c r="J8987">
        <v>274.06400000000002</v>
      </c>
      <c r="K8987">
        <v>7</v>
      </c>
      <c r="L8987">
        <v>0.2</v>
      </c>
      <c r="M8987">
        <v>102.774</v>
      </c>
    </row>
    <row r="8988" spans="1:13" x14ac:dyDescent="0.3">
      <c r="A8988" t="s">
        <v>28</v>
      </c>
      <c r="B8988" t="s">
        <v>44</v>
      </c>
      <c r="C8988" t="s">
        <v>15</v>
      </c>
      <c r="D8988" t="s">
        <v>55</v>
      </c>
      <c r="E8988" t="s">
        <v>56</v>
      </c>
      <c r="F8988">
        <v>19140</v>
      </c>
      <c r="G8988" t="s">
        <v>57</v>
      </c>
      <c r="H8988" t="s">
        <v>19</v>
      </c>
      <c r="I8988" t="s">
        <v>21</v>
      </c>
      <c r="J8988">
        <v>458.43</v>
      </c>
      <c r="K8988">
        <v>5</v>
      </c>
      <c r="L8988">
        <v>0.3</v>
      </c>
      <c r="M8988">
        <v>-124.431</v>
      </c>
    </row>
    <row r="8989" spans="1:13" x14ac:dyDescent="0.3">
      <c r="A8989" t="s">
        <v>168</v>
      </c>
      <c r="B8989" t="s">
        <v>14</v>
      </c>
      <c r="C8989" t="s">
        <v>15</v>
      </c>
      <c r="D8989" t="s">
        <v>108</v>
      </c>
      <c r="E8989" t="s">
        <v>81</v>
      </c>
      <c r="F8989">
        <v>85023</v>
      </c>
      <c r="G8989" t="s">
        <v>25</v>
      </c>
      <c r="H8989" t="s">
        <v>26</v>
      </c>
      <c r="I8989" t="s">
        <v>37</v>
      </c>
      <c r="J8989">
        <v>8.2260000000000009</v>
      </c>
      <c r="K8989">
        <v>3</v>
      </c>
      <c r="L8989">
        <v>0.7</v>
      </c>
      <c r="M8989">
        <v>-6.0324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35</v>
      </c>
      <c r="I8990" t="s">
        <v>59</v>
      </c>
      <c r="J8990">
        <v>5.95</v>
      </c>
      <c r="K8990">
        <v>1</v>
      </c>
      <c r="L8990">
        <v>0</v>
      </c>
      <c r="M8990">
        <v>0.83299999999999996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497</v>
      </c>
      <c r="E8991" t="s">
        <v>167</v>
      </c>
      <c r="F8991">
        <v>30328</v>
      </c>
      <c r="G8991" t="s">
        <v>18</v>
      </c>
      <c r="H8991" t="s">
        <v>26</v>
      </c>
      <c r="I8991" t="s">
        <v>41</v>
      </c>
      <c r="J8991">
        <v>15.24</v>
      </c>
      <c r="K8991">
        <v>3</v>
      </c>
      <c r="L8991">
        <v>0</v>
      </c>
      <c r="M8991">
        <v>7.1627999999999998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35</v>
      </c>
      <c r="I8992" t="s">
        <v>59</v>
      </c>
      <c r="J8992">
        <v>239.94</v>
      </c>
      <c r="K8992">
        <v>6</v>
      </c>
      <c r="L8992">
        <v>0</v>
      </c>
      <c r="M8992">
        <v>26.3934</v>
      </c>
    </row>
    <row r="8993" spans="1:13" x14ac:dyDescent="0.3">
      <c r="A8993" t="s">
        <v>168</v>
      </c>
      <c r="B8993" t="s">
        <v>14</v>
      </c>
      <c r="C8993" t="s">
        <v>15</v>
      </c>
      <c r="D8993" t="s">
        <v>344</v>
      </c>
      <c r="E8993" t="s">
        <v>43</v>
      </c>
      <c r="F8993">
        <v>99207</v>
      </c>
      <c r="G8993" t="s">
        <v>25</v>
      </c>
      <c r="H8993" t="s">
        <v>26</v>
      </c>
      <c r="I8993" t="s">
        <v>34</v>
      </c>
      <c r="J8993">
        <v>23.84</v>
      </c>
      <c r="K8993">
        <v>8</v>
      </c>
      <c r="L8993">
        <v>0</v>
      </c>
      <c r="M8993">
        <v>6.4367999999999999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92.52</v>
      </c>
      <c r="K8994">
        <v>6</v>
      </c>
      <c r="L8994">
        <v>0</v>
      </c>
      <c r="M8994">
        <v>24.980399999999999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32</v>
      </c>
      <c r="J8995">
        <v>37.76</v>
      </c>
      <c r="K8995">
        <v>1</v>
      </c>
      <c r="L8995">
        <v>0</v>
      </c>
      <c r="M8995">
        <v>10.572800000000001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26</v>
      </c>
      <c r="I8996" t="s">
        <v>27</v>
      </c>
      <c r="J8996">
        <v>7.38</v>
      </c>
      <c r="K8996">
        <v>2</v>
      </c>
      <c r="L8996">
        <v>0</v>
      </c>
      <c r="M8996">
        <v>3.4685999999999999</v>
      </c>
    </row>
    <row r="8997" spans="1:13" x14ac:dyDescent="0.3">
      <c r="A8997" t="s">
        <v>168</v>
      </c>
      <c r="B8997" t="s">
        <v>22</v>
      </c>
      <c r="C8997" t="s">
        <v>15</v>
      </c>
      <c r="D8997" t="s">
        <v>241</v>
      </c>
      <c r="E8997" t="s">
        <v>49</v>
      </c>
      <c r="F8997">
        <v>53209</v>
      </c>
      <c r="G8997" t="s">
        <v>47</v>
      </c>
      <c r="H8997" t="s">
        <v>19</v>
      </c>
      <c r="I8997" t="s">
        <v>33</v>
      </c>
      <c r="J8997">
        <v>5.82</v>
      </c>
      <c r="K8997">
        <v>2</v>
      </c>
      <c r="L8997">
        <v>0</v>
      </c>
      <c r="M8997">
        <v>2.7353999999999998</v>
      </c>
    </row>
    <row r="8998" spans="1:13" x14ac:dyDescent="0.3">
      <c r="A8998" t="s">
        <v>28</v>
      </c>
      <c r="B8998" t="s">
        <v>14</v>
      </c>
      <c r="C8998" t="s">
        <v>15</v>
      </c>
      <c r="D8998" t="s">
        <v>126</v>
      </c>
      <c r="E8998" t="s">
        <v>104</v>
      </c>
      <c r="F8998">
        <v>45014</v>
      </c>
      <c r="G8998" t="s">
        <v>57</v>
      </c>
      <c r="H8998" t="s">
        <v>26</v>
      </c>
      <c r="I8998" t="s">
        <v>41</v>
      </c>
      <c r="J8998">
        <v>3.8159999999999998</v>
      </c>
      <c r="K8998">
        <v>1</v>
      </c>
      <c r="L8998">
        <v>0.2</v>
      </c>
      <c r="M8998">
        <v>1.1924999999999999</v>
      </c>
    </row>
    <row r="8999" spans="1:13" x14ac:dyDescent="0.3">
      <c r="A8999" t="s">
        <v>28</v>
      </c>
      <c r="B8999" t="s">
        <v>22</v>
      </c>
      <c r="C8999" t="s">
        <v>15</v>
      </c>
      <c r="D8999" t="s">
        <v>195</v>
      </c>
      <c r="E8999" t="s">
        <v>88</v>
      </c>
      <c r="F8999">
        <v>35810</v>
      </c>
      <c r="G8999" t="s">
        <v>18</v>
      </c>
      <c r="H8999" t="s">
        <v>26</v>
      </c>
      <c r="I8999" t="s">
        <v>37</v>
      </c>
      <c r="J8999">
        <v>26.16</v>
      </c>
      <c r="K8999">
        <v>4</v>
      </c>
      <c r="L8999">
        <v>0</v>
      </c>
      <c r="M8999">
        <v>12.8184</v>
      </c>
    </row>
    <row r="9000" spans="1:13" x14ac:dyDescent="0.3">
      <c r="A9000" t="s">
        <v>62</v>
      </c>
      <c r="B9000" t="s">
        <v>44</v>
      </c>
      <c r="C9000" t="s">
        <v>15</v>
      </c>
      <c r="D9000" t="s">
        <v>61</v>
      </c>
      <c r="E9000" t="s">
        <v>46</v>
      </c>
      <c r="F9000">
        <v>77036</v>
      </c>
      <c r="G9000" t="s">
        <v>47</v>
      </c>
      <c r="H9000" t="s">
        <v>35</v>
      </c>
      <c r="I9000" t="s">
        <v>59</v>
      </c>
      <c r="J9000">
        <v>100.8</v>
      </c>
      <c r="K9000">
        <v>2</v>
      </c>
      <c r="L9000">
        <v>0.2</v>
      </c>
      <c r="M9000">
        <v>21.42</v>
      </c>
    </row>
    <row r="9001" spans="1:13" x14ac:dyDescent="0.3">
      <c r="A9001" t="s">
        <v>62</v>
      </c>
      <c r="B9001" t="s">
        <v>22</v>
      </c>
      <c r="C9001" t="s">
        <v>15</v>
      </c>
      <c r="D9001" t="s">
        <v>75</v>
      </c>
      <c r="E9001" t="s">
        <v>76</v>
      </c>
      <c r="F9001">
        <v>10011</v>
      </c>
      <c r="G9001" t="s">
        <v>57</v>
      </c>
      <c r="H9001" t="s">
        <v>19</v>
      </c>
      <c r="I9001" t="s">
        <v>33</v>
      </c>
      <c r="J9001">
        <v>135.80000000000001</v>
      </c>
      <c r="K9001">
        <v>7</v>
      </c>
      <c r="L9001">
        <v>0</v>
      </c>
      <c r="M9001">
        <v>66.542000000000002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34</v>
      </c>
      <c r="J9002">
        <v>13.9</v>
      </c>
      <c r="K9002">
        <v>5</v>
      </c>
      <c r="L9002">
        <v>0</v>
      </c>
      <c r="M9002">
        <v>3.7530000000000001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23</v>
      </c>
      <c r="E9003" t="s">
        <v>24</v>
      </c>
      <c r="F9003">
        <v>90008</v>
      </c>
      <c r="G9003" t="s">
        <v>25</v>
      </c>
      <c r="H9003" t="s">
        <v>26</v>
      </c>
      <c r="I9003" t="s">
        <v>60</v>
      </c>
      <c r="J9003">
        <v>19.399999999999999</v>
      </c>
      <c r="K9003">
        <v>5</v>
      </c>
      <c r="L9003">
        <v>0</v>
      </c>
      <c r="M9003">
        <v>9.3119999999999994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13.488</v>
      </c>
      <c r="K9004">
        <v>2</v>
      </c>
      <c r="L9004">
        <v>0.2</v>
      </c>
      <c r="M9004">
        <v>4.3836000000000004</v>
      </c>
    </row>
    <row r="9005" spans="1:13" x14ac:dyDescent="0.3">
      <c r="A9005" t="s">
        <v>28</v>
      </c>
      <c r="B9005" t="s">
        <v>22</v>
      </c>
      <c r="C9005" t="s">
        <v>15</v>
      </c>
      <c r="D9005" t="s">
        <v>120</v>
      </c>
      <c r="E9005" t="s">
        <v>121</v>
      </c>
      <c r="F9005">
        <v>88220</v>
      </c>
      <c r="G9005" t="s">
        <v>25</v>
      </c>
      <c r="H9005" t="s">
        <v>26</v>
      </c>
      <c r="I9005" t="s">
        <v>37</v>
      </c>
      <c r="J9005">
        <v>11.416</v>
      </c>
      <c r="K9005">
        <v>1</v>
      </c>
      <c r="L9005">
        <v>0.2</v>
      </c>
      <c r="M9005">
        <v>3.8529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41</v>
      </c>
      <c r="J9006">
        <v>17.64</v>
      </c>
      <c r="K9006">
        <v>3</v>
      </c>
      <c r="L9006">
        <v>0</v>
      </c>
      <c r="M9006">
        <v>8.6435999999999993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540</v>
      </c>
      <c r="E9007" t="s">
        <v>437</v>
      </c>
      <c r="F9007">
        <v>83201</v>
      </c>
      <c r="G9007" t="s">
        <v>25</v>
      </c>
      <c r="H9007" t="s">
        <v>26</v>
      </c>
      <c r="I9007" t="s">
        <v>37</v>
      </c>
      <c r="J9007">
        <v>17.04</v>
      </c>
      <c r="K9007">
        <v>3</v>
      </c>
      <c r="L9007">
        <v>0.2</v>
      </c>
      <c r="M9007">
        <v>5.5380000000000003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35</v>
      </c>
      <c r="I9008" t="s">
        <v>59</v>
      </c>
      <c r="J9008">
        <v>99.98</v>
      </c>
      <c r="K9008">
        <v>2</v>
      </c>
      <c r="L9008">
        <v>0</v>
      </c>
      <c r="M9008">
        <v>7.9984000000000002</v>
      </c>
    </row>
    <row r="9009" spans="1:13" x14ac:dyDescent="0.3">
      <c r="A9009" t="s">
        <v>13</v>
      </c>
      <c r="B9009" t="s">
        <v>14</v>
      </c>
      <c r="C9009" t="s">
        <v>15</v>
      </c>
      <c r="D9009" t="s">
        <v>82</v>
      </c>
      <c r="E9009" t="s">
        <v>83</v>
      </c>
      <c r="F9009">
        <v>22153</v>
      </c>
      <c r="G9009" t="s">
        <v>18</v>
      </c>
      <c r="H9009" t="s">
        <v>19</v>
      </c>
      <c r="I9009" t="s">
        <v>33</v>
      </c>
      <c r="J9009">
        <v>29.46</v>
      </c>
      <c r="K9009">
        <v>6</v>
      </c>
      <c r="L9009">
        <v>0</v>
      </c>
      <c r="M9009">
        <v>9.7218</v>
      </c>
    </row>
    <row r="9010" spans="1:13" x14ac:dyDescent="0.3">
      <c r="A9010" t="s">
        <v>28</v>
      </c>
      <c r="B9010" t="s">
        <v>22</v>
      </c>
      <c r="C9010" t="s">
        <v>15</v>
      </c>
      <c r="D9010" t="s">
        <v>252</v>
      </c>
      <c r="E9010" t="s">
        <v>104</v>
      </c>
      <c r="F9010">
        <v>43615</v>
      </c>
      <c r="G9010" t="s">
        <v>57</v>
      </c>
      <c r="H9010" t="s">
        <v>26</v>
      </c>
      <c r="I9010" t="s">
        <v>37</v>
      </c>
      <c r="J9010">
        <v>166.92</v>
      </c>
      <c r="K9010">
        <v>13</v>
      </c>
      <c r="L9010">
        <v>0.7</v>
      </c>
      <c r="M9010">
        <v>-116.84399999999999</v>
      </c>
    </row>
    <row r="9011" spans="1:13" x14ac:dyDescent="0.3">
      <c r="A9011" t="s">
        <v>62</v>
      </c>
      <c r="B9011" t="s">
        <v>44</v>
      </c>
      <c r="C9011" t="s">
        <v>15</v>
      </c>
      <c r="D9011" t="s">
        <v>388</v>
      </c>
      <c r="E9011" t="s">
        <v>98</v>
      </c>
      <c r="F9011">
        <v>80525</v>
      </c>
      <c r="G9011" t="s">
        <v>25</v>
      </c>
      <c r="H9011" t="s">
        <v>19</v>
      </c>
      <c r="I9011" t="s">
        <v>33</v>
      </c>
      <c r="J9011">
        <v>98.328000000000003</v>
      </c>
      <c r="K9011">
        <v>3</v>
      </c>
      <c r="L9011">
        <v>0.2</v>
      </c>
      <c r="M9011">
        <v>9.8328000000000007</v>
      </c>
    </row>
    <row r="9012" spans="1:13" x14ac:dyDescent="0.3">
      <c r="A9012" t="s">
        <v>62</v>
      </c>
      <c r="B9012" t="s">
        <v>14</v>
      </c>
      <c r="C9012" t="s">
        <v>15</v>
      </c>
      <c r="D9012" t="s">
        <v>75</v>
      </c>
      <c r="E9012" t="s">
        <v>76</v>
      </c>
      <c r="F9012">
        <v>10024</v>
      </c>
      <c r="G9012" t="s">
        <v>57</v>
      </c>
      <c r="H9012" t="s">
        <v>19</v>
      </c>
      <c r="I9012" t="s">
        <v>21</v>
      </c>
      <c r="J9012">
        <v>117.88200000000001</v>
      </c>
      <c r="K9012">
        <v>1</v>
      </c>
      <c r="L9012">
        <v>0.1</v>
      </c>
      <c r="M9012">
        <v>1.3098000000000001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20.97</v>
      </c>
      <c r="K9013">
        <v>3</v>
      </c>
      <c r="L9013">
        <v>0</v>
      </c>
      <c r="M9013">
        <v>9.0170999999999992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35</v>
      </c>
      <c r="I9014" t="s">
        <v>59</v>
      </c>
      <c r="J9014">
        <v>139.96</v>
      </c>
      <c r="K9014">
        <v>4</v>
      </c>
      <c r="L9014">
        <v>0</v>
      </c>
      <c r="M9014">
        <v>9.7972000000000001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75</v>
      </c>
      <c r="E9015" t="s">
        <v>76</v>
      </c>
      <c r="F9015">
        <v>10035</v>
      </c>
      <c r="G9015" t="s">
        <v>57</v>
      </c>
      <c r="H9015" t="s">
        <v>19</v>
      </c>
      <c r="I9015" t="s">
        <v>33</v>
      </c>
      <c r="J9015">
        <v>37.74</v>
      </c>
      <c r="K9015">
        <v>3</v>
      </c>
      <c r="L9015">
        <v>0</v>
      </c>
      <c r="M9015">
        <v>12.8316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14.82</v>
      </c>
      <c r="K9016">
        <v>3</v>
      </c>
      <c r="L9016">
        <v>0</v>
      </c>
      <c r="M9016">
        <v>6.2244000000000002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609</v>
      </c>
      <c r="E9017" t="s">
        <v>166</v>
      </c>
      <c r="F9017">
        <v>1752</v>
      </c>
      <c r="G9017" t="s">
        <v>57</v>
      </c>
      <c r="H9017" t="s">
        <v>19</v>
      </c>
      <c r="I9017" t="s">
        <v>33</v>
      </c>
      <c r="J9017">
        <v>191.82</v>
      </c>
      <c r="K9017">
        <v>3</v>
      </c>
      <c r="L9017">
        <v>0</v>
      </c>
      <c r="M9017">
        <v>61.382399999999997</v>
      </c>
    </row>
    <row r="9018" spans="1:13" x14ac:dyDescent="0.3">
      <c r="A9018" t="s">
        <v>28</v>
      </c>
      <c r="B9018" t="s">
        <v>14</v>
      </c>
      <c r="C9018" t="s">
        <v>15</v>
      </c>
      <c r="D9018" t="s">
        <v>187</v>
      </c>
      <c r="E9018" t="s">
        <v>76</v>
      </c>
      <c r="F9018">
        <v>10801</v>
      </c>
      <c r="G9018" t="s">
        <v>57</v>
      </c>
      <c r="H9018" t="s">
        <v>26</v>
      </c>
      <c r="I9018" t="s">
        <v>37</v>
      </c>
      <c r="J9018">
        <v>13.904</v>
      </c>
      <c r="K9018">
        <v>2</v>
      </c>
      <c r="L9018">
        <v>0.2</v>
      </c>
      <c r="M9018">
        <v>4.5187999999999997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26</v>
      </c>
      <c r="I9019" t="s">
        <v>38</v>
      </c>
      <c r="J9019">
        <v>314.60000000000002</v>
      </c>
      <c r="K9019">
        <v>4</v>
      </c>
      <c r="L9019">
        <v>0</v>
      </c>
      <c r="M9019">
        <v>103.818</v>
      </c>
    </row>
    <row r="9020" spans="1:13" x14ac:dyDescent="0.3">
      <c r="A9020" t="s">
        <v>168</v>
      </c>
      <c r="B9020" t="s">
        <v>22</v>
      </c>
      <c r="C9020" t="s">
        <v>15</v>
      </c>
      <c r="D9020" t="s">
        <v>42</v>
      </c>
      <c r="E9020" t="s">
        <v>43</v>
      </c>
      <c r="F9020">
        <v>98103</v>
      </c>
      <c r="G9020" t="s">
        <v>25</v>
      </c>
      <c r="H9020" t="s">
        <v>19</v>
      </c>
      <c r="I9020" t="s">
        <v>31</v>
      </c>
      <c r="J9020">
        <v>283.56</v>
      </c>
      <c r="K9020">
        <v>4</v>
      </c>
      <c r="L9020">
        <v>0</v>
      </c>
      <c r="M9020">
        <v>45.369599999999998</v>
      </c>
    </row>
    <row r="9021" spans="1:13" x14ac:dyDescent="0.3">
      <c r="A9021" t="s">
        <v>28</v>
      </c>
      <c r="B9021" t="s">
        <v>44</v>
      </c>
      <c r="C9021" t="s">
        <v>15</v>
      </c>
      <c r="D9021" t="s">
        <v>140</v>
      </c>
      <c r="E9021" t="s">
        <v>70</v>
      </c>
      <c r="F9021">
        <v>48227</v>
      </c>
      <c r="G9021" t="s">
        <v>47</v>
      </c>
      <c r="H9021" t="s">
        <v>19</v>
      </c>
      <c r="I9021" t="s">
        <v>21</v>
      </c>
      <c r="J9021">
        <v>487.96</v>
      </c>
      <c r="K9021">
        <v>2</v>
      </c>
      <c r="L9021">
        <v>0</v>
      </c>
      <c r="M9021">
        <v>146.38800000000001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196</v>
      </c>
      <c r="E9022" t="s">
        <v>197</v>
      </c>
      <c r="F9022">
        <v>72701</v>
      </c>
      <c r="G9022" t="s">
        <v>18</v>
      </c>
      <c r="H9022" t="s">
        <v>26</v>
      </c>
      <c r="I9022" t="s">
        <v>37</v>
      </c>
      <c r="J9022">
        <v>1793.98</v>
      </c>
      <c r="K9022">
        <v>2</v>
      </c>
      <c r="L9022">
        <v>0</v>
      </c>
      <c r="M9022">
        <v>843.17060000000004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26</v>
      </c>
      <c r="I9023" t="s">
        <v>37</v>
      </c>
      <c r="J9023">
        <v>2.992</v>
      </c>
      <c r="K9023">
        <v>4</v>
      </c>
      <c r="L9023">
        <v>0.8</v>
      </c>
      <c r="M9023">
        <v>-4.4880000000000004</v>
      </c>
    </row>
    <row r="9024" spans="1:13" x14ac:dyDescent="0.3">
      <c r="A9024" t="s">
        <v>28</v>
      </c>
      <c r="B9024" t="s">
        <v>14</v>
      </c>
      <c r="C9024" t="s">
        <v>15</v>
      </c>
      <c r="D9024" t="s">
        <v>172</v>
      </c>
      <c r="E9024" t="s">
        <v>65</v>
      </c>
      <c r="F9024">
        <v>62301</v>
      </c>
      <c r="G9024" t="s">
        <v>47</v>
      </c>
      <c r="H9024" t="s">
        <v>35</v>
      </c>
      <c r="I9024" t="s">
        <v>59</v>
      </c>
      <c r="J9024">
        <v>108.768</v>
      </c>
      <c r="K9024">
        <v>4</v>
      </c>
      <c r="L9024">
        <v>0.2</v>
      </c>
      <c r="M9024">
        <v>2.7191999999999998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41</v>
      </c>
      <c r="J9025">
        <v>25.92</v>
      </c>
      <c r="K9025">
        <v>4</v>
      </c>
      <c r="L9025">
        <v>0</v>
      </c>
      <c r="M9025">
        <v>12.441599999999999</v>
      </c>
    </row>
    <row r="9026" spans="1:13" x14ac:dyDescent="0.3">
      <c r="A9026" t="s">
        <v>62</v>
      </c>
      <c r="B9026" t="s">
        <v>14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26</v>
      </c>
      <c r="I9026" t="s">
        <v>32</v>
      </c>
      <c r="J9026">
        <v>22.58</v>
      </c>
      <c r="K9026">
        <v>2</v>
      </c>
      <c r="L9026">
        <v>0</v>
      </c>
      <c r="M9026">
        <v>5.8708</v>
      </c>
    </row>
    <row r="9027" spans="1:13" x14ac:dyDescent="0.3">
      <c r="A9027" t="s">
        <v>168</v>
      </c>
      <c r="B9027" t="s">
        <v>14</v>
      </c>
      <c r="C9027" t="s">
        <v>15</v>
      </c>
      <c r="D9027" t="s">
        <v>61</v>
      </c>
      <c r="E9027" t="s">
        <v>46</v>
      </c>
      <c r="F9027">
        <v>77095</v>
      </c>
      <c r="G9027" t="s">
        <v>47</v>
      </c>
      <c r="H9027" t="s">
        <v>35</v>
      </c>
      <c r="I9027" t="s">
        <v>36</v>
      </c>
      <c r="J9027">
        <v>55.176000000000002</v>
      </c>
      <c r="K9027">
        <v>3</v>
      </c>
      <c r="L9027">
        <v>0.2</v>
      </c>
      <c r="M9027">
        <v>-12.4146</v>
      </c>
    </row>
    <row r="9028" spans="1:13" x14ac:dyDescent="0.3">
      <c r="A9028" t="s">
        <v>28</v>
      </c>
      <c r="B9028" t="s">
        <v>14</v>
      </c>
      <c r="C9028" t="s">
        <v>15</v>
      </c>
      <c r="D9028" t="s">
        <v>140</v>
      </c>
      <c r="E9028" t="s">
        <v>70</v>
      </c>
      <c r="F9028">
        <v>48205</v>
      </c>
      <c r="G9028" t="s">
        <v>47</v>
      </c>
      <c r="H9028" t="s">
        <v>26</v>
      </c>
      <c r="I9028" t="s">
        <v>37</v>
      </c>
      <c r="J9028">
        <v>9892.74</v>
      </c>
      <c r="K9028">
        <v>13</v>
      </c>
      <c r="L9028">
        <v>0</v>
      </c>
      <c r="M9028">
        <v>4946.37</v>
      </c>
    </row>
    <row r="9029" spans="1:13" x14ac:dyDescent="0.3">
      <c r="A9029" t="s">
        <v>28</v>
      </c>
      <c r="B9029" t="s">
        <v>22</v>
      </c>
      <c r="C9029" t="s">
        <v>15</v>
      </c>
      <c r="D9029" t="s">
        <v>523</v>
      </c>
      <c r="E9029" t="s">
        <v>81</v>
      </c>
      <c r="F9029">
        <v>85224</v>
      </c>
      <c r="G9029" t="s">
        <v>25</v>
      </c>
      <c r="H9029" t="s">
        <v>19</v>
      </c>
      <c r="I9029" t="s">
        <v>31</v>
      </c>
      <c r="J9029">
        <v>73.915000000000006</v>
      </c>
      <c r="K9029">
        <v>1</v>
      </c>
      <c r="L9029">
        <v>0.5</v>
      </c>
      <c r="M9029">
        <v>-45.827300000000001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479</v>
      </c>
      <c r="E9030" t="s">
        <v>30</v>
      </c>
      <c r="F9030">
        <v>33021</v>
      </c>
      <c r="G9030" t="s">
        <v>18</v>
      </c>
      <c r="H9030" t="s">
        <v>19</v>
      </c>
      <c r="I9030" t="s">
        <v>33</v>
      </c>
      <c r="J9030">
        <v>337.08800000000002</v>
      </c>
      <c r="K9030">
        <v>4</v>
      </c>
      <c r="L9030">
        <v>0.2</v>
      </c>
      <c r="M9030">
        <v>16.854399999999998</v>
      </c>
    </row>
    <row r="9031" spans="1:13" x14ac:dyDescent="0.3">
      <c r="A9031" t="s">
        <v>13</v>
      </c>
      <c r="B9031" t="s">
        <v>22</v>
      </c>
      <c r="C9031" t="s">
        <v>15</v>
      </c>
      <c r="D9031" t="s">
        <v>23</v>
      </c>
      <c r="E9031" t="s">
        <v>24</v>
      </c>
      <c r="F9031">
        <v>90049</v>
      </c>
      <c r="G9031" t="s">
        <v>25</v>
      </c>
      <c r="H9031" t="s">
        <v>26</v>
      </c>
      <c r="I9031" t="s">
        <v>38</v>
      </c>
      <c r="J9031">
        <v>61.44</v>
      </c>
      <c r="K9031">
        <v>3</v>
      </c>
      <c r="L9031">
        <v>0</v>
      </c>
      <c r="M9031">
        <v>16.588799999999999</v>
      </c>
    </row>
    <row r="9032" spans="1:13" x14ac:dyDescent="0.3">
      <c r="A9032" t="s">
        <v>28</v>
      </c>
      <c r="B9032" t="s">
        <v>22</v>
      </c>
      <c r="C9032" t="s">
        <v>15</v>
      </c>
      <c r="D9032" t="s">
        <v>52</v>
      </c>
      <c r="E9032" t="s">
        <v>24</v>
      </c>
      <c r="F9032">
        <v>94122</v>
      </c>
      <c r="G9032" t="s">
        <v>25</v>
      </c>
      <c r="H9032" t="s">
        <v>35</v>
      </c>
      <c r="I9032" t="s">
        <v>59</v>
      </c>
      <c r="J9032">
        <v>479.97</v>
      </c>
      <c r="K9032">
        <v>3</v>
      </c>
      <c r="L9032">
        <v>0</v>
      </c>
      <c r="M9032">
        <v>163.18979999999999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26</v>
      </c>
      <c r="I9033" t="s">
        <v>37</v>
      </c>
      <c r="J9033">
        <v>5.984</v>
      </c>
      <c r="K9033">
        <v>2</v>
      </c>
      <c r="L9033">
        <v>0.2</v>
      </c>
      <c r="M9033">
        <v>2.2440000000000002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189.95</v>
      </c>
      <c r="K9034">
        <v>5</v>
      </c>
      <c r="L9034">
        <v>0</v>
      </c>
      <c r="M9034">
        <v>45.588000000000001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35</v>
      </c>
      <c r="I9035" t="s">
        <v>59</v>
      </c>
      <c r="J9035">
        <v>149.94999999999999</v>
      </c>
      <c r="K9035">
        <v>5</v>
      </c>
      <c r="L9035">
        <v>0</v>
      </c>
      <c r="M9035">
        <v>31.4895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34</v>
      </c>
      <c r="J9036">
        <v>29.95</v>
      </c>
      <c r="K9036">
        <v>5</v>
      </c>
      <c r="L9036">
        <v>0</v>
      </c>
      <c r="M9036">
        <v>8.6854999999999993</v>
      </c>
    </row>
    <row r="9037" spans="1:13" x14ac:dyDescent="0.3">
      <c r="A9037" t="s">
        <v>13</v>
      </c>
      <c r="B9037" t="s">
        <v>22</v>
      </c>
      <c r="C9037" t="s">
        <v>15</v>
      </c>
      <c r="D9037" t="s">
        <v>368</v>
      </c>
      <c r="E9037" t="s">
        <v>24</v>
      </c>
      <c r="F9037">
        <v>94086</v>
      </c>
      <c r="G9037" t="s">
        <v>25</v>
      </c>
      <c r="H9037" t="s">
        <v>26</v>
      </c>
      <c r="I9037" t="s">
        <v>27</v>
      </c>
      <c r="J9037">
        <v>44.4</v>
      </c>
      <c r="K9037">
        <v>3</v>
      </c>
      <c r="L9037">
        <v>0</v>
      </c>
      <c r="M9037">
        <v>22.2</v>
      </c>
    </row>
    <row r="9038" spans="1:13" x14ac:dyDescent="0.3">
      <c r="A9038" t="s">
        <v>28</v>
      </c>
      <c r="B9038" t="s">
        <v>44</v>
      </c>
      <c r="C9038" t="s">
        <v>15</v>
      </c>
      <c r="D9038" t="s">
        <v>75</v>
      </c>
      <c r="E9038" t="s">
        <v>76</v>
      </c>
      <c r="F9038">
        <v>10011</v>
      </c>
      <c r="G9038" t="s">
        <v>57</v>
      </c>
      <c r="H9038" t="s">
        <v>26</v>
      </c>
      <c r="I9038" t="s">
        <v>34</v>
      </c>
      <c r="J9038">
        <v>66.03</v>
      </c>
      <c r="K9038">
        <v>3</v>
      </c>
      <c r="L9038">
        <v>0</v>
      </c>
      <c r="M9038">
        <v>17.1678</v>
      </c>
    </row>
    <row r="9039" spans="1:13" x14ac:dyDescent="0.3">
      <c r="A9039" t="s">
        <v>28</v>
      </c>
      <c r="B9039" t="s">
        <v>22</v>
      </c>
      <c r="C9039" t="s">
        <v>15</v>
      </c>
      <c r="D9039" t="s">
        <v>23</v>
      </c>
      <c r="E9039" t="s">
        <v>24</v>
      </c>
      <c r="F9039">
        <v>90004</v>
      </c>
      <c r="G9039" t="s">
        <v>25</v>
      </c>
      <c r="H9039" t="s">
        <v>26</v>
      </c>
      <c r="I9039" t="s">
        <v>41</v>
      </c>
      <c r="J9039">
        <v>10.86</v>
      </c>
      <c r="K9039">
        <v>2</v>
      </c>
      <c r="L9039">
        <v>0</v>
      </c>
      <c r="M9039">
        <v>5.3213999999999997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34</v>
      </c>
      <c r="J9040">
        <v>3.36</v>
      </c>
      <c r="K9040">
        <v>2</v>
      </c>
      <c r="L9040">
        <v>0</v>
      </c>
      <c r="M9040">
        <v>0.84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26</v>
      </c>
      <c r="I9041" t="s">
        <v>37</v>
      </c>
      <c r="J9041">
        <v>27.936</v>
      </c>
      <c r="K9041">
        <v>4</v>
      </c>
      <c r="L9041">
        <v>0.2</v>
      </c>
      <c r="M9041">
        <v>9.4283999999999999</v>
      </c>
    </row>
    <row r="9042" spans="1:13" x14ac:dyDescent="0.3">
      <c r="A9042" t="s">
        <v>13</v>
      </c>
      <c r="B9042" t="s">
        <v>22</v>
      </c>
      <c r="C9042" t="s">
        <v>15</v>
      </c>
      <c r="D9042" t="s">
        <v>52</v>
      </c>
      <c r="E9042" t="s">
        <v>24</v>
      </c>
      <c r="F9042">
        <v>94122</v>
      </c>
      <c r="G9042" t="s">
        <v>25</v>
      </c>
      <c r="H9042" t="s">
        <v>35</v>
      </c>
      <c r="I9042" t="s">
        <v>36</v>
      </c>
      <c r="J9042">
        <v>28.783999999999999</v>
      </c>
      <c r="K9042">
        <v>2</v>
      </c>
      <c r="L9042">
        <v>0.2</v>
      </c>
      <c r="M9042">
        <v>2.8784000000000001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240</v>
      </c>
      <c r="E9043" t="s">
        <v>24</v>
      </c>
      <c r="F9043">
        <v>92704</v>
      </c>
      <c r="G9043" t="s">
        <v>25</v>
      </c>
      <c r="H9043" t="s">
        <v>26</v>
      </c>
      <c r="I9043" t="s">
        <v>110</v>
      </c>
      <c r="J9043">
        <v>21.96</v>
      </c>
      <c r="K9043">
        <v>2</v>
      </c>
      <c r="L9043">
        <v>0</v>
      </c>
      <c r="M9043">
        <v>6.1487999999999996</v>
      </c>
    </row>
    <row r="9044" spans="1:13" x14ac:dyDescent="0.3">
      <c r="A9044" t="s">
        <v>13</v>
      </c>
      <c r="B9044" t="s">
        <v>14</v>
      </c>
      <c r="C9044" t="s">
        <v>15</v>
      </c>
      <c r="D9044" t="s">
        <v>42</v>
      </c>
      <c r="E9044" t="s">
        <v>43</v>
      </c>
      <c r="F9044">
        <v>98103</v>
      </c>
      <c r="G9044" t="s">
        <v>25</v>
      </c>
      <c r="H9044" t="s">
        <v>35</v>
      </c>
      <c r="I9044" t="s">
        <v>59</v>
      </c>
      <c r="J9044">
        <v>21.98</v>
      </c>
      <c r="K9044">
        <v>2</v>
      </c>
      <c r="L9044">
        <v>0</v>
      </c>
      <c r="M9044">
        <v>8.5722000000000005</v>
      </c>
    </row>
    <row r="9045" spans="1:13" x14ac:dyDescent="0.3">
      <c r="A9045" t="s">
        <v>62</v>
      </c>
      <c r="B9045" t="s">
        <v>44</v>
      </c>
      <c r="C9045" t="s">
        <v>15</v>
      </c>
      <c r="D9045" t="s">
        <v>75</v>
      </c>
      <c r="E9045" t="s">
        <v>76</v>
      </c>
      <c r="F9045">
        <v>10011</v>
      </c>
      <c r="G9045" t="s">
        <v>57</v>
      </c>
      <c r="H9045" t="s">
        <v>19</v>
      </c>
      <c r="I9045" t="s">
        <v>21</v>
      </c>
      <c r="J9045">
        <v>2621.3220000000001</v>
      </c>
      <c r="K9045">
        <v>11</v>
      </c>
      <c r="L9045">
        <v>0.1</v>
      </c>
      <c r="M9045">
        <v>553.39020000000005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33</v>
      </c>
      <c r="J9046">
        <v>74.760000000000005</v>
      </c>
      <c r="K9046">
        <v>7</v>
      </c>
      <c r="L9046">
        <v>0</v>
      </c>
      <c r="M9046">
        <v>23.923200000000001</v>
      </c>
    </row>
    <row r="9047" spans="1:13" x14ac:dyDescent="0.3">
      <c r="A9047" t="s">
        <v>28</v>
      </c>
      <c r="B9047" t="s">
        <v>14</v>
      </c>
      <c r="C9047" t="s">
        <v>15</v>
      </c>
      <c r="D9047" t="s">
        <v>23</v>
      </c>
      <c r="E9047" t="s">
        <v>24</v>
      </c>
      <c r="F9047">
        <v>90045</v>
      </c>
      <c r="G9047" t="s">
        <v>25</v>
      </c>
      <c r="H9047" t="s">
        <v>19</v>
      </c>
      <c r="I9047" t="s">
        <v>31</v>
      </c>
      <c r="J9047">
        <v>364.77600000000001</v>
      </c>
      <c r="K9047">
        <v>3</v>
      </c>
      <c r="L9047">
        <v>0.2</v>
      </c>
      <c r="M9047">
        <v>27.3582</v>
      </c>
    </row>
    <row r="9048" spans="1:13" x14ac:dyDescent="0.3">
      <c r="A9048" t="s">
        <v>28</v>
      </c>
      <c r="B9048" t="s">
        <v>22</v>
      </c>
      <c r="C9048" t="s">
        <v>15</v>
      </c>
      <c r="D9048" t="s">
        <v>42</v>
      </c>
      <c r="E9048" t="s">
        <v>43</v>
      </c>
      <c r="F9048">
        <v>98103</v>
      </c>
      <c r="G9048" t="s">
        <v>25</v>
      </c>
      <c r="H9048" t="s">
        <v>19</v>
      </c>
      <c r="I9048" t="s">
        <v>31</v>
      </c>
      <c r="J9048">
        <v>1115.17</v>
      </c>
      <c r="K9048">
        <v>7</v>
      </c>
      <c r="L9048">
        <v>0</v>
      </c>
      <c r="M9048">
        <v>334.55099999999999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37</v>
      </c>
      <c r="J9049">
        <v>89.695999999999998</v>
      </c>
      <c r="K9049">
        <v>4</v>
      </c>
      <c r="L9049">
        <v>0.2</v>
      </c>
      <c r="M9049">
        <v>33.636000000000003</v>
      </c>
    </row>
    <row r="9050" spans="1:13" x14ac:dyDescent="0.3">
      <c r="A9050" t="s">
        <v>62</v>
      </c>
      <c r="B9050" t="s">
        <v>22</v>
      </c>
      <c r="C9050" t="s">
        <v>15</v>
      </c>
      <c r="D9050" t="s">
        <v>144</v>
      </c>
      <c r="E9050" t="s">
        <v>24</v>
      </c>
      <c r="F9050">
        <v>92024</v>
      </c>
      <c r="G9050" t="s">
        <v>25</v>
      </c>
      <c r="H9050" t="s">
        <v>26</v>
      </c>
      <c r="I9050" t="s">
        <v>27</v>
      </c>
      <c r="J9050">
        <v>50.12</v>
      </c>
      <c r="K9050">
        <v>4</v>
      </c>
      <c r="L9050">
        <v>0</v>
      </c>
      <c r="M9050">
        <v>23.5564</v>
      </c>
    </row>
    <row r="9051" spans="1:13" x14ac:dyDescent="0.3">
      <c r="A9051" t="s">
        <v>28</v>
      </c>
      <c r="B9051" t="s">
        <v>22</v>
      </c>
      <c r="C9051" t="s">
        <v>15</v>
      </c>
      <c r="D9051" t="s">
        <v>75</v>
      </c>
      <c r="E9051" t="s">
        <v>76</v>
      </c>
      <c r="F9051">
        <v>10035</v>
      </c>
      <c r="G9051" t="s">
        <v>57</v>
      </c>
      <c r="H9051" t="s">
        <v>26</v>
      </c>
      <c r="I9051" t="s">
        <v>77</v>
      </c>
      <c r="J9051">
        <v>36.479999999999997</v>
      </c>
      <c r="K9051">
        <v>6</v>
      </c>
      <c r="L9051">
        <v>0</v>
      </c>
      <c r="M9051">
        <v>18.239999999999998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41</v>
      </c>
      <c r="J9052">
        <v>322.19200000000001</v>
      </c>
      <c r="K9052">
        <v>13</v>
      </c>
      <c r="L9052">
        <v>0.2</v>
      </c>
      <c r="M9052">
        <v>100.685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37</v>
      </c>
      <c r="J9053">
        <v>2.9460000000000002</v>
      </c>
      <c r="K9053">
        <v>3</v>
      </c>
      <c r="L9053">
        <v>0.8</v>
      </c>
      <c r="M9053">
        <v>-4.8609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79</v>
      </c>
      <c r="E9054" t="s">
        <v>65</v>
      </c>
      <c r="F9054">
        <v>60653</v>
      </c>
      <c r="G9054" t="s">
        <v>47</v>
      </c>
      <c r="H9054" t="s">
        <v>26</v>
      </c>
      <c r="I9054" t="s">
        <v>41</v>
      </c>
      <c r="J9054">
        <v>19.135999999999999</v>
      </c>
      <c r="K9054">
        <v>4</v>
      </c>
      <c r="L9054">
        <v>0.2</v>
      </c>
      <c r="M9054">
        <v>6.9367999999999999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278</v>
      </c>
      <c r="E9055" t="s">
        <v>83</v>
      </c>
      <c r="F9055">
        <v>22801</v>
      </c>
      <c r="G9055" t="s">
        <v>18</v>
      </c>
      <c r="H9055" t="s">
        <v>35</v>
      </c>
      <c r="I9055" t="s">
        <v>59</v>
      </c>
      <c r="J9055">
        <v>23.08</v>
      </c>
      <c r="K9055">
        <v>2</v>
      </c>
      <c r="L9055">
        <v>0</v>
      </c>
      <c r="M9055">
        <v>6.9240000000000004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281</v>
      </c>
      <c r="E9056" t="s">
        <v>248</v>
      </c>
      <c r="F9056">
        <v>20852</v>
      </c>
      <c r="G9056" t="s">
        <v>57</v>
      </c>
      <c r="H9056" t="s">
        <v>35</v>
      </c>
      <c r="I9056" t="s">
        <v>36</v>
      </c>
      <c r="J9056">
        <v>90.48</v>
      </c>
      <c r="K9056">
        <v>2</v>
      </c>
      <c r="L9056">
        <v>0</v>
      </c>
      <c r="M9056">
        <v>23.524799999999999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19</v>
      </c>
      <c r="I9057" t="s">
        <v>21</v>
      </c>
      <c r="J9057">
        <v>215.976</v>
      </c>
      <c r="K9057">
        <v>3</v>
      </c>
      <c r="L9057">
        <v>0.2</v>
      </c>
      <c r="M9057">
        <v>-2.6997</v>
      </c>
    </row>
    <row r="9058" spans="1:13" x14ac:dyDescent="0.3">
      <c r="A9058" t="s">
        <v>13</v>
      </c>
      <c r="B9058" t="s">
        <v>14</v>
      </c>
      <c r="C9058" t="s">
        <v>15</v>
      </c>
      <c r="D9058" t="s">
        <v>174</v>
      </c>
      <c r="E9058" t="s">
        <v>43</v>
      </c>
      <c r="F9058">
        <v>98198</v>
      </c>
      <c r="G9058" t="s">
        <v>25</v>
      </c>
      <c r="H9058" t="s">
        <v>26</v>
      </c>
      <c r="I9058" t="s">
        <v>60</v>
      </c>
      <c r="J9058">
        <v>65.94</v>
      </c>
      <c r="K9058">
        <v>3</v>
      </c>
      <c r="L9058">
        <v>0</v>
      </c>
      <c r="M9058">
        <v>30.991800000000001</v>
      </c>
    </row>
    <row r="9059" spans="1:13" x14ac:dyDescent="0.3">
      <c r="A9059" t="s">
        <v>62</v>
      </c>
      <c r="B9059" t="s">
        <v>22</v>
      </c>
      <c r="C9059" t="s">
        <v>15</v>
      </c>
      <c r="D9059" t="s">
        <v>55</v>
      </c>
      <c r="E9059" t="s">
        <v>56</v>
      </c>
      <c r="F9059">
        <v>19134</v>
      </c>
      <c r="G9059" t="s">
        <v>57</v>
      </c>
      <c r="H9059" t="s">
        <v>19</v>
      </c>
      <c r="I9059" t="s">
        <v>33</v>
      </c>
      <c r="J9059">
        <v>11.352</v>
      </c>
      <c r="K9059">
        <v>3</v>
      </c>
      <c r="L9059">
        <v>0.2</v>
      </c>
      <c r="M9059">
        <v>2.6960999999999999</v>
      </c>
    </row>
    <row r="9060" spans="1:13" x14ac:dyDescent="0.3">
      <c r="A9060" t="s">
        <v>28</v>
      </c>
      <c r="B9060" t="s">
        <v>44</v>
      </c>
      <c r="C9060" t="s">
        <v>15</v>
      </c>
      <c r="D9060" t="s">
        <v>103</v>
      </c>
      <c r="E9060" t="s">
        <v>74</v>
      </c>
      <c r="F9060">
        <v>47201</v>
      </c>
      <c r="G9060" t="s">
        <v>47</v>
      </c>
      <c r="H9060" t="s">
        <v>26</v>
      </c>
      <c r="I9060" t="s">
        <v>32</v>
      </c>
      <c r="J9060">
        <v>24.56</v>
      </c>
      <c r="K9060">
        <v>2</v>
      </c>
      <c r="L9060">
        <v>0</v>
      </c>
      <c r="M9060">
        <v>6.8768000000000002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26</v>
      </c>
      <c r="I9061" t="s">
        <v>60</v>
      </c>
      <c r="J9061">
        <v>16.559999999999999</v>
      </c>
      <c r="K9061">
        <v>2</v>
      </c>
      <c r="L9061">
        <v>0</v>
      </c>
      <c r="M9061">
        <v>7.7831999999999999</v>
      </c>
    </row>
    <row r="9062" spans="1:13" x14ac:dyDescent="0.3">
      <c r="A9062" t="s">
        <v>28</v>
      </c>
      <c r="B9062" t="s">
        <v>14</v>
      </c>
      <c r="C9062" t="s">
        <v>15</v>
      </c>
      <c r="D9062" t="s">
        <v>82</v>
      </c>
      <c r="E9062" t="s">
        <v>112</v>
      </c>
      <c r="F9062">
        <v>65807</v>
      </c>
      <c r="G9062" t="s">
        <v>47</v>
      </c>
      <c r="H9062" t="s">
        <v>35</v>
      </c>
      <c r="I9062" t="s">
        <v>59</v>
      </c>
      <c r="J9062">
        <v>279.95</v>
      </c>
      <c r="K9062">
        <v>5</v>
      </c>
      <c r="L9062">
        <v>0</v>
      </c>
      <c r="M9062">
        <v>67.188000000000002</v>
      </c>
    </row>
    <row r="9063" spans="1:13" x14ac:dyDescent="0.3">
      <c r="A9063" t="s">
        <v>28</v>
      </c>
      <c r="B9063" t="s">
        <v>22</v>
      </c>
      <c r="C9063" t="s">
        <v>15</v>
      </c>
      <c r="D9063" t="s">
        <v>16</v>
      </c>
      <c r="E9063" t="s">
        <v>17</v>
      </c>
      <c r="F9063">
        <v>42420</v>
      </c>
      <c r="G9063" t="s">
        <v>18</v>
      </c>
      <c r="H9063" t="s">
        <v>26</v>
      </c>
      <c r="I9063" t="s">
        <v>32</v>
      </c>
      <c r="J9063">
        <v>828.84</v>
      </c>
      <c r="K9063">
        <v>6</v>
      </c>
      <c r="L9063">
        <v>0</v>
      </c>
      <c r="M9063">
        <v>0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37</v>
      </c>
      <c r="J9064">
        <v>7.218</v>
      </c>
      <c r="K9064">
        <v>3</v>
      </c>
      <c r="L9064">
        <v>0.7</v>
      </c>
      <c r="M9064">
        <v>-5.5338000000000003</v>
      </c>
    </row>
    <row r="9065" spans="1:13" x14ac:dyDescent="0.3">
      <c r="A9065" t="s">
        <v>62</v>
      </c>
      <c r="B9065" t="s">
        <v>14</v>
      </c>
      <c r="C9065" t="s">
        <v>15</v>
      </c>
      <c r="D9065" t="s">
        <v>154</v>
      </c>
      <c r="E9065" t="s">
        <v>104</v>
      </c>
      <c r="F9065">
        <v>44107</v>
      </c>
      <c r="G9065" t="s">
        <v>57</v>
      </c>
      <c r="H9065" t="s">
        <v>26</v>
      </c>
      <c r="I9065" t="s">
        <v>110</v>
      </c>
      <c r="J9065">
        <v>27.2</v>
      </c>
      <c r="K9065">
        <v>4</v>
      </c>
      <c r="L9065">
        <v>0.2</v>
      </c>
      <c r="M9065">
        <v>2.04</v>
      </c>
    </row>
    <row r="9066" spans="1:13" x14ac:dyDescent="0.3">
      <c r="A9066" t="s">
        <v>28</v>
      </c>
      <c r="B9066" t="s">
        <v>22</v>
      </c>
      <c r="C9066" t="s">
        <v>15</v>
      </c>
      <c r="D9066" t="s">
        <v>238</v>
      </c>
      <c r="E9066" t="s">
        <v>54</v>
      </c>
      <c r="F9066">
        <v>68104</v>
      </c>
      <c r="G9066" t="s">
        <v>47</v>
      </c>
      <c r="H9066" t="s">
        <v>35</v>
      </c>
      <c r="I9066" t="s">
        <v>59</v>
      </c>
      <c r="J9066">
        <v>89.97</v>
      </c>
      <c r="K9066">
        <v>3</v>
      </c>
      <c r="L9066">
        <v>0</v>
      </c>
      <c r="M9066">
        <v>18.893699999999999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19</v>
      </c>
      <c r="I9067" t="s">
        <v>33</v>
      </c>
      <c r="J9067">
        <v>318.08</v>
      </c>
      <c r="K9067">
        <v>4</v>
      </c>
      <c r="L9067">
        <v>0</v>
      </c>
      <c r="M9067">
        <v>34.988799999999998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16</v>
      </c>
      <c r="E9068" t="s">
        <v>17</v>
      </c>
      <c r="F9068">
        <v>42420</v>
      </c>
      <c r="G9068" t="s">
        <v>18</v>
      </c>
      <c r="H9068" t="s">
        <v>26</v>
      </c>
      <c r="I9068" t="s">
        <v>37</v>
      </c>
      <c r="J9068">
        <v>5.8</v>
      </c>
      <c r="K9068">
        <v>1</v>
      </c>
      <c r="L9068">
        <v>0</v>
      </c>
      <c r="M9068">
        <v>2.61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35</v>
      </c>
      <c r="I9069" t="s">
        <v>36</v>
      </c>
      <c r="J9069">
        <v>143.952</v>
      </c>
      <c r="K9069">
        <v>6</v>
      </c>
      <c r="L9069">
        <v>0.2</v>
      </c>
      <c r="M9069">
        <v>17.994</v>
      </c>
    </row>
    <row r="9070" spans="1:13" x14ac:dyDescent="0.3">
      <c r="A9070" t="s">
        <v>13</v>
      </c>
      <c r="B9070" t="s">
        <v>22</v>
      </c>
      <c r="C9070" t="s">
        <v>15</v>
      </c>
      <c r="D9070" t="s">
        <v>240</v>
      </c>
      <c r="E9070" t="s">
        <v>24</v>
      </c>
      <c r="F9070">
        <v>92704</v>
      </c>
      <c r="G9070" t="s">
        <v>25</v>
      </c>
      <c r="H9070" t="s">
        <v>26</v>
      </c>
      <c r="I9070" t="s">
        <v>41</v>
      </c>
      <c r="J9070">
        <v>19.440000000000001</v>
      </c>
      <c r="K9070">
        <v>3</v>
      </c>
      <c r="L9070">
        <v>0</v>
      </c>
      <c r="M9070">
        <v>9.3312000000000008</v>
      </c>
    </row>
    <row r="9071" spans="1:13" x14ac:dyDescent="0.3">
      <c r="A9071" t="s">
        <v>28</v>
      </c>
      <c r="B9071" t="s">
        <v>14</v>
      </c>
      <c r="C9071" t="s">
        <v>15</v>
      </c>
      <c r="D9071" t="s">
        <v>82</v>
      </c>
      <c r="E9071" t="s">
        <v>83</v>
      </c>
      <c r="F9071">
        <v>22153</v>
      </c>
      <c r="G9071" t="s">
        <v>18</v>
      </c>
      <c r="H9071" t="s">
        <v>26</v>
      </c>
      <c r="I9071" t="s">
        <v>34</v>
      </c>
      <c r="J9071">
        <v>5.56</v>
      </c>
      <c r="K9071">
        <v>2</v>
      </c>
      <c r="L9071">
        <v>0</v>
      </c>
      <c r="M9071">
        <v>1.4456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32</v>
      </c>
      <c r="J9072">
        <v>146.72999999999999</v>
      </c>
      <c r="K9072">
        <v>3</v>
      </c>
      <c r="L9072">
        <v>0</v>
      </c>
      <c r="M9072">
        <v>2.9346000000000001</v>
      </c>
    </row>
    <row r="9073" spans="1:13" x14ac:dyDescent="0.3">
      <c r="A9073" t="s">
        <v>62</v>
      </c>
      <c r="B9073" t="s">
        <v>22</v>
      </c>
      <c r="C9073" t="s">
        <v>15</v>
      </c>
      <c r="D9073" t="s">
        <v>329</v>
      </c>
      <c r="E9073" t="s">
        <v>83</v>
      </c>
      <c r="F9073">
        <v>23434</v>
      </c>
      <c r="G9073" t="s">
        <v>18</v>
      </c>
      <c r="H9073" t="s">
        <v>26</v>
      </c>
      <c r="I9073" t="s">
        <v>41</v>
      </c>
      <c r="J9073">
        <v>29.9</v>
      </c>
      <c r="K9073">
        <v>5</v>
      </c>
      <c r="L9073">
        <v>0</v>
      </c>
      <c r="M9073">
        <v>13.455</v>
      </c>
    </row>
    <row r="9074" spans="1:13" x14ac:dyDescent="0.3">
      <c r="A9074" t="s">
        <v>13</v>
      </c>
      <c r="B9074" t="s">
        <v>14</v>
      </c>
      <c r="C9074" t="s">
        <v>15</v>
      </c>
      <c r="D9074" t="s">
        <v>23</v>
      </c>
      <c r="E9074" t="s">
        <v>24</v>
      </c>
      <c r="F9074">
        <v>90049</v>
      </c>
      <c r="G9074" t="s">
        <v>25</v>
      </c>
      <c r="H9074" t="s">
        <v>26</v>
      </c>
      <c r="I9074" t="s">
        <v>37</v>
      </c>
      <c r="J9074">
        <v>276.78399999999999</v>
      </c>
      <c r="K9074">
        <v>2</v>
      </c>
      <c r="L9074">
        <v>0.2</v>
      </c>
      <c r="M9074">
        <v>89.954800000000006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26</v>
      </c>
      <c r="I9075" t="s">
        <v>38</v>
      </c>
      <c r="J9075">
        <v>93.031999999999996</v>
      </c>
      <c r="K9075">
        <v>2</v>
      </c>
      <c r="L9075">
        <v>0.8</v>
      </c>
      <c r="M9075">
        <v>-251.18639999999999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61</v>
      </c>
      <c r="E9076" t="s">
        <v>46</v>
      </c>
      <c r="F9076">
        <v>77041</v>
      </c>
      <c r="G9076" t="s">
        <v>47</v>
      </c>
      <c r="H9076" t="s">
        <v>19</v>
      </c>
      <c r="I9076" t="s">
        <v>21</v>
      </c>
      <c r="J9076">
        <v>454.96499999999997</v>
      </c>
      <c r="K9076">
        <v>5</v>
      </c>
      <c r="L9076">
        <v>0.3</v>
      </c>
      <c r="M9076">
        <v>-136.48949999999999</v>
      </c>
    </row>
    <row r="9077" spans="1:13" x14ac:dyDescent="0.3">
      <c r="A9077" t="s">
        <v>28</v>
      </c>
      <c r="B9077" t="s">
        <v>22</v>
      </c>
      <c r="C9077" t="s">
        <v>15</v>
      </c>
      <c r="D9077" t="s">
        <v>226</v>
      </c>
      <c r="E9077" t="s">
        <v>40</v>
      </c>
      <c r="F9077">
        <v>27511</v>
      </c>
      <c r="G9077" t="s">
        <v>18</v>
      </c>
      <c r="H9077" t="s">
        <v>35</v>
      </c>
      <c r="I9077" t="s">
        <v>36</v>
      </c>
      <c r="J9077">
        <v>246.16800000000001</v>
      </c>
      <c r="K9077">
        <v>3</v>
      </c>
      <c r="L9077">
        <v>0.2</v>
      </c>
      <c r="M9077">
        <v>21.5397</v>
      </c>
    </row>
    <row r="9078" spans="1:13" x14ac:dyDescent="0.3">
      <c r="A9078" t="s">
        <v>13</v>
      </c>
      <c r="B9078" t="s">
        <v>14</v>
      </c>
      <c r="C9078" t="s">
        <v>15</v>
      </c>
      <c r="D9078" t="s">
        <v>82</v>
      </c>
      <c r="E9078" t="s">
        <v>104</v>
      </c>
      <c r="F9078">
        <v>45503</v>
      </c>
      <c r="G9078" t="s">
        <v>57</v>
      </c>
      <c r="H9078" t="s">
        <v>26</v>
      </c>
      <c r="I9078" t="s">
        <v>32</v>
      </c>
      <c r="J9078">
        <v>295.39999999999998</v>
      </c>
      <c r="K9078">
        <v>5</v>
      </c>
      <c r="L9078">
        <v>0.2</v>
      </c>
      <c r="M9078">
        <v>-62.772500000000001</v>
      </c>
    </row>
    <row r="9079" spans="1:13" x14ac:dyDescent="0.3">
      <c r="A9079" t="s">
        <v>62</v>
      </c>
      <c r="B9079" t="s">
        <v>14</v>
      </c>
      <c r="C9079" t="s">
        <v>15</v>
      </c>
      <c r="D9079" t="s">
        <v>183</v>
      </c>
      <c r="E9079" t="s">
        <v>17</v>
      </c>
      <c r="F9079">
        <v>40214</v>
      </c>
      <c r="G9079" t="s">
        <v>18</v>
      </c>
      <c r="H9079" t="s">
        <v>26</v>
      </c>
      <c r="I9079" t="s">
        <v>32</v>
      </c>
      <c r="J9079">
        <v>348.56</v>
      </c>
      <c r="K9079">
        <v>8</v>
      </c>
      <c r="L9079">
        <v>0</v>
      </c>
      <c r="M9079">
        <v>104.568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26</v>
      </c>
      <c r="I9080" t="s">
        <v>41</v>
      </c>
      <c r="J9080">
        <v>15.552</v>
      </c>
      <c r="K9080">
        <v>3</v>
      </c>
      <c r="L9080">
        <v>0.2</v>
      </c>
      <c r="M9080">
        <v>5.4432</v>
      </c>
    </row>
    <row r="9081" spans="1:13" x14ac:dyDescent="0.3">
      <c r="A9081" t="s">
        <v>13</v>
      </c>
      <c r="B9081" t="s">
        <v>22</v>
      </c>
      <c r="C9081" t="s">
        <v>15</v>
      </c>
      <c r="D9081" t="s">
        <v>78</v>
      </c>
      <c r="E9081" t="s">
        <v>104</v>
      </c>
      <c r="F9081">
        <v>45373</v>
      </c>
      <c r="G9081" t="s">
        <v>57</v>
      </c>
      <c r="H9081" t="s">
        <v>19</v>
      </c>
      <c r="I9081" t="s">
        <v>20</v>
      </c>
      <c r="J9081">
        <v>482.94</v>
      </c>
      <c r="K9081">
        <v>6</v>
      </c>
      <c r="L9081">
        <v>0.5</v>
      </c>
      <c r="M9081">
        <v>-376.69319999999999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35</v>
      </c>
      <c r="I9082" t="s">
        <v>36</v>
      </c>
      <c r="J9082">
        <v>299.98</v>
      </c>
      <c r="K9082">
        <v>2</v>
      </c>
      <c r="L9082">
        <v>0</v>
      </c>
      <c r="M9082">
        <v>83.994399999999999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26</v>
      </c>
      <c r="I9083" t="s">
        <v>37</v>
      </c>
      <c r="J9083">
        <v>403.68</v>
      </c>
      <c r="K9083">
        <v>6</v>
      </c>
      <c r="L9083">
        <v>0</v>
      </c>
      <c r="M9083">
        <v>181.65600000000001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35</v>
      </c>
      <c r="I9084" t="s">
        <v>36</v>
      </c>
      <c r="J9084">
        <v>41.9</v>
      </c>
      <c r="K9084">
        <v>2</v>
      </c>
      <c r="L9084">
        <v>0</v>
      </c>
      <c r="M9084">
        <v>11.731999999999999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140</v>
      </c>
      <c r="E9085" t="s">
        <v>70</v>
      </c>
      <c r="F9085">
        <v>48227</v>
      </c>
      <c r="G9085" t="s">
        <v>47</v>
      </c>
      <c r="H9085" t="s">
        <v>26</v>
      </c>
      <c r="I9085" t="s">
        <v>27</v>
      </c>
      <c r="J9085">
        <v>28.91</v>
      </c>
      <c r="K9085">
        <v>7</v>
      </c>
      <c r="L9085">
        <v>0</v>
      </c>
      <c r="M9085">
        <v>13.2986</v>
      </c>
    </row>
    <row r="9086" spans="1:13" x14ac:dyDescent="0.3">
      <c r="A9086" t="s">
        <v>28</v>
      </c>
      <c r="B9086" t="s">
        <v>14</v>
      </c>
      <c r="C9086" t="s">
        <v>15</v>
      </c>
      <c r="D9086" t="s">
        <v>107</v>
      </c>
      <c r="E9086" t="s">
        <v>74</v>
      </c>
      <c r="F9086">
        <v>47401</v>
      </c>
      <c r="G9086" t="s">
        <v>47</v>
      </c>
      <c r="H9086" t="s">
        <v>26</v>
      </c>
      <c r="I9086" t="s">
        <v>41</v>
      </c>
      <c r="J9086">
        <v>32.4</v>
      </c>
      <c r="K9086">
        <v>5</v>
      </c>
      <c r="L9086">
        <v>0</v>
      </c>
      <c r="M9086">
        <v>15.552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35</v>
      </c>
      <c r="I9087" t="s">
        <v>36</v>
      </c>
      <c r="J9087">
        <v>369.54399999999998</v>
      </c>
      <c r="K9087">
        <v>7</v>
      </c>
      <c r="L9087">
        <v>0.2</v>
      </c>
      <c r="M9087">
        <v>27.715800000000002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26</v>
      </c>
      <c r="I9088" t="s">
        <v>41</v>
      </c>
      <c r="J9088">
        <v>10.368</v>
      </c>
      <c r="K9088">
        <v>2</v>
      </c>
      <c r="L9088">
        <v>0.2</v>
      </c>
      <c r="M9088">
        <v>3.7584</v>
      </c>
    </row>
    <row r="9089" spans="1:13" x14ac:dyDescent="0.3">
      <c r="A9089" t="s">
        <v>28</v>
      </c>
      <c r="B9089" t="s">
        <v>44</v>
      </c>
      <c r="C9089" t="s">
        <v>15</v>
      </c>
      <c r="D9089" t="s">
        <v>135</v>
      </c>
      <c r="E9089" t="s">
        <v>46</v>
      </c>
      <c r="F9089">
        <v>75081</v>
      </c>
      <c r="G9089" t="s">
        <v>47</v>
      </c>
      <c r="H9089" t="s">
        <v>35</v>
      </c>
      <c r="I9089" t="s">
        <v>59</v>
      </c>
      <c r="J9089">
        <v>791.88</v>
      </c>
      <c r="K9089">
        <v>3</v>
      </c>
      <c r="L9089">
        <v>0.2</v>
      </c>
      <c r="M9089">
        <v>128.68049999999999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34</v>
      </c>
      <c r="J9090">
        <v>23.64</v>
      </c>
      <c r="K9090">
        <v>3</v>
      </c>
      <c r="L9090">
        <v>0.2</v>
      </c>
      <c r="M9090">
        <v>5.319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26</v>
      </c>
      <c r="I9091" t="s">
        <v>32</v>
      </c>
      <c r="J9091">
        <v>84.784000000000006</v>
      </c>
      <c r="K9091">
        <v>2</v>
      </c>
      <c r="L9091">
        <v>0.2</v>
      </c>
      <c r="M9091">
        <v>-16.956800000000001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19</v>
      </c>
      <c r="I9092" t="s">
        <v>33</v>
      </c>
      <c r="J9092">
        <v>64.959999999999994</v>
      </c>
      <c r="K9092">
        <v>5</v>
      </c>
      <c r="L9092">
        <v>0.6</v>
      </c>
      <c r="M9092">
        <v>-84.447999999999993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37</v>
      </c>
      <c r="J9093">
        <v>32.06</v>
      </c>
      <c r="K9093">
        <v>10</v>
      </c>
      <c r="L9093">
        <v>0.8</v>
      </c>
      <c r="M9093">
        <v>-51.295999999999999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26</v>
      </c>
      <c r="I9094" t="s">
        <v>32</v>
      </c>
      <c r="J9094">
        <v>177.648</v>
      </c>
      <c r="K9094">
        <v>2</v>
      </c>
      <c r="L9094">
        <v>0.2</v>
      </c>
      <c r="M9094">
        <v>-28.867799999999999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61</v>
      </c>
      <c r="E9095" t="s">
        <v>46</v>
      </c>
      <c r="F9095">
        <v>77041</v>
      </c>
      <c r="G9095" t="s">
        <v>47</v>
      </c>
      <c r="H9095" t="s">
        <v>35</v>
      </c>
      <c r="I9095" t="s">
        <v>123</v>
      </c>
      <c r="J9095">
        <v>287.91000000000003</v>
      </c>
      <c r="K9095">
        <v>3</v>
      </c>
      <c r="L9095">
        <v>0.4</v>
      </c>
      <c r="M9095">
        <v>33.589500000000001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110</v>
      </c>
      <c r="J9096">
        <v>22.367999999999999</v>
      </c>
      <c r="K9096">
        <v>2</v>
      </c>
      <c r="L9096">
        <v>0.2</v>
      </c>
      <c r="M9096">
        <v>1.6776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26</v>
      </c>
      <c r="I9097" t="s">
        <v>41</v>
      </c>
      <c r="J9097">
        <v>32.368000000000002</v>
      </c>
      <c r="K9097">
        <v>7</v>
      </c>
      <c r="L9097">
        <v>0.2</v>
      </c>
      <c r="M9097">
        <v>11.7334</v>
      </c>
    </row>
    <row r="9098" spans="1:13" x14ac:dyDescent="0.3">
      <c r="A9098" t="s">
        <v>62</v>
      </c>
      <c r="B9098" t="s">
        <v>22</v>
      </c>
      <c r="C9098" t="s">
        <v>15</v>
      </c>
      <c r="D9098" t="s">
        <v>408</v>
      </c>
      <c r="E9098" t="s">
        <v>46</v>
      </c>
      <c r="F9098">
        <v>76117</v>
      </c>
      <c r="G9098" t="s">
        <v>47</v>
      </c>
      <c r="H9098" t="s">
        <v>35</v>
      </c>
      <c r="I9098" t="s">
        <v>59</v>
      </c>
      <c r="J9098">
        <v>207.98400000000001</v>
      </c>
      <c r="K9098">
        <v>2</v>
      </c>
      <c r="L9098">
        <v>0.2</v>
      </c>
      <c r="M9098">
        <v>36.397199999999998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26</v>
      </c>
      <c r="I9099" t="s">
        <v>60</v>
      </c>
      <c r="J9099">
        <v>36.4</v>
      </c>
      <c r="K9099">
        <v>5</v>
      </c>
      <c r="L9099">
        <v>0</v>
      </c>
      <c r="M9099">
        <v>17.472000000000001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35</v>
      </c>
      <c r="I9100" t="s">
        <v>59</v>
      </c>
      <c r="J9100">
        <v>22.96</v>
      </c>
      <c r="K9100">
        <v>2</v>
      </c>
      <c r="L9100">
        <v>0</v>
      </c>
      <c r="M9100">
        <v>4.3624000000000001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32</v>
      </c>
      <c r="J9101">
        <v>315.2</v>
      </c>
      <c r="K9101">
        <v>4</v>
      </c>
      <c r="L9101">
        <v>0</v>
      </c>
      <c r="M9101">
        <v>6.3040000000000003</v>
      </c>
    </row>
    <row r="9102" spans="1:13" x14ac:dyDescent="0.3">
      <c r="A9102" t="s">
        <v>62</v>
      </c>
      <c r="B9102" t="s">
        <v>44</v>
      </c>
      <c r="C9102" t="s">
        <v>15</v>
      </c>
      <c r="D9102" t="s">
        <v>182</v>
      </c>
      <c r="E9102" t="s">
        <v>83</v>
      </c>
      <c r="F9102">
        <v>23223</v>
      </c>
      <c r="G9102" t="s">
        <v>18</v>
      </c>
      <c r="H9102" t="s">
        <v>26</v>
      </c>
      <c r="I9102" t="s">
        <v>37</v>
      </c>
      <c r="J9102">
        <v>15.18</v>
      </c>
      <c r="K9102">
        <v>3</v>
      </c>
      <c r="L9102">
        <v>0</v>
      </c>
      <c r="M9102">
        <v>7.1345999999999998</v>
      </c>
    </row>
    <row r="9103" spans="1:13" x14ac:dyDescent="0.3">
      <c r="A9103" t="s">
        <v>13</v>
      </c>
      <c r="B9103" t="s">
        <v>22</v>
      </c>
      <c r="C9103" t="s">
        <v>15</v>
      </c>
      <c r="D9103" t="s">
        <v>23</v>
      </c>
      <c r="E9103" t="s">
        <v>24</v>
      </c>
      <c r="F9103">
        <v>90049</v>
      </c>
      <c r="G9103" t="s">
        <v>25</v>
      </c>
      <c r="H9103" t="s">
        <v>35</v>
      </c>
      <c r="I9103" t="s">
        <v>36</v>
      </c>
      <c r="J9103">
        <v>623.96</v>
      </c>
      <c r="K9103">
        <v>5</v>
      </c>
      <c r="L9103">
        <v>0.2</v>
      </c>
      <c r="M9103">
        <v>38.997500000000002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35</v>
      </c>
      <c r="I9104" t="s">
        <v>36</v>
      </c>
      <c r="J9104">
        <v>429.6</v>
      </c>
      <c r="K9104">
        <v>2</v>
      </c>
      <c r="L9104">
        <v>0.4</v>
      </c>
      <c r="M9104">
        <v>-93.08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33</v>
      </c>
      <c r="J9105">
        <v>31.968</v>
      </c>
      <c r="K9105">
        <v>2</v>
      </c>
      <c r="L9105">
        <v>0.2</v>
      </c>
      <c r="M9105">
        <v>6.3936000000000002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19</v>
      </c>
      <c r="I9106" t="s">
        <v>21</v>
      </c>
      <c r="J9106">
        <v>887.27099999999996</v>
      </c>
      <c r="K9106">
        <v>3</v>
      </c>
      <c r="L9106">
        <v>0.3</v>
      </c>
      <c r="M9106">
        <v>-63.3765</v>
      </c>
    </row>
    <row r="9107" spans="1:13" x14ac:dyDescent="0.3">
      <c r="A9107" t="s">
        <v>13</v>
      </c>
      <c r="B9107" t="s">
        <v>14</v>
      </c>
      <c r="C9107" t="s">
        <v>15</v>
      </c>
      <c r="D9107" t="s">
        <v>55</v>
      </c>
      <c r="E9107" t="s">
        <v>56</v>
      </c>
      <c r="F9107">
        <v>19140</v>
      </c>
      <c r="G9107" t="s">
        <v>57</v>
      </c>
      <c r="H9107" t="s">
        <v>26</v>
      </c>
      <c r="I9107" t="s">
        <v>41</v>
      </c>
      <c r="J9107">
        <v>21.696000000000002</v>
      </c>
      <c r="K9107">
        <v>4</v>
      </c>
      <c r="L9107">
        <v>0.2</v>
      </c>
      <c r="M9107">
        <v>7.0511999999999997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27</v>
      </c>
      <c r="J9108">
        <v>22.05</v>
      </c>
      <c r="K9108">
        <v>7</v>
      </c>
      <c r="L9108">
        <v>0</v>
      </c>
      <c r="M9108">
        <v>10.584</v>
      </c>
    </row>
    <row r="9109" spans="1:13" x14ac:dyDescent="0.3">
      <c r="A9109" t="s">
        <v>28</v>
      </c>
      <c r="B9109" t="s">
        <v>44</v>
      </c>
      <c r="C9109" t="s">
        <v>15</v>
      </c>
      <c r="D9109" t="s">
        <v>23</v>
      </c>
      <c r="E9109" t="s">
        <v>24</v>
      </c>
      <c r="F9109">
        <v>90036</v>
      </c>
      <c r="G9109" t="s">
        <v>25</v>
      </c>
      <c r="H9109" t="s">
        <v>26</v>
      </c>
      <c r="I9109" t="s">
        <v>41</v>
      </c>
      <c r="J9109">
        <v>99.9</v>
      </c>
      <c r="K9109">
        <v>5</v>
      </c>
      <c r="L9109">
        <v>0</v>
      </c>
      <c r="M9109">
        <v>46.953000000000003</v>
      </c>
    </row>
    <row r="9110" spans="1:13" x14ac:dyDescent="0.3">
      <c r="A9110" t="s">
        <v>13</v>
      </c>
      <c r="B9110" t="s">
        <v>22</v>
      </c>
      <c r="C9110" t="s">
        <v>15</v>
      </c>
      <c r="D9110" t="s">
        <v>23</v>
      </c>
      <c r="E9110" t="s">
        <v>24</v>
      </c>
      <c r="F9110">
        <v>90032</v>
      </c>
      <c r="G9110" t="s">
        <v>25</v>
      </c>
      <c r="H9110" t="s">
        <v>26</v>
      </c>
      <c r="I9110" t="s">
        <v>38</v>
      </c>
      <c r="J9110">
        <v>90.86</v>
      </c>
      <c r="K9110">
        <v>7</v>
      </c>
      <c r="L9110">
        <v>0</v>
      </c>
      <c r="M9110">
        <v>26.349399999999999</v>
      </c>
    </row>
    <row r="9111" spans="1:13" x14ac:dyDescent="0.3">
      <c r="A9111" t="s">
        <v>168</v>
      </c>
      <c r="B9111" t="s">
        <v>14</v>
      </c>
      <c r="C9111" t="s">
        <v>15</v>
      </c>
      <c r="D9111" t="s">
        <v>52</v>
      </c>
      <c r="E9111" t="s">
        <v>24</v>
      </c>
      <c r="F9111">
        <v>94109</v>
      </c>
      <c r="G9111" t="s">
        <v>25</v>
      </c>
      <c r="H9111" t="s">
        <v>26</v>
      </c>
      <c r="I9111" t="s">
        <v>41</v>
      </c>
      <c r="J9111">
        <v>7.78</v>
      </c>
      <c r="K9111">
        <v>1</v>
      </c>
      <c r="L9111">
        <v>0</v>
      </c>
      <c r="M9111">
        <v>3.5009999999999999</v>
      </c>
    </row>
    <row r="9112" spans="1:13" x14ac:dyDescent="0.3">
      <c r="A9112" t="s">
        <v>13</v>
      </c>
      <c r="B9112" t="s">
        <v>14</v>
      </c>
      <c r="C9112" t="s">
        <v>15</v>
      </c>
      <c r="D9112" t="s">
        <v>55</v>
      </c>
      <c r="E9112" t="s">
        <v>56</v>
      </c>
      <c r="F9112">
        <v>19120</v>
      </c>
      <c r="G9112" t="s">
        <v>57</v>
      </c>
      <c r="H9112" t="s">
        <v>26</v>
      </c>
      <c r="I9112" t="s">
        <v>37</v>
      </c>
      <c r="J9112">
        <v>78.759</v>
      </c>
      <c r="K9112">
        <v>9</v>
      </c>
      <c r="L9112">
        <v>0.7</v>
      </c>
      <c r="M9112">
        <v>-57.756599999999999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9.5519999999999996</v>
      </c>
      <c r="K9113">
        <v>3</v>
      </c>
      <c r="L9113">
        <v>0.6</v>
      </c>
      <c r="M9113">
        <v>-3.8208000000000002</v>
      </c>
    </row>
    <row r="9114" spans="1:13" x14ac:dyDescent="0.3">
      <c r="A9114" t="s">
        <v>13</v>
      </c>
      <c r="B9114" t="s">
        <v>44</v>
      </c>
      <c r="C9114" t="s">
        <v>15</v>
      </c>
      <c r="D9114" t="s">
        <v>61</v>
      </c>
      <c r="E9114" t="s">
        <v>46</v>
      </c>
      <c r="F9114">
        <v>77070</v>
      </c>
      <c r="G9114" t="s">
        <v>47</v>
      </c>
      <c r="H9114" t="s">
        <v>19</v>
      </c>
      <c r="I9114" t="s">
        <v>33</v>
      </c>
      <c r="J9114">
        <v>5.3440000000000003</v>
      </c>
      <c r="K9114">
        <v>4</v>
      </c>
      <c r="L9114">
        <v>0.6</v>
      </c>
      <c r="M9114">
        <v>-2.1375999999999999</v>
      </c>
    </row>
    <row r="9115" spans="1:13" x14ac:dyDescent="0.3">
      <c r="A9115" t="s">
        <v>28</v>
      </c>
      <c r="B9115" t="s">
        <v>44</v>
      </c>
      <c r="C9115" t="s">
        <v>15</v>
      </c>
      <c r="D9115" t="s">
        <v>413</v>
      </c>
      <c r="E9115" t="s">
        <v>121</v>
      </c>
      <c r="F9115">
        <v>88001</v>
      </c>
      <c r="G9115" t="s">
        <v>25</v>
      </c>
      <c r="H9115" t="s">
        <v>26</v>
      </c>
      <c r="I9115" t="s">
        <v>34</v>
      </c>
      <c r="J9115">
        <v>8.2799999999999994</v>
      </c>
      <c r="K9115">
        <v>2</v>
      </c>
      <c r="L9115">
        <v>0</v>
      </c>
      <c r="M9115">
        <v>3.4775999999999998</v>
      </c>
    </row>
    <row r="9116" spans="1:13" x14ac:dyDescent="0.3">
      <c r="A9116" t="s">
        <v>28</v>
      </c>
      <c r="B9116" t="s">
        <v>14</v>
      </c>
      <c r="C9116" t="s">
        <v>15</v>
      </c>
      <c r="D9116" t="s">
        <v>61</v>
      </c>
      <c r="E9116" t="s">
        <v>46</v>
      </c>
      <c r="F9116">
        <v>77070</v>
      </c>
      <c r="G9116" t="s">
        <v>47</v>
      </c>
      <c r="H9116" t="s">
        <v>26</v>
      </c>
      <c r="I9116" t="s">
        <v>32</v>
      </c>
      <c r="J9116">
        <v>50.136000000000003</v>
      </c>
      <c r="K9116">
        <v>3</v>
      </c>
      <c r="L9116">
        <v>0.2</v>
      </c>
      <c r="M9116">
        <v>-11.2806</v>
      </c>
    </row>
    <row r="9117" spans="1:13" x14ac:dyDescent="0.3">
      <c r="A9117" t="s">
        <v>62</v>
      </c>
      <c r="B9117" t="s">
        <v>22</v>
      </c>
      <c r="C9117" t="s">
        <v>15</v>
      </c>
      <c r="D9117" t="s">
        <v>338</v>
      </c>
      <c r="E9117" t="s">
        <v>95</v>
      </c>
      <c r="F9117">
        <v>97756</v>
      </c>
      <c r="G9117" t="s">
        <v>25</v>
      </c>
      <c r="H9117" t="s">
        <v>26</v>
      </c>
      <c r="I9117" t="s">
        <v>37</v>
      </c>
      <c r="J9117">
        <v>88.073999999999998</v>
      </c>
      <c r="K9117">
        <v>7</v>
      </c>
      <c r="L9117">
        <v>0.7</v>
      </c>
      <c r="M9117">
        <v>-58.716000000000001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19</v>
      </c>
      <c r="I9118" t="s">
        <v>20</v>
      </c>
      <c r="J9118">
        <v>301.47000000000003</v>
      </c>
      <c r="K9118">
        <v>3</v>
      </c>
      <c r="L9118">
        <v>0.5</v>
      </c>
      <c r="M9118">
        <v>-241.17599999999999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221</v>
      </c>
      <c r="E9119" t="s">
        <v>104</v>
      </c>
      <c r="F9119">
        <v>44105</v>
      </c>
      <c r="G9119" t="s">
        <v>57</v>
      </c>
      <c r="H9119" t="s">
        <v>26</v>
      </c>
      <c r="I9119" t="s">
        <v>34</v>
      </c>
      <c r="J9119">
        <v>18.655999999999999</v>
      </c>
      <c r="K9119">
        <v>2</v>
      </c>
      <c r="L9119">
        <v>0.2</v>
      </c>
      <c r="M9119">
        <v>1.6324000000000001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19</v>
      </c>
      <c r="I9120" t="s">
        <v>33</v>
      </c>
      <c r="J9120">
        <v>27.46</v>
      </c>
      <c r="K9120">
        <v>2</v>
      </c>
      <c r="L9120">
        <v>0</v>
      </c>
      <c r="M9120">
        <v>9.8856000000000002</v>
      </c>
    </row>
    <row r="9121" spans="1:13" x14ac:dyDescent="0.3">
      <c r="A9121" t="s">
        <v>28</v>
      </c>
      <c r="B9121" t="s">
        <v>22</v>
      </c>
      <c r="C9121" t="s">
        <v>15</v>
      </c>
      <c r="D9121" t="s">
        <v>610</v>
      </c>
      <c r="E9121" t="s">
        <v>248</v>
      </c>
      <c r="F9121">
        <v>20707</v>
      </c>
      <c r="G9121" t="s">
        <v>57</v>
      </c>
      <c r="H9121" t="s">
        <v>26</v>
      </c>
      <c r="I9121" t="s">
        <v>38</v>
      </c>
      <c r="J9121">
        <v>125.13</v>
      </c>
      <c r="K9121">
        <v>3</v>
      </c>
      <c r="L9121">
        <v>0</v>
      </c>
      <c r="M9121">
        <v>36.287700000000001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144</v>
      </c>
      <c r="E9122" t="s">
        <v>24</v>
      </c>
      <c r="F9122">
        <v>92037</v>
      </c>
      <c r="G9122" t="s">
        <v>25</v>
      </c>
      <c r="H9122" t="s">
        <v>35</v>
      </c>
      <c r="I9122" t="s">
        <v>36</v>
      </c>
      <c r="J9122">
        <v>555.96</v>
      </c>
      <c r="K9122">
        <v>5</v>
      </c>
      <c r="L9122">
        <v>0.2</v>
      </c>
      <c r="M9122">
        <v>41.697000000000003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129.55199999999999</v>
      </c>
      <c r="K9123">
        <v>3</v>
      </c>
      <c r="L9123">
        <v>0.2</v>
      </c>
      <c r="M9123">
        <v>-22.671600000000002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32</v>
      </c>
      <c r="J9124">
        <v>51.984000000000002</v>
      </c>
      <c r="K9124">
        <v>1</v>
      </c>
      <c r="L9124">
        <v>0.2</v>
      </c>
      <c r="M9124">
        <v>-5.1984000000000004</v>
      </c>
    </row>
    <row r="9125" spans="1:13" x14ac:dyDescent="0.3">
      <c r="A9125" t="s">
        <v>28</v>
      </c>
      <c r="B9125" t="s">
        <v>22</v>
      </c>
      <c r="C9125" t="s">
        <v>15</v>
      </c>
      <c r="D9125" t="s">
        <v>573</v>
      </c>
      <c r="E9125" t="s">
        <v>40</v>
      </c>
      <c r="F9125">
        <v>27893</v>
      </c>
      <c r="G9125" t="s">
        <v>18</v>
      </c>
      <c r="H9125" t="s">
        <v>26</v>
      </c>
      <c r="I9125" t="s">
        <v>41</v>
      </c>
      <c r="J9125">
        <v>10.272</v>
      </c>
      <c r="K9125">
        <v>3</v>
      </c>
      <c r="L9125">
        <v>0.2</v>
      </c>
      <c r="M9125">
        <v>3.4668000000000001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26</v>
      </c>
      <c r="I9126" t="s">
        <v>37</v>
      </c>
      <c r="J9126">
        <v>18.335999999999999</v>
      </c>
      <c r="K9126">
        <v>2</v>
      </c>
      <c r="L9126">
        <v>0.7</v>
      </c>
      <c r="M9126">
        <v>-12.224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158</v>
      </c>
      <c r="E9127" t="s">
        <v>30</v>
      </c>
      <c r="F9127">
        <v>33710</v>
      </c>
      <c r="G9127" t="s">
        <v>18</v>
      </c>
      <c r="H9127" t="s">
        <v>35</v>
      </c>
      <c r="I9127" t="s">
        <v>36</v>
      </c>
      <c r="J9127">
        <v>180.96</v>
      </c>
      <c r="K9127">
        <v>5</v>
      </c>
      <c r="L9127">
        <v>0.2</v>
      </c>
      <c r="M9127">
        <v>13.571999999999999</v>
      </c>
    </row>
    <row r="9128" spans="1:13" x14ac:dyDescent="0.3">
      <c r="A9128" t="s">
        <v>28</v>
      </c>
      <c r="B9128" t="s">
        <v>14</v>
      </c>
      <c r="C9128" t="s">
        <v>15</v>
      </c>
      <c r="D9128" t="s">
        <v>543</v>
      </c>
      <c r="E9128" t="s">
        <v>65</v>
      </c>
      <c r="F9128">
        <v>60089</v>
      </c>
      <c r="G9128" t="s">
        <v>47</v>
      </c>
      <c r="H9128" t="s">
        <v>35</v>
      </c>
      <c r="I9128" t="s">
        <v>59</v>
      </c>
      <c r="J9128">
        <v>475.94400000000002</v>
      </c>
      <c r="K9128">
        <v>7</v>
      </c>
      <c r="L9128">
        <v>0.2</v>
      </c>
      <c r="M9128">
        <v>95.188800000000001</v>
      </c>
    </row>
    <row r="9129" spans="1:13" x14ac:dyDescent="0.3">
      <c r="A9129" t="s">
        <v>13</v>
      </c>
      <c r="B9129" t="s">
        <v>44</v>
      </c>
      <c r="C9129" t="s">
        <v>15</v>
      </c>
      <c r="D9129" t="s">
        <v>23</v>
      </c>
      <c r="E9129" t="s">
        <v>24</v>
      </c>
      <c r="F9129">
        <v>90049</v>
      </c>
      <c r="G9129" t="s">
        <v>25</v>
      </c>
      <c r="H9129" t="s">
        <v>35</v>
      </c>
      <c r="I9129" t="s">
        <v>59</v>
      </c>
      <c r="J9129">
        <v>159.97999999999999</v>
      </c>
      <c r="K9129">
        <v>2</v>
      </c>
      <c r="L9129">
        <v>0</v>
      </c>
      <c r="M9129">
        <v>47.994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75</v>
      </c>
      <c r="E9130" t="s">
        <v>76</v>
      </c>
      <c r="F9130">
        <v>10011</v>
      </c>
      <c r="G9130" t="s">
        <v>57</v>
      </c>
      <c r="H9130" t="s">
        <v>35</v>
      </c>
      <c r="I9130" t="s">
        <v>36</v>
      </c>
      <c r="J9130">
        <v>43.6</v>
      </c>
      <c r="K9130">
        <v>4</v>
      </c>
      <c r="L9130">
        <v>0</v>
      </c>
      <c r="M9130">
        <v>12.208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26</v>
      </c>
      <c r="I9131" t="s">
        <v>37</v>
      </c>
      <c r="J9131">
        <v>8.2880000000000003</v>
      </c>
      <c r="K9131">
        <v>2</v>
      </c>
      <c r="L9131">
        <v>0.2</v>
      </c>
      <c r="M9131">
        <v>3.0044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35</v>
      </c>
      <c r="I9132" t="s">
        <v>36</v>
      </c>
      <c r="J9132">
        <v>1123.1279999999999</v>
      </c>
      <c r="K9132">
        <v>9</v>
      </c>
      <c r="L9132">
        <v>0.2</v>
      </c>
      <c r="M9132">
        <v>70.195499999999996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176</v>
      </c>
      <c r="E9133" t="s">
        <v>177</v>
      </c>
      <c r="F9133">
        <v>89115</v>
      </c>
      <c r="G9133" t="s">
        <v>25</v>
      </c>
      <c r="H9133" t="s">
        <v>26</v>
      </c>
      <c r="I9133" t="s">
        <v>38</v>
      </c>
      <c r="J9133">
        <v>64.900000000000006</v>
      </c>
      <c r="K9133">
        <v>5</v>
      </c>
      <c r="L9133">
        <v>0</v>
      </c>
      <c r="M9133">
        <v>18.821000000000002</v>
      </c>
    </row>
    <row r="9134" spans="1:13" x14ac:dyDescent="0.3">
      <c r="A9134" t="s">
        <v>28</v>
      </c>
      <c r="B9134" t="s">
        <v>14</v>
      </c>
      <c r="C9134" t="s">
        <v>15</v>
      </c>
      <c r="D9134" t="s">
        <v>64</v>
      </c>
      <c r="E9134" t="s">
        <v>65</v>
      </c>
      <c r="F9134">
        <v>60540</v>
      </c>
      <c r="G9134" t="s">
        <v>47</v>
      </c>
      <c r="H9134" t="s">
        <v>26</v>
      </c>
      <c r="I9134" t="s">
        <v>37</v>
      </c>
      <c r="J9134">
        <v>2.8079999999999998</v>
      </c>
      <c r="K9134">
        <v>3</v>
      </c>
      <c r="L9134">
        <v>0.8</v>
      </c>
      <c r="M9134">
        <v>-4.4927999999999999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35</v>
      </c>
      <c r="I9135" t="s">
        <v>59</v>
      </c>
      <c r="J9135">
        <v>99.98</v>
      </c>
      <c r="K9135">
        <v>2</v>
      </c>
      <c r="L9135">
        <v>0</v>
      </c>
      <c r="M9135">
        <v>42.991399999999999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34</v>
      </c>
      <c r="J9136">
        <v>8.0399999999999991</v>
      </c>
      <c r="K9136">
        <v>6</v>
      </c>
      <c r="L9136">
        <v>0</v>
      </c>
      <c r="M9136">
        <v>2.7336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223</v>
      </c>
      <c r="E9137" t="s">
        <v>380</v>
      </c>
      <c r="F9137">
        <v>5408</v>
      </c>
      <c r="G9137" t="s">
        <v>57</v>
      </c>
      <c r="H9137" t="s">
        <v>26</v>
      </c>
      <c r="I9137" t="s">
        <v>32</v>
      </c>
      <c r="J9137">
        <v>1564.29</v>
      </c>
      <c r="K9137">
        <v>13</v>
      </c>
      <c r="L9137">
        <v>0</v>
      </c>
      <c r="M9137">
        <v>406.71539999999999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37</v>
      </c>
      <c r="J9138">
        <v>138.56</v>
      </c>
      <c r="K9138">
        <v>4</v>
      </c>
      <c r="L9138">
        <v>0</v>
      </c>
      <c r="M9138">
        <v>66.508799999999994</v>
      </c>
    </row>
    <row r="9139" spans="1:13" x14ac:dyDescent="0.3">
      <c r="A9139" t="s">
        <v>28</v>
      </c>
      <c r="B9139" t="s">
        <v>22</v>
      </c>
      <c r="C9139" t="s">
        <v>15</v>
      </c>
      <c r="D9139" t="s">
        <v>140</v>
      </c>
      <c r="E9139" t="s">
        <v>70</v>
      </c>
      <c r="F9139">
        <v>48234</v>
      </c>
      <c r="G9139" t="s">
        <v>47</v>
      </c>
      <c r="H9139" t="s">
        <v>26</v>
      </c>
      <c r="I9139" t="s">
        <v>38</v>
      </c>
      <c r="J9139">
        <v>65.52</v>
      </c>
      <c r="K9139">
        <v>5</v>
      </c>
      <c r="L9139">
        <v>0.1</v>
      </c>
      <c r="M9139">
        <v>12.375999999999999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26</v>
      </c>
      <c r="I9140" t="s">
        <v>34</v>
      </c>
      <c r="J9140">
        <v>14.576000000000001</v>
      </c>
      <c r="K9140">
        <v>2</v>
      </c>
      <c r="L9140">
        <v>0.2</v>
      </c>
      <c r="M9140">
        <v>2.3685999999999998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35</v>
      </c>
      <c r="I9141" t="s">
        <v>59</v>
      </c>
      <c r="J9141">
        <v>23.2</v>
      </c>
      <c r="K9141">
        <v>2</v>
      </c>
      <c r="L9141">
        <v>0.2</v>
      </c>
      <c r="M9141">
        <v>1.45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509</v>
      </c>
      <c r="E9142" t="s">
        <v>81</v>
      </c>
      <c r="F9142">
        <v>85323</v>
      </c>
      <c r="G9142" t="s">
        <v>25</v>
      </c>
      <c r="H9142" t="s">
        <v>26</v>
      </c>
      <c r="I9142" t="s">
        <v>34</v>
      </c>
      <c r="J9142">
        <v>16.463999999999999</v>
      </c>
      <c r="K9142">
        <v>7</v>
      </c>
      <c r="L9142">
        <v>0.2</v>
      </c>
      <c r="M9142">
        <v>1.8522000000000001</v>
      </c>
    </row>
    <row r="9143" spans="1:13" x14ac:dyDescent="0.3">
      <c r="A9143" t="s">
        <v>13</v>
      </c>
      <c r="B9143" t="s">
        <v>14</v>
      </c>
      <c r="C9143" t="s">
        <v>15</v>
      </c>
      <c r="D9143" t="s">
        <v>55</v>
      </c>
      <c r="E9143" t="s">
        <v>56</v>
      </c>
      <c r="F9143">
        <v>19140</v>
      </c>
      <c r="G9143" t="s">
        <v>57</v>
      </c>
      <c r="H9143" t="s">
        <v>19</v>
      </c>
      <c r="I9143" t="s">
        <v>33</v>
      </c>
      <c r="J9143">
        <v>19.312000000000001</v>
      </c>
      <c r="K9143">
        <v>2</v>
      </c>
      <c r="L9143">
        <v>0.2</v>
      </c>
      <c r="M9143">
        <v>3.1381999999999999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41</v>
      </c>
      <c r="J9144">
        <v>40.08</v>
      </c>
      <c r="K9144">
        <v>6</v>
      </c>
      <c r="L9144">
        <v>0</v>
      </c>
      <c r="M9144">
        <v>19.238399999999999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38</v>
      </c>
      <c r="J9145">
        <v>101.96</v>
      </c>
      <c r="K9145">
        <v>2</v>
      </c>
      <c r="L9145">
        <v>0</v>
      </c>
      <c r="M9145">
        <v>27.529199999999999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26</v>
      </c>
      <c r="I9146" t="s">
        <v>41</v>
      </c>
      <c r="J9146">
        <v>259.74</v>
      </c>
      <c r="K9146">
        <v>13</v>
      </c>
      <c r="L9146">
        <v>0</v>
      </c>
      <c r="M9146">
        <v>124.6752</v>
      </c>
    </row>
    <row r="9147" spans="1:13" x14ac:dyDescent="0.3">
      <c r="A9147" t="s">
        <v>28</v>
      </c>
      <c r="B9147" t="s">
        <v>22</v>
      </c>
      <c r="C9147" t="s">
        <v>15</v>
      </c>
      <c r="D9147" t="s">
        <v>381</v>
      </c>
      <c r="E9147" t="s">
        <v>382</v>
      </c>
      <c r="F9147">
        <v>4401</v>
      </c>
      <c r="G9147" t="s">
        <v>57</v>
      </c>
      <c r="H9147" t="s">
        <v>35</v>
      </c>
      <c r="I9147" t="s">
        <v>59</v>
      </c>
      <c r="J9147">
        <v>255.42</v>
      </c>
      <c r="K9147">
        <v>9</v>
      </c>
      <c r="L9147">
        <v>0</v>
      </c>
      <c r="M9147">
        <v>104.7222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4.3380000000000001</v>
      </c>
      <c r="K9148">
        <v>3</v>
      </c>
      <c r="L9148">
        <v>0.7</v>
      </c>
      <c r="M9148">
        <v>-3.0366</v>
      </c>
    </row>
    <row r="9149" spans="1:13" x14ac:dyDescent="0.3">
      <c r="A9149" t="s">
        <v>28</v>
      </c>
      <c r="B9149" t="s">
        <v>44</v>
      </c>
      <c r="C9149" t="s">
        <v>15</v>
      </c>
      <c r="D9149" t="s">
        <v>561</v>
      </c>
      <c r="E9149" t="s">
        <v>86</v>
      </c>
      <c r="F9149">
        <v>37075</v>
      </c>
      <c r="G9149" t="s">
        <v>18</v>
      </c>
      <c r="H9149" t="s">
        <v>26</v>
      </c>
      <c r="I9149" t="s">
        <v>37</v>
      </c>
      <c r="J9149">
        <v>11.88</v>
      </c>
      <c r="K9149">
        <v>5</v>
      </c>
      <c r="L9149">
        <v>0.7</v>
      </c>
      <c r="M9149">
        <v>-7.92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20</v>
      </c>
      <c r="J9150">
        <v>405.86</v>
      </c>
      <c r="K9150">
        <v>7</v>
      </c>
      <c r="L9150">
        <v>0</v>
      </c>
      <c r="M9150">
        <v>32.468800000000002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431</v>
      </c>
      <c r="E9151" t="s">
        <v>49</v>
      </c>
      <c r="F9151">
        <v>54703</v>
      </c>
      <c r="G9151" t="s">
        <v>47</v>
      </c>
      <c r="H9151" t="s">
        <v>19</v>
      </c>
      <c r="I9151" t="s">
        <v>21</v>
      </c>
      <c r="J9151">
        <v>680.01</v>
      </c>
      <c r="K9151">
        <v>3</v>
      </c>
      <c r="L9151">
        <v>0</v>
      </c>
      <c r="M9151">
        <v>176.80260000000001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35</v>
      </c>
      <c r="I9152" t="s">
        <v>59</v>
      </c>
      <c r="J9152">
        <v>2.3759999999999999</v>
      </c>
      <c r="K9152">
        <v>3</v>
      </c>
      <c r="L9152">
        <v>0.2</v>
      </c>
      <c r="M9152">
        <v>0.74250000000000005</v>
      </c>
    </row>
    <row r="9153" spans="1:13" x14ac:dyDescent="0.3">
      <c r="A9153" t="s">
        <v>28</v>
      </c>
      <c r="B9153" t="s">
        <v>14</v>
      </c>
      <c r="C9153" t="s">
        <v>15</v>
      </c>
      <c r="D9153" t="s">
        <v>79</v>
      </c>
      <c r="E9153" t="s">
        <v>65</v>
      </c>
      <c r="F9153">
        <v>60610</v>
      </c>
      <c r="G9153" t="s">
        <v>47</v>
      </c>
      <c r="H9153" t="s">
        <v>26</v>
      </c>
      <c r="I9153" t="s">
        <v>38</v>
      </c>
      <c r="J9153">
        <v>143.12799999999999</v>
      </c>
      <c r="K9153">
        <v>2</v>
      </c>
      <c r="L9153">
        <v>0.8</v>
      </c>
      <c r="M9153">
        <v>-393.60199999999998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35</v>
      </c>
      <c r="I9154" t="s">
        <v>123</v>
      </c>
      <c r="J9154">
        <v>4476.8</v>
      </c>
      <c r="K9154">
        <v>4</v>
      </c>
      <c r="L9154">
        <v>0.2</v>
      </c>
      <c r="M9154">
        <v>503.64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41</v>
      </c>
      <c r="J9155">
        <v>104.85</v>
      </c>
      <c r="K9155">
        <v>1</v>
      </c>
      <c r="L9155">
        <v>0</v>
      </c>
      <c r="M9155">
        <v>50.328000000000003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144</v>
      </c>
      <c r="E9156" t="s">
        <v>24</v>
      </c>
      <c r="F9156">
        <v>92037</v>
      </c>
      <c r="G9156" t="s">
        <v>25</v>
      </c>
      <c r="H9156" t="s">
        <v>26</v>
      </c>
      <c r="I9156" t="s">
        <v>38</v>
      </c>
      <c r="J9156">
        <v>241.44</v>
      </c>
      <c r="K9156">
        <v>3</v>
      </c>
      <c r="L9156">
        <v>0</v>
      </c>
      <c r="M9156">
        <v>72.432000000000002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319.76</v>
      </c>
      <c r="K9157">
        <v>14</v>
      </c>
      <c r="L9157">
        <v>0</v>
      </c>
      <c r="M9157">
        <v>147.08959999999999</v>
      </c>
    </row>
    <row r="9158" spans="1:13" x14ac:dyDescent="0.3">
      <c r="A9158" t="s">
        <v>28</v>
      </c>
      <c r="B9158" t="s">
        <v>44</v>
      </c>
      <c r="C9158" t="s">
        <v>15</v>
      </c>
      <c r="D9158" t="s">
        <v>84</v>
      </c>
      <c r="E9158" t="s">
        <v>185</v>
      </c>
      <c r="F9158">
        <v>39212</v>
      </c>
      <c r="G9158" t="s">
        <v>18</v>
      </c>
      <c r="H9158" t="s">
        <v>26</v>
      </c>
      <c r="I9158" t="s">
        <v>41</v>
      </c>
      <c r="J9158">
        <v>45.68</v>
      </c>
      <c r="K9158">
        <v>2</v>
      </c>
      <c r="L9158">
        <v>0</v>
      </c>
      <c r="M9158">
        <v>21.012799999999999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19</v>
      </c>
      <c r="I9159" t="s">
        <v>33</v>
      </c>
      <c r="J9159">
        <v>31.96</v>
      </c>
      <c r="K9159">
        <v>2</v>
      </c>
      <c r="L9159">
        <v>0</v>
      </c>
      <c r="M9159">
        <v>1.5980000000000001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41</v>
      </c>
      <c r="J9160">
        <v>47.9</v>
      </c>
      <c r="K9160">
        <v>1</v>
      </c>
      <c r="L9160">
        <v>0</v>
      </c>
      <c r="M9160">
        <v>22.992000000000001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32</v>
      </c>
      <c r="J9161">
        <v>1112.94</v>
      </c>
      <c r="K9161">
        <v>3</v>
      </c>
      <c r="L9161">
        <v>0</v>
      </c>
      <c r="M9161">
        <v>222.58799999999999</v>
      </c>
    </row>
    <row r="9162" spans="1:13" x14ac:dyDescent="0.3">
      <c r="A9162" t="s">
        <v>168</v>
      </c>
      <c r="B9162" t="s">
        <v>44</v>
      </c>
      <c r="C9162" t="s">
        <v>15</v>
      </c>
      <c r="D9162" t="s">
        <v>567</v>
      </c>
      <c r="E9162" t="s">
        <v>24</v>
      </c>
      <c r="F9162">
        <v>93030</v>
      </c>
      <c r="G9162" t="s">
        <v>25</v>
      </c>
      <c r="H9162" t="s">
        <v>26</v>
      </c>
      <c r="I9162" t="s">
        <v>60</v>
      </c>
      <c r="J9162">
        <v>22.92</v>
      </c>
      <c r="K9162">
        <v>3</v>
      </c>
      <c r="L9162">
        <v>0</v>
      </c>
      <c r="M9162">
        <v>11.2308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35</v>
      </c>
      <c r="I9163" t="s">
        <v>36</v>
      </c>
      <c r="J9163">
        <v>71.975999999999999</v>
      </c>
      <c r="K9163">
        <v>3</v>
      </c>
      <c r="L9163">
        <v>0.2</v>
      </c>
      <c r="M9163">
        <v>8.9969999999999999</v>
      </c>
    </row>
    <row r="9164" spans="1:13" x14ac:dyDescent="0.3">
      <c r="A9164" t="s">
        <v>13</v>
      </c>
      <c r="B9164" t="s">
        <v>14</v>
      </c>
      <c r="C9164" t="s">
        <v>15</v>
      </c>
      <c r="D9164" t="s">
        <v>324</v>
      </c>
      <c r="E9164" t="s">
        <v>43</v>
      </c>
      <c r="F9164">
        <v>98031</v>
      </c>
      <c r="G9164" t="s">
        <v>25</v>
      </c>
      <c r="H9164" t="s">
        <v>26</v>
      </c>
      <c r="I9164" t="s">
        <v>41</v>
      </c>
      <c r="J9164">
        <v>19.440000000000001</v>
      </c>
      <c r="K9164">
        <v>3</v>
      </c>
      <c r="L9164">
        <v>0</v>
      </c>
      <c r="M9164">
        <v>9.3312000000000008</v>
      </c>
    </row>
    <row r="9165" spans="1:13" x14ac:dyDescent="0.3">
      <c r="A9165" t="s">
        <v>28</v>
      </c>
      <c r="B9165" t="s">
        <v>22</v>
      </c>
      <c r="C9165" t="s">
        <v>15</v>
      </c>
      <c r="D9165" t="s">
        <v>405</v>
      </c>
      <c r="E9165" t="s">
        <v>86</v>
      </c>
      <c r="F9165">
        <v>37211</v>
      </c>
      <c r="G9165" t="s">
        <v>18</v>
      </c>
      <c r="H9165" t="s">
        <v>26</v>
      </c>
      <c r="I9165" t="s">
        <v>37</v>
      </c>
      <c r="J9165">
        <v>31.085999999999999</v>
      </c>
      <c r="K9165">
        <v>3</v>
      </c>
      <c r="L9165">
        <v>0.7</v>
      </c>
      <c r="M9165">
        <v>-20.724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35</v>
      </c>
      <c r="I9166" t="s">
        <v>36</v>
      </c>
      <c r="J9166">
        <v>13.98</v>
      </c>
      <c r="K9166">
        <v>2</v>
      </c>
      <c r="L9166">
        <v>0</v>
      </c>
      <c r="M9166">
        <v>3.9144000000000001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75</v>
      </c>
      <c r="E9167" t="s">
        <v>76</v>
      </c>
      <c r="F9167">
        <v>10035</v>
      </c>
      <c r="G9167" t="s">
        <v>57</v>
      </c>
      <c r="H9167" t="s">
        <v>26</v>
      </c>
      <c r="I9167" t="s">
        <v>34</v>
      </c>
      <c r="J9167">
        <v>23.65</v>
      </c>
      <c r="K9167">
        <v>1</v>
      </c>
      <c r="L9167">
        <v>0</v>
      </c>
      <c r="M9167">
        <v>6.149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35</v>
      </c>
      <c r="I9168" t="s">
        <v>36</v>
      </c>
      <c r="J9168">
        <v>707.88</v>
      </c>
      <c r="K9168">
        <v>3</v>
      </c>
      <c r="L9168">
        <v>0.2</v>
      </c>
      <c r="M9168">
        <v>44.2425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11.952</v>
      </c>
      <c r="K9169">
        <v>3</v>
      </c>
      <c r="L9169">
        <v>0.2</v>
      </c>
      <c r="M9169">
        <v>4.1832000000000003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26</v>
      </c>
      <c r="I9170" t="s">
        <v>37</v>
      </c>
      <c r="J9170">
        <v>31.128</v>
      </c>
      <c r="K9170">
        <v>3</v>
      </c>
      <c r="L9170">
        <v>0.2</v>
      </c>
      <c r="M9170">
        <v>11.673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35</v>
      </c>
      <c r="I9171" t="s">
        <v>59</v>
      </c>
      <c r="J9171">
        <v>55.76</v>
      </c>
      <c r="K9171">
        <v>4</v>
      </c>
      <c r="L9171">
        <v>0</v>
      </c>
      <c r="M9171">
        <v>7.8064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26</v>
      </c>
      <c r="I9172" t="s">
        <v>41</v>
      </c>
      <c r="J9172">
        <v>24.56</v>
      </c>
      <c r="K9172">
        <v>2</v>
      </c>
      <c r="L9172">
        <v>0</v>
      </c>
      <c r="M9172">
        <v>11.543200000000001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33</v>
      </c>
      <c r="J9173">
        <v>51.75</v>
      </c>
      <c r="K9173">
        <v>1</v>
      </c>
      <c r="L9173">
        <v>0</v>
      </c>
      <c r="M9173">
        <v>15.525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19</v>
      </c>
      <c r="I9174" t="s">
        <v>21</v>
      </c>
      <c r="J9174">
        <v>207.184</v>
      </c>
      <c r="K9174">
        <v>1</v>
      </c>
      <c r="L9174">
        <v>0.2</v>
      </c>
      <c r="M9174">
        <v>25.898</v>
      </c>
    </row>
    <row r="9175" spans="1:13" x14ac:dyDescent="0.3">
      <c r="A9175" t="s">
        <v>28</v>
      </c>
      <c r="B9175" t="s">
        <v>14</v>
      </c>
      <c r="C9175" t="s">
        <v>15</v>
      </c>
      <c r="D9175" t="s">
        <v>308</v>
      </c>
      <c r="E9175" t="s">
        <v>24</v>
      </c>
      <c r="F9175">
        <v>92683</v>
      </c>
      <c r="G9175" t="s">
        <v>25</v>
      </c>
      <c r="H9175" t="s">
        <v>26</v>
      </c>
      <c r="I9175" t="s">
        <v>38</v>
      </c>
      <c r="J9175">
        <v>1473.1</v>
      </c>
      <c r="K9175">
        <v>5</v>
      </c>
      <c r="L9175">
        <v>0</v>
      </c>
      <c r="M9175">
        <v>412.46800000000002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26</v>
      </c>
      <c r="I9176" t="s">
        <v>110</v>
      </c>
      <c r="J9176">
        <v>3.488</v>
      </c>
      <c r="K9176">
        <v>2</v>
      </c>
      <c r="L9176">
        <v>0.2</v>
      </c>
      <c r="M9176">
        <v>-0.6976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35</v>
      </c>
      <c r="I9177" t="s">
        <v>59</v>
      </c>
      <c r="J9177">
        <v>21.728000000000002</v>
      </c>
      <c r="K9177">
        <v>4</v>
      </c>
      <c r="L9177">
        <v>0.2</v>
      </c>
      <c r="M9177">
        <v>3.8024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32</v>
      </c>
      <c r="J9178">
        <v>663.072</v>
      </c>
      <c r="K9178">
        <v>6</v>
      </c>
      <c r="L9178">
        <v>0.2</v>
      </c>
      <c r="M9178">
        <v>-165.768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37</v>
      </c>
      <c r="J9179">
        <v>99.587999999999994</v>
      </c>
      <c r="K9179">
        <v>2</v>
      </c>
      <c r="L9179">
        <v>0.7</v>
      </c>
      <c r="M9179">
        <v>-82.99</v>
      </c>
    </row>
    <row r="9180" spans="1:13" x14ac:dyDescent="0.3">
      <c r="A9180" t="s">
        <v>28</v>
      </c>
      <c r="B9180" t="s">
        <v>44</v>
      </c>
      <c r="C9180" t="s">
        <v>15</v>
      </c>
      <c r="D9180" t="s">
        <v>312</v>
      </c>
      <c r="E9180" t="s">
        <v>56</v>
      </c>
      <c r="F9180">
        <v>18103</v>
      </c>
      <c r="G9180" t="s">
        <v>57</v>
      </c>
      <c r="H9180" t="s">
        <v>26</v>
      </c>
      <c r="I9180" t="s">
        <v>41</v>
      </c>
      <c r="J9180">
        <v>49.567999999999998</v>
      </c>
      <c r="K9180">
        <v>2</v>
      </c>
      <c r="L9180">
        <v>0.2</v>
      </c>
      <c r="M9180">
        <v>15.49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26</v>
      </c>
      <c r="I9181" t="s">
        <v>37</v>
      </c>
      <c r="J9181">
        <v>29.372</v>
      </c>
      <c r="K9181">
        <v>7</v>
      </c>
      <c r="L9181">
        <v>0.8</v>
      </c>
      <c r="M9181">
        <v>-46.995199999999997</v>
      </c>
    </row>
    <row r="9182" spans="1:13" x14ac:dyDescent="0.3">
      <c r="A9182" t="s">
        <v>28</v>
      </c>
      <c r="B9182" t="s">
        <v>22</v>
      </c>
      <c r="C9182" t="s">
        <v>15</v>
      </c>
      <c r="D9182" t="s">
        <v>122</v>
      </c>
      <c r="E9182" t="s">
        <v>46</v>
      </c>
      <c r="F9182">
        <v>78207</v>
      </c>
      <c r="G9182" t="s">
        <v>47</v>
      </c>
      <c r="H9182" t="s">
        <v>35</v>
      </c>
      <c r="I9182" t="s">
        <v>36</v>
      </c>
      <c r="J9182">
        <v>344.70400000000001</v>
      </c>
      <c r="K9182">
        <v>2</v>
      </c>
      <c r="L9182">
        <v>0.2</v>
      </c>
      <c r="M9182">
        <v>38.779200000000003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26</v>
      </c>
      <c r="I9183" t="s">
        <v>110</v>
      </c>
      <c r="J9183">
        <v>47.991999999999997</v>
      </c>
      <c r="K9183">
        <v>7</v>
      </c>
      <c r="L9183">
        <v>0.2</v>
      </c>
      <c r="M9183">
        <v>3.5994000000000002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509</v>
      </c>
      <c r="E9184" t="s">
        <v>81</v>
      </c>
      <c r="F9184">
        <v>85323</v>
      </c>
      <c r="G9184" t="s">
        <v>25</v>
      </c>
      <c r="H9184" t="s">
        <v>35</v>
      </c>
      <c r="I9184" t="s">
        <v>59</v>
      </c>
      <c r="J9184">
        <v>102.24</v>
      </c>
      <c r="K9184">
        <v>4</v>
      </c>
      <c r="L9184">
        <v>0.2</v>
      </c>
      <c r="M9184">
        <v>-16.614000000000001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26</v>
      </c>
      <c r="I9185" t="s">
        <v>41</v>
      </c>
      <c r="J9185">
        <v>39.96</v>
      </c>
      <c r="K9185">
        <v>2</v>
      </c>
      <c r="L9185">
        <v>0</v>
      </c>
      <c r="M9185">
        <v>19.180800000000001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35</v>
      </c>
      <c r="I9186" t="s">
        <v>36</v>
      </c>
      <c r="J9186">
        <v>1432</v>
      </c>
      <c r="K9186">
        <v>5</v>
      </c>
      <c r="L9186">
        <v>0.2</v>
      </c>
      <c r="M9186">
        <v>125.3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26</v>
      </c>
      <c r="I9187" t="s">
        <v>110</v>
      </c>
      <c r="J9187">
        <v>41.04</v>
      </c>
      <c r="K9187">
        <v>6</v>
      </c>
      <c r="L9187">
        <v>0</v>
      </c>
      <c r="M9187">
        <v>11.0808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117</v>
      </c>
      <c r="E9188" t="s">
        <v>24</v>
      </c>
      <c r="F9188">
        <v>95123</v>
      </c>
      <c r="G9188" t="s">
        <v>25</v>
      </c>
      <c r="H9188" t="s">
        <v>19</v>
      </c>
      <c r="I9188" t="s">
        <v>21</v>
      </c>
      <c r="J9188">
        <v>256.78399999999999</v>
      </c>
      <c r="K9188">
        <v>1</v>
      </c>
      <c r="L9188">
        <v>0.2</v>
      </c>
      <c r="M9188">
        <v>32.097999999999999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19</v>
      </c>
      <c r="I9189" t="s">
        <v>20</v>
      </c>
      <c r="J9189">
        <v>120.98</v>
      </c>
      <c r="K9189">
        <v>1</v>
      </c>
      <c r="L9189">
        <v>0</v>
      </c>
      <c r="M9189">
        <v>12.098000000000001</v>
      </c>
    </row>
    <row r="9190" spans="1:13" x14ac:dyDescent="0.3">
      <c r="A9190" t="s">
        <v>62</v>
      </c>
      <c r="B9190" t="s">
        <v>14</v>
      </c>
      <c r="C9190" t="s">
        <v>15</v>
      </c>
      <c r="D9190" t="s">
        <v>361</v>
      </c>
      <c r="E9190" t="s">
        <v>132</v>
      </c>
      <c r="F9190">
        <v>8861</v>
      </c>
      <c r="G9190" t="s">
        <v>57</v>
      </c>
      <c r="H9190" t="s">
        <v>26</v>
      </c>
      <c r="I9190" t="s">
        <v>37</v>
      </c>
      <c r="J9190">
        <v>315.98</v>
      </c>
      <c r="K9190">
        <v>1</v>
      </c>
      <c r="L9190">
        <v>0</v>
      </c>
      <c r="M9190">
        <v>148.51060000000001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37</v>
      </c>
      <c r="J9191">
        <v>28.751999999999999</v>
      </c>
      <c r="K9191">
        <v>3</v>
      </c>
      <c r="L9191">
        <v>0.2</v>
      </c>
      <c r="M9191">
        <v>10.0632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75</v>
      </c>
      <c r="E9192" t="s">
        <v>76</v>
      </c>
      <c r="F9192">
        <v>10011</v>
      </c>
      <c r="G9192" t="s">
        <v>57</v>
      </c>
      <c r="H9192" t="s">
        <v>26</v>
      </c>
      <c r="I9192" t="s">
        <v>34</v>
      </c>
      <c r="J9192">
        <v>114.95</v>
      </c>
      <c r="K9192">
        <v>5</v>
      </c>
      <c r="L9192">
        <v>0</v>
      </c>
      <c r="M9192">
        <v>32.186</v>
      </c>
    </row>
    <row r="9193" spans="1:13" x14ac:dyDescent="0.3">
      <c r="A9193" t="s">
        <v>28</v>
      </c>
      <c r="B9193" t="s">
        <v>22</v>
      </c>
      <c r="C9193" t="s">
        <v>15</v>
      </c>
      <c r="D9193" t="s">
        <v>23</v>
      </c>
      <c r="E9193" t="s">
        <v>24</v>
      </c>
      <c r="F9193">
        <v>90004</v>
      </c>
      <c r="G9193" t="s">
        <v>25</v>
      </c>
      <c r="H9193" t="s">
        <v>26</v>
      </c>
      <c r="I9193" t="s">
        <v>34</v>
      </c>
      <c r="J9193">
        <v>23.04</v>
      </c>
      <c r="K9193">
        <v>8</v>
      </c>
      <c r="L9193">
        <v>0</v>
      </c>
      <c r="M9193">
        <v>6.9119999999999999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34</v>
      </c>
      <c r="J9194">
        <v>15.48</v>
      </c>
      <c r="K9194">
        <v>3</v>
      </c>
      <c r="L9194">
        <v>0</v>
      </c>
      <c r="M9194">
        <v>4.4892000000000003</v>
      </c>
    </row>
    <row r="9195" spans="1:13" x14ac:dyDescent="0.3">
      <c r="A9195" t="s">
        <v>168</v>
      </c>
      <c r="B9195" t="s">
        <v>14</v>
      </c>
      <c r="C9195" t="s">
        <v>15</v>
      </c>
      <c r="D9195" t="s">
        <v>542</v>
      </c>
      <c r="E9195" t="s">
        <v>127</v>
      </c>
      <c r="F9195">
        <v>6460</v>
      </c>
      <c r="G9195" t="s">
        <v>57</v>
      </c>
      <c r="H9195" t="s">
        <v>26</v>
      </c>
      <c r="I9195" t="s">
        <v>41</v>
      </c>
      <c r="J9195">
        <v>51.84</v>
      </c>
      <c r="K9195">
        <v>8</v>
      </c>
      <c r="L9195">
        <v>0</v>
      </c>
      <c r="M9195">
        <v>24.883199999999999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107</v>
      </c>
      <c r="E9196" t="s">
        <v>65</v>
      </c>
      <c r="F9196">
        <v>61701</v>
      </c>
      <c r="G9196" t="s">
        <v>47</v>
      </c>
      <c r="H9196" t="s">
        <v>35</v>
      </c>
      <c r="I9196" t="s">
        <v>59</v>
      </c>
      <c r="J9196">
        <v>39.816000000000003</v>
      </c>
      <c r="K9196">
        <v>3</v>
      </c>
      <c r="L9196">
        <v>0.2</v>
      </c>
      <c r="M9196">
        <v>7.4654999999999996</v>
      </c>
    </row>
    <row r="9197" spans="1:13" x14ac:dyDescent="0.3">
      <c r="A9197" t="s">
        <v>13</v>
      </c>
      <c r="B9197" t="s">
        <v>22</v>
      </c>
      <c r="C9197" t="s">
        <v>15</v>
      </c>
      <c r="D9197" t="s">
        <v>42</v>
      </c>
      <c r="E9197" t="s">
        <v>43</v>
      </c>
      <c r="F9197">
        <v>98105</v>
      </c>
      <c r="G9197" t="s">
        <v>25</v>
      </c>
      <c r="H9197" t="s">
        <v>26</v>
      </c>
      <c r="I9197" t="s">
        <v>32</v>
      </c>
      <c r="J9197">
        <v>16.059999999999999</v>
      </c>
      <c r="K9197">
        <v>1</v>
      </c>
      <c r="L9197">
        <v>0</v>
      </c>
      <c r="M9197">
        <v>4.1756000000000002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60</v>
      </c>
      <c r="J9198">
        <v>7.28</v>
      </c>
      <c r="K9198">
        <v>1</v>
      </c>
      <c r="L9198">
        <v>0</v>
      </c>
      <c r="M9198">
        <v>3.4944000000000002</v>
      </c>
    </row>
    <row r="9199" spans="1:13" x14ac:dyDescent="0.3">
      <c r="A9199" t="s">
        <v>13</v>
      </c>
      <c r="B9199" t="s">
        <v>44</v>
      </c>
      <c r="C9199" t="s">
        <v>15</v>
      </c>
      <c r="D9199" t="s">
        <v>223</v>
      </c>
      <c r="E9199" t="s">
        <v>102</v>
      </c>
      <c r="F9199">
        <v>52601</v>
      </c>
      <c r="G9199" t="s">
        <v>47</v>
      </c>
      <c r="H9199" t="s">
        <v>26</v>
      </c>
      <c r="I9199" t="s">
        <v>37</v>
      </c>
      <c r="J9199">
        <v>5.4</v>
      </c>
      <c r="K9199">
        <v>3</v>
      </c>
      <c r="L9199">
        <v>0</v>
      </c>
      <c r="M9199">
        <v>2.5920000000000001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109</v>
      </c>
      <c r="E9200" t="s">
        <v>24</v>
      </c>
      <c r="F9200">
        <v>95661</v>
      </c>
      <c r="G9200" t="s">
        <v>25</v>
      </c>
      <c r="H9200" t="s">
        <v>26</v>
      </c>
      <c r="I9200" t="s">
        <v>41</v>
      </c>
      <c r="J9200">
        <v>19.440000000000001</v>
      </c>
      <c r="K9200">
        <v>3</v>
      </c>
      <c r="L9200">
        <v>0</v>
      </c>
      <c r="M9200">
        <v>9.3312000000000008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39.880000000000003</v>
      </c>
      <c r="K9201">
        <v>2</v>
      </c>
      <c r="L9201">
        <v>0</v>
      </c>
      <c r="M9201">
        <v>11.166399999999999</v>
      </c>
    </row>
    <row r="9202" spans="1:13" x14ac:dyDescent="0.3">
      <c r="A9202" t="s">
        <v>28</v>
      </c>
      <c r="B9202" t="s">
        <v>22</v>
      </c>
      <c r="C9202" t="s">
        <v>15</v>
      </c>
      <c r="D9202" t="s">
        <v>52</v>
      </c>
      <c r="E9202" t="s">
        <v>24</v>
      </c>
      <c r="F9202">
        <v>94110</v>
      </c>
      <c r="G9202" t="s">
        <v>25</v>
      </c>
      <c r="H9202" t="s">
        <v>19</v>
      </c>
      <c r="I9202" t="s">
        <v>33</v>
      </c>
      <c r="J9202">
        <v>79.44</v>
      </c>
      <c r="K9202">
        <v>3</v>
      </c>
      <c r="L9202">
        <v>0</v>
      </c>
      <c r="M9202">
        <v>28.598400000000002</v>
      </c>
    </row>
    <row r="9203" spans="1:13" x14ac:dyDescent="0.3">
      <c r="A9203" t="s">
        <v>62</v>
      </c>
      <c r="B9203" t="s">
        <v>22</v>
      </c>
      <c r="C9203" t="s">
        <v>15</v>
      </c>
      <c r="D9203" t="s">
        <v>55</v>
      </c>
      <c r="E9203" t="s">
        <v>56</v>
      </c>
      <c r="F9203">
        <v>19120</v>
      </c>
      <c r="G9203" t="s">
        <v>57</v>
      </c>
      <c r="H9203" t="s">
        <v>26</v>
      </c>
      <c r="I9203" t="s">
        <v>27</v>
      </c>
      <c r="J9203">
        <v>20.664000000000001</v>
      </c>
      <c r="K9203">
        <v>7</v>
      </c>
      <c r="L9203">
        <v>0.2</v>
      </c>
      <c r="M9203">
        <v>6.9741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23</v>
      </c>
      <c r="E9204" t="s">
        <v>24</v>
      </c>
      <c r="F9204">
        <v>90049</v>
      </c>
      <c r="G9204" t="s">
        <v>25</v>
      </c>
      <c r="H9204" t="s">
        <v>26</v>
      </c>
      <c r="I9204" t="s">
        <v>41</v>
      </c>
      <c r="J9204">
        <v>32.4</v>
      </c>
      <c r="K9204">
        <v>5</v>
      </c>
      <c r="L9204">
        <v>0</v>
      </c>
      <c r="M9204">
        <v>15.552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462</v>
      </c>
      <c r="E9205" t="s">
        <v>46</v>
      </c>
      <c r="F9205">
        <v>79762</v>
      </c>
      <c r="G9205" t="s">
        <v>47</v>
      </c>
      <c r="H9205" t="s">
        <v>26</v>
      </c>
      <c r="I9205" t="s">
        <v>38</v>
      </c>
      <c r="J9205">
        <v>13.762</v>
      </c>
      <c r="K9205">
        <v>1</v>
      </c>
      <c r="L9205">
        <v>0.8</v>
      </c>
      <c r="M9205">
        <v>-24.771599999999999</v>
      </c>
    </row>
    <row r="9206" spans="1:13" x14ac:dyDescent="0.3">
      <c r="A9206" t="s">
        <v>62</v>
      </c>
      <c r="B9206" t="s">
        <v>44</v>
      </c>
      <c r="C9206" t="s">
        <v>15</v>
      </c>
      <c r="D9206" t="s">
        <v>93</v>
      </c>
      <c r="E9206" t="s">
        <v>68</v>
      </c>
      <c r="F9206">
        <v>55407</v>
      </c>
      <c r="G9206" t="s">
        <v>47</v>
      </c>
      <c r="H9206" t="s">
        <v>26</v>
      </c>
      <c r="I9206" t="s">
        <v>60</v>
      </c>
      <c r="J9206">
        <v>15.28</v>
      </c>
      <c r="K9206">
        <v>2</v>
      </c>
      <c r="L9206">
        <v>0</v>
      </c>
      <c r="M9206">
        <v>7.4871999999999996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26</v>
      </c>
      <c r="I9207" t="s">
        <v>32</v>
      </c>
      <c r="J9207">
        <v>44.688000000000002</v>
      </c>
      <c r="K9207">
        <v>7</v>
      </c>
      <c r="L9207">
        <v>0.2</v>
      </c>
      <c r="M9207">
        <v>3.3515999999999999</v>
      </c>
    </row>
    <row r="9208" spans="1:13" x14ac:dyDescent="0.3">
      <c r="A9208" t="s">
        <v>28</v>
      </c>
      <c r="B9208" t="s">
        <v>14</v>
      </c>
      <c r="C9208" t="s">
        <v>15</v>
      </c>
      <c r="D9208" t="s">
        <v>55</v>
      </c>
      <c r="E9208" t="s">
        <v>56</v>
      </c>
      <c r="F9208">
        <v>19120</v>
      </c>
      <c r="G9208" t="s">
        <v>57</v>
      </c>
      <c r="H9208" t="s">
        <v>19</v>
      </c>
      <c r="I9208" t="s">
        <v>20</v>
      </c>
      <c r="J9208">
        <v>301.47000000000003</v>
      </c>
      <c r="K9208">
        <v>3</v>
      </c>
      <c r="L9208">
        <v>0.5</v>
      </c>
      <c r="M9208">
        <v>-204.99959999999999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26</v>
      </c>
      <c r="I9209" t="s">
        <v>27</v>
      </c>
      <c r="J9209">
        <v>11.07</v>
      </c>
      <c r="K9209">
        <v>3</v>
      </c>
      <c r="L9209">
        <v>0</v>
      </c>
      <c r="M9209">
        <v>5.2028999999999996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19</v>
      </c>
      <c r="I9210" t="s">
        <v>31</v>
      </c>
      <c r="J9210">
        <v>1504.52</v>
      </c>
      <c r="K9210">
        <v>4</v>
      </c>
      <c r="L9210">
        <v>0</v>
      </c>
      <c r="M9210">
        <v>346.03960000000001</v>
      </c>
    </row>
    <row r="9211" spans="1:13" x14ac:dyDescent="0.3">
      <c r="A9211" t="s">
        <v>62</v>
      </c>
      <c r="B9211" t="s">
        <v>14</v>
      </c>
      <c r="C9211" t="s">
        <v>15</v>
      </c>
      <c r="D9211" t="s">
        <v>325</v>
      </c>
      <c r="E9211" t="s">
        <v>125</v>
      </c>
      <c r="F9211">
        <v>70506</v>
      </c>
      <c r="G9211" t="s">
        <v>18</v>
      </c>
      <c r="H9211" t="s">
        <v>26</v>
      </c>
      <c r="I9211" t="s">
        <v>41</v>
      </c>
      <c r="J9211">
        <v>25.92</v>
      </c>
      <c r="K9211">
        <v>4</v>
      </c>
      <c r="L9211">
        <v>0</v>
      </c>
      <c r="M9211">
        <v>12.441599999999999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7.5359999999999996</v>
      </c>
      <c r="K9212">
        <v>6</v>
      </c>
      <c r="L9212">
        <v>0.8</v>
      </c>
      <c r="M9212">
        <v>-13.188000000000001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1.4079999999999999</v>
      </c>
      <c r="K9213">
        <v>2</v>
      </c>
      <c r="L9213">
        <v>0.8</v>
      </c>
      <c r="M9213">
        <v>-2.3231999999999999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37</v>
      </c>
      <c r="J9214">
        <v>4.1440000000000001</v>
      </c>
      <c r="K9214">
        <v>4</v>
      </c>
      <c r="L9214">
        <v>0.8</v>
      </c>
      <c r="M9214">
        <v>-6.4231999999999996</v>
      </c>
    </row>
    <row r="9215" spans="1:13" x14ac:dyDescent="0.3">
      <c r="A9215" t="s">
        <v>168</v>
      </c>
      <c r="B9215" t="s">
        <v>44</v>
      </c>
      <c r="C9215" t="s">
        <v>15</v>
      </c>
      <c r="D9215" t="s">
        <v>611</v>
      </c>
      <c r="E9215" t="s">
        <v>46</v>
      </c>
      <c r="F9215">
        <v>77803</v>
      </c>
      <c r="G9215" t="s">
        <v>47</v>
      </c>
      <c r="H9215" t="s">
        <v>26</v>
      </c>
      <c r="I9215" t="s">
        <v>32</v>
      </c>
      <c r="J9215">
        <v>52.752000000000002</v>
      </c>
      <c r="K9215">
        <v>3</v>
      </c>
      <c r="L9215">
        <v>0.2</v>
      </c>
      <c r="M9215">
        <v>-12.528600000000001</v>
      </c>
    </row>
    <row r="9216" spans="1:13" x14ac:dyDescent="0.3">
      <c r="A9216" t="s">
        <v>28</v>
      </c>
      <c r="B9216" t="s">
        <v>22</v>
      </c>
      <c r="C9216" t="s">
        <v>15</v>
      </c>
      <c r="D9216" t="s">
        <v>23</v>
      </c>
      <c r="E9216" t="s">
        <v>24</v>
      </c>
      <c r="F9216">
        <v>90008</v>
      </c>
      <c r="G9216" t="s">
        <v>25</v>
      </c>
      <c r="H9216" t="s">
        <v>26</v>
      </c>
      <c r="I9216" t="s">
        <v>38</v>
      </c>
      <c r="J9216">
        <v>381.36</v>
      </c>
      <c r="K9216">
        <v>7</v>
      </c>
      <c r="L9216">
        <v>0</v>
      </c>
      <c r="M9216">
        <v>106.7808</v>
      </c>
    </row>
    <row r="9217" spans="1:13" x14ac:dyDescent="0.3">
      <c r="A9217" t="s">
        <v>168</v>
      </c>
      <c r="B9217" t="s">
        <v>44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34</v>
      </c>
      <c r="J9217">
        <v>6.72</v>
      </c>
      <c r="K9217">
        <v>4</v>
      </c>
      <c r="L9217">
        <v>0</v>
      </c>
      <c r="M9217">
        <v>3.36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37</v>
      </c>
      <c r="J9218">
        <v>15.192</v>
      </c>
      <c r="K9218">
        <v>3</v>
      </c>
      <c r="L9218">
        <v>0.2</v>
      </c>
      <c r="M9218">
        <v>5.5071000000000003</v>
      </c>
    </row>
    <row r="9219" spans="1:13" x14ac:dyDescent="0.3">
      <c r="A9219" t="s">
        <v>62</v>
      </c>
      <c r="B9219" t="s">
        <v>14</v>
      </c>
      <c r="C9219" t="s">
        <v>15</v>
      </c>
      <c r="D9219" t="s">
        <v>23</v>
      </c>
      <c r="E9219" t="s">
        <v>24</v>
      </c>
      <c r="F9219">
        <v>90045</v>
      </c>
      <c r="G9219" t="s">
        <v>25</v>
      </c>
      <c r="H9219" t="s">
        <v>26</v>
      </c>
      <c r="I9219" t="s">
        <v>41</v>
      </c>
      <c r="J9219">
        <v>58.32</v>
      </c>
      <c r="K9219">
        <v>9</v>
      </c>
      <c r="L9219">
        <v>0</v>
      </c>
      <c r="M9219">
        <v>27.993600000000001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108</v>
      </c>
      <c r="E9220" t="s">
        <v>81</v>
      </c>
      <c r="F9220">
        <v>85023</v>
      </c>
      <c r="G9220" t="s">
        <v>25</v>
      </c>
      <c r="H9220" t="s">
        <v>26</v>
      </c>
      <c r="I9220" t="s">
        <v>37</v>
      </c>
      <c r="J9220">
        <v>946.76400000000001</v>
      </c>
      <c r="K9220">
        <v>6</v>
      </c>
      <c r="L9220">
        <v>0.7</v>
      </c>
      <c r="M9220">
        <v>-694.29359999999997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19</v>
      </c>
      <c r="I9221" t="s">
        <v>33</v>
      </c>
      <c r="J9221">
        <v>94.68</v>
      </c>
      <c r="K9221">
        <v>9</v>
      </c>
      <c r="L9221">
        <v>0</v>
      </c>
      <c r="M9221">
        <v>31.244399999999999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26</v>
      </c>
      <c r="I9222" t="s">
        <v>32</v>
      </c>
      <c r="J9222">
        <v>23.67</v>
      </c>
      <c r="K9222">
        <v>3</v>
      </c>
      <c r="L9222">
        <v>0</v>
      </c>
      <c r="M9222">
        <v>0.94679999999999997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35</v>
      </c>
      <c r="I9223" t="s">
        <v>36</v>
      </c>
      <c r="J9223">
        <v>1091.1679999999999</v>
      </c>
      <c r="K9223">
        <v>4</v>
      </c>
      <c r="L9223">
        <v>0.2</v>
      </c>
      <c r="M9223">
        <v>68.197999999999993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26</v>
      </c>
      <c r="I9224" t="s">
        <v>34</v>
      </c>
      <c r="J9224">
        <v>18.690000000000001</v>
      </c>
      <c r="K9224">
        <v>7</v>
      </c>
      <c r="L9224">
        <v>0</v>
      </c>
      <c r="M9224">
        <v>5.2332000000000001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19</v>
      </c>
      <c r="I9225" t="s">
        <v>31</v>
      </c>
      <c r="J9225">
        <v>568.72799999999995</v>
      </c>
      <c r="K9225">
        <v>3</v>
      </c>
      <c r="L9225">
        <v>0.2</v>
      </c>
      <c r="M9225">
        <v>28.436399999999999</v>
      </c>
    </row>
    <row r="9226" spans="1:13" x14ac:dyDescent="0.3">
      <c r="A9226" t="s">
        <v>28</v>
      </c>
      <c r="B9226" t="s">
        <v>14</v>
      </c>
      <c r="C9226" t="s">
        <v>15</v>
      </c>
      <c r="D9226" t="s">
        <v>23</v>
      </c>
      <c r="E9226" t="s">
        <v>24</v>
      </c>
      <c r="F9226">
        <v>90036</v>
      </c>
      <c r="G9226" t="s">
        <v>25</v>
      </c>
      <c r="H9226" t="s">
        <v>26</v>
      </c>
      <c r="I9226" t="s">
        <v>37</v>
      </c>
      <c r="J9226">
        <v>7.3120000000000003</v>
      </c>
      <c r="K9226">
        <v>1</v>
      </c>
      <c r="L9226">
        <v>0.2</v>
      </c>
      <c r="M9226">
        <v>2.5592000000000001</v>
      </c>
    </row>
    <row r="9227" spans="1:13" x14ac:dyDescent="0.3">
      <c r="A9227" t="s">
        <v>62</v>
      </c>
      <c r="B9227" t="s">
        <v>14</v>
      </c>
      <c r="C9227" t="s">
        <v>15</v>
      </c>
      <c r="D9227" t="s">
        <v>103</v>
      </c>
      <c r="E9227" t="s">
        <v>104</v>
      </c>
      <c r="F9227">
        <v>43229</v>
      </c>
      <c r="G9227" t="s">
        <v>57</v>
      </c>
      <c r="H9227" t="s">
        <v>19</v>
      </c>
      <c r="I9227" t="s">
        <v>33</v>
      </c>
      <c r="J9227">
        <v>147.56800000000001</v>
      </c>
      <c r="K9227">
        <v>2</v>
      </c>
      <c r="L9227">
        <v>0.2</v>
      </c>
      <c r="M9227">
        <v>-3.6892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41</v>
      </c>
      <c r="J9228">
        <v>56.783999999999999</v>
      </c>
      <c r="K9228">
        <v>7</v>
      </c>
      <c r="L9228">
        <v>0.2</v>
      </c>
      <c r="M9228">
        <v>20.584199999999999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37</v>
      </c>
      <c r="J9229">
        <v>5.6070000000000002</v>
      </c>
      <c r="K9229">
        <v>3</v>
      </c>
      <c r="L9229">
        <v>0.7</v>
      </c>
      <c r="M9229">
        <v>-3.9249000000000001</v>
      </c>
    </row>
    <row r="9230" spans="1:13" x14ac:dyDescent="0.3">
      <c r="A9230" t="s">
        <v>28</v>
      </c>
      <c r="B9230" t="s">
        <v>22</v>
      </c>
      <c r="C9230" t="s">
        <v>15</v>
      </c>
      <c r="D9230" t="s">
        <v>404</v>
      </c>
      <c r="E9230" t="s">
        <v>30</v>
      </c>
      <c r="F9230">
        <v>32303</v>
      </c>
      <c r="G9230" t="s">
        <v>18</v>
      </c>
      <c r="H9230" t="s">
        <v>26</v>
      </c>
      <c r="I9230" t="s">
        <v>34</v>
      </c>
      <c r="J9230">
        <v>6.5759999999999996</v>
      </c>
      <c r="K9230">
        <v>3</v>
      </c>
      <c r="L9230">
        <v>0.2</v>
      </c>
      <c r="M9230">
        <v>0.57540000000000002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26</v>
      </c>
      <c r="I9231" t="s">
        <v>37</v>
      </c>
      <c r="J9231">
        <v>14.304</v>
      </c>
      <c r="K9231">
        <v>6</v>
      </c>
      <c r="L9231">
        <v>0.2</v>
      </c>
      <c r="M9231">
        <v>4.6487999999999996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19</v>
      </c>
      <c r="I9232" t="s">
        <v>20</v>
      </c>
      <c r="J9232">
        <v>119.833</v>
      </c>
      <c r="K9232">
        <v>1</v>
      </c>
      <c r="L9232">
        <v>0.15</v>
      </c>
      <c r="M9232">
        <v>7.0490000000000004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34</v>
      </c>
      <c r="J9233">
        <v>5.56</v>
      </c>
      <c r="K9233">
        <v>2</v>
      </c>
      <c r="L9233">
        <v>0</v>
      </c>
      <c r="M9233">
        <v>2.2240000000000002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94122</v>
      </c>
      <c r="G9234" t="s">
        <v>25</v>
      </c>
      <c r="H9234" t="s">
        <v>26</v>
      </c>
      <c r="I9234" t="s">
        <v>41</v>
      </c>
      <c r="J9234">
        <v>32.4</v>
      </c>
      <c r="K9234">
        <v>5</v>
      </c>
      <c r="L9234">
        <v>0</v>
      </c>
      <c r="M9234">
        <v>15.552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9.84</v>
      </c>
      <c r="K9235">
        <v>3</v>
      </c>
      <c r="L9235">
        <v>0</v>
      </c>
      <c r="M9235">
        <v>2.8536000000000001</v>
      </c>
    </row>
    <row r="9236" spans="1:13" x14ac:dyDescent="0.3">
      <c r="A9236" t="s">
        <v>28</v>
      </c>
      <c r="B9236" t="s">
        <v>44</v>
      </c>
      <c r="C9236" t="s">
        <v>15</v>
      </c>
      <c r="D9236" t="s">
        <v>52</v>
      </c>
      <c r="E9236" t="s">
        <v>24</v>
      </c>
      <c r="F9236">
        <v>94109</v>
      </c>
      <c r="G9236" t="s">
        <v>25</v>
      </c>
      <c r="H9236" t="s">
        <v>26</v>
      </c>
      <c r="I9236" t="s">
        <v>34</v>
      </c>
      <c r="J9236">
        <v>2.78</v>
      </c>
      <c r="K9236">
        <v>1</v>
      </c>
      <c r="L9236">
        <v>0</v>
      </c>
      <c r="M9236">
        <v>0.7228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26</v>
      </c>
      <c r="I9237" t="s">
        <v>37</v>
      </c>
      <c r="J9237">
        <v>3.64</v>
      </c>
      <c r="K9237">
        <v>1</v>
      </c>
      <c r="L9237">
        <v>0.2</v>
      </c>
      <c r="M9237">
        <v>1.365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75</v>
      </c>
      <c r="E9238" t="s">
        <v>76</v>
      </c>
      <c r="F9238">
        <v>10009</v>
      </c>
      <c r="G9238" t="s">
        <v>57</v>
      </c>
      <c r="H9238" t="s">
        <v>35</v>
      </c>
      <c r="I9238" t="s">
        <v>36</v>
      </c>
      <c r="J9238">
        <v>881.93</v>
      </c>
      <c r="K9238">
        <v>7</v>
      </c>
      <c r="L9238">
        <v>0</v>
      </c>
      <c r="M9238">
        <v>220.48249999999999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378</v>
      </c>
      <c r="E9239" t="s">
        <v>102</v>
      </c>
      <c r="F9239">
        <v>52302</v>
      </c>
      <c r="G9239" t="s">
        <v>47</v>
      </c>
      <c r="H9239" t="s">
        <v>26</v>
      </c>
      <c r="I9239" t="s">
        <v>37</v>
      </c>
      <c r="J9239">
        <v>115.84</v>
      </c>
      <c r="K9239">
        <v>8</v>
      </c>
      <c r="L9239">
        <v>0</v>
      </c>
      <c r="M9239">
        <v>54.444800000000001</v>
      </c>
    </row>
    <row r="9240" spans="1:13" x14ac:dyDescent="0.3">
      <c r="A9240" t="s">
        <v>28</v>
      </c>
      <c r="B9240" t="s">
        <v>22</v>
      </c>
      <c r="C9240" t="s">
        <v>15</v>
      </c>
      <c r="D9240" t="s">
        <v>23</v>
      </c>
      <c r="E9240" t="s">
        <v>24</v>
      </c>
      <c r="F9240">
        <v>90008</v>
      </c>
      <c r="G9240" t="s">
        <v>25</v>
      </c>
      <c r="H9240" t="s">
        <v>26</v>
      </c>
      <c r="I9240" t="s">
        <v>37</v>
      </c>
      <c r="J9240">
        <v>107.648</v>
      </c>
      <c r="K9240">
        <v>2</v>
      </c>
      <c r="L9240">
        <v>0.2</v>
      </c>
      <c r="M9240">
        <v>33.64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35</v>
      </c>
      <c r="I9241" t="s">
        <v>59</v>
      </c>
      <c r="J9241">
        <v>199.95</v>
      </c>
      <c r="K9241">
        <v>5</v>
      </c>
      <c r="L9241">
        <v>0</v>
      </c>
      <c r="M9241">
        <v>63.984000000000002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612</v>
      </c>
      <c r="E9242" t="s">
        <v>197</v>
      </c>
      <c r="F9242">
        <v>71603</v>
      </c>
      <c r="G9242" t="s">
        <v>18</v>
      </c>
      <c r="H9242" t="s">
        <v>26</v>
      </c>
      <c r="I9242" t="s">
        <v>41</v>
      </c>
      <c r="J9242">
        <v>12.96</v>
      </c>
      <c r="K9242">
        <v>2</v>
      </c>
      <c r="L9242">
        <v>0</v>
      </c>
      <c r="M9242">
        <v>6.2207999999999997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19</v>
      </c>
      <c r="I9243" t="s">
        <v>21</v>
      </c>
      <c r="J9243">
        <v>60.89</v>
      </c>
      <c r="K9243">
        <v>1</v>
      </c>
      <c r="L9243">
        <v>0</v>
      </c>
      <c r="M9243">
        <v>15.2225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27</v>
      </c>
      <c r="J9244">
        <v>14.94</v>
      </c>
      <c r="K9244">
        <v>3</v>
      </c>
      <c r="L9244">
        <v>0</v>
      </c>
      <c r="M9244">
        <v>6.8723999999999998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26</v>
      </c>
      <c r="I9245" t="s">
        <v>37</v>
      </c>
      <c r="J9245">
        <v>9.64</v>
      </c>
      <c r="K9245">
        <v>2</v>
      </c>
      <c r="L9245">
        <v>0</v>
      </c>
      <c r="M9245">
        <v>4.4344000000000001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19</v>
      </c>
      <c r="I9246" t="s">
        <v>33</v>
      </c>
      <c r="J9246">
        <v>332.94</v>
      </c>
      <c r="K9246">
        <v>3</v>
      </c>
      <c r="L9246">
        <v>0</v>
      </c>
      <c r="M9246">
        <v>53.270400000000002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37</v>
      </c>
      <c r="J9247">
        <v>51.9</v>
      </c>
      <c r="K9247">
        <v>3</v>
      </c>
      <c r="L9247">
        <v>0</v>
      </c>
      <c r="M9247">
        <v>24.393000000000001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90</v>
      </c>
      <c r="E9248" t="s">
        <v>112</v>
      </c>
      <c r="F9248">
        <v>65203</v>
      </c>
      <c r="G9248" t="s">
        <v>47</v>
      </c>
      <c r="H9248" t="s">
        <v>26</v>
      </c>
      <c r="I9248" t="s">
        <v>32</v>
      </c>
      <c r="J9248">
        <v>64.959999999999994</v>
      </c>
      <c r="K9248">
        <v>2</v>
      </c>
      <c r="L9248">
        <v>0</v>
      </c>
      <c r="M9248">
        <v>2.5983999999999998</v>
      </c>
    </row>
    <row r="9249" spans="1:13" x14ac:dyDescent="0.3">
      <c r="A9249" t="s">
        <v>13</v>
      </c>
      <c r="B9249" t="s">
        <v>14</v>
      </c>
      <c r="C9249" t="s">
        <v>15</v>
      </c>
      <c r="D9249" t="s">
        <v>613</v>
      </c>
      <c r="E9249" t="s">
        <v>387</v>
      </c>
      <c r="F9249">
        <v>57401</v>
      </c>
      <c r="G9249" t="s">
        <v>47</v>
      </c>
      <c r="H9249" t="s">
        <v>26</v>
      </c>
      <c r="I9249" t="s">
        <v>110</v>
      </c>
      <c r="J9249">
        <v>25.5</v>
      </c>
      <c r="K9249">
        <v>3</v>
      </c>
      <c r="L9249">
        <v>0</v>
      </c>
      <c r="M9249">
        <v>6.63</v>
      </c>
    </row>
    <row r="9250" spans="1:13" x14ac:dyDescent="0.3">
      <c r="A9250" t="s">
        <v>168</v>
      </c>
      <c r="B9250" t="s">
        <v>44</v>
      </c>
      <c r="C9250" t="s">
        <v>15</v>
      </c>
      <c r="D9250" t="s">
        <v>42</v>
      </c>
      <c r="E9250" t="s">
        <v>43</v>
      </c>
      <c r="F9250">
        <v>98103</v>
      </c>
      <c r="G9250" t="s">
        <v>25</v>
      </c>
      <c r="H9250" t="s">
        <v>19</v>
      </c>
      <c r="I9250" t="s">
        <v>21</v>
      </c>
      <c r="J9250">
        <v>215.976</v>
      </c>
      <c r="K9250">
        <v>3</v>
      </c>
      <c r="L9250">
        <v>0.2</v>
      </c>
      <c r="M9250">
        <v>-2.6997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140</v>
      </c>
      <c r="E9251" t="s">
        <v>70</v>
      </c>
      <c r="F9251">
        <v>48227</v>
      </c>
      <c r="G9251" t="s">
        <v>47</v>
      </c>
      <c r="H9251" t="s">
        <v>26</v>
      </c>
      <c r="I9251" t="s">
        <v>38</v>
      </c>
      <c r="J9251">
        <v>269.91000000000003</v>
      </c>
      <c r="K9251">
        <v>5</v>
      </c>
      <c r="L9251">
        <v>0.1</v>
      </c>
      <c r="M9251">
        <v>53.981999999999999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37</v>
      </c>
      <c r="J9252">
        <v>11.673</v>
      </c>
      <c r="K9252">
        <v>3</v>
      </c>
      <c r="L9252">
        <v>0.7</v>
      </c>
      <c r="M9252">
        <v>-7.782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85</v>
      </c>
      <c r="E9253" t="s">
        <v>86</v>
      </c>
      <c r="F9253">
        <v>38109</v>
      </c>
      <c r="G9253" t="s">
        <v>18</v>
      </c>
      <c r="H9253" t="s">
        <v>26</v>
      </c>
      <c r="I9253" t="s">
        <v>60</v>
      </c>
      <c r="J9253">
        <v>64.847999999999999</v>
      </c>
      <c r="K9253">
        <v>7</v>
      </c>
      <c r="L9253">
        <v>0.2</v>
      </c>
      <c r="M9253">
        <v>24.318000000000001</v>
      </c>
    </row>
    <row r="9254" spans="1:13" x14ac:dyDescent="0.3">
      <c r="A9254" t="s">
        <v>62</v>
      </c>
      <c r="B9254" t="s">
        <v>44</v>
      </c>
      <c r="C9254" t="s">
        <v>15</v>
      </c>
      <c r="D9254" t="s">
        <v>311</v>
      </c>
      <c r="E9254" t="s">
        <v>177</v>
      </c>
      <c r="F9254">
        <v>89031</v>
      </c>
      <c r="G9254" t="s">
        <v>25</v>
      </c>
      <c r="H9254" t="s">
        <v>19</v>
      </c>
      <c r="I9254" t="s">
        <v>33</v>
      </c>
      <c r="J9254">
        <v>14.56</v>
      </c>
      <c r="K9254">
        <v>2</v>
      </c>
      <c r="L9254">
        <v>0</v>
      </c>
      <c r="M9254">
        <v>5.5327999999999999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19</v>
      </c>
      <c r="I9255" t="s">
        <v>21</v>
      </c>
      <c r="J9255">
        <v>102.58199999999999</v>
      </c>
      <c r="K9255">
        <v>1</v>
      </c>
      <c r="L9255">
        <v>0.1</v>
      </c>
      <c r="M9255">
        <v>6.8388</v>
      </c>
    </row>
    <row r="9256" spans="1:13" x14ac:dyDescent="0.3">
      <c r="A9256" t="s">
        <v>168</v>
      </c>
      <c r="B9256" t="s">
        <v>14</v>
      </c>
      <c r="C9256" t="s">
        <v>15</v>
      </c>
      <c r="D9256" t="s">
        <v>295</v>
      </c>
      <c r="E9256" t="s">
        <v>76</v>
      </c>
      <c r="F9256">
        <v>11520</v>
      </c>
      <c r="G9256" t="s">
        <v>57</v>
      </c>
      <c r="H9256" t="s">
        <v>26</v>
      </c>
      <c r="I9256" t="s">
        <v>41</v>
      </c>
      <c r="J9256">
        <v>20.04</v>
      </c>
      <c r="K9256">
        <v>3</v>
      </c>
      <c r="L9256">
        <v>0</v>
      </c>
      <c r="M9256">
        <v>9.6191999999999993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32.088000000000001</v>
      </c>
      <c r="K9257">
        <v>7</v>
      </c>
      <c r="L9257">
        <v>0.2</v>
      </c>
      <c r="M9257">
        <v>11.2308</v>
      </c>
    </row>
    <row r="9258" spans="1:13" x14ac:dyDescent="0.3">
      <c r="A9258" t="s">
        <v>28</v>
      </c>
      <c r="B9258" t="s">
        <v>14</v>
      </c>
      <c r="C9258" t="s">
        <v>15</v>
      </c>
      <c r="D9258" t="s">
        <v>75</v>
      </c>
      <c r="E9258" t="s">
        <v>76</v>
      </c>
      <c r="F9258">
        <v>10035</v>
      </c>
      <c r="G9258" t="s">
        <v>57</v>
      </c>
      <c r="H9258" t="s">
        <v>26</v>
      </c>
      <c r="I9258" t="s">
        <v>37</v>
      </c>
      <c r="J9258">
        <v>4305.5519999999997</v>
      </c>
      <c r="K9258">
        <v>6</v>
      </c>
      <c r="L9258">
        <v>0.2</v>
      </c>
      <c r="M9258">
        <v>1453.1238000000001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19</v>
      </c>
      <c r="I9259" t="s">
        <v>33</v>
      </c>
      <c r="J9259">
        <v>10.02</v>
      </c>
      <c r="K9259">
        <v>3</v>
      </c>
      <c r="L9259">
        <v>0</v>
      </c>
      <c r="M9259">
        <v>4.4088000000000003</v>
      </c>
    </row>
    <row r="9260" spans="1:13" x14ac:dyDescent="0.3">
      <c r="A9260" t="s">
        <v>28</v>
      </c>
      <c r="B9260" t="s">
        <v>22</v>
      </c>
      <c r="C9260" t="s">
        <v>15</v>
      </c>
      <c r="D9260" t="s">
        <v>75</v>
      </c>
      <c r="E9260" t="s">
        <v>76</v>
      </c>
      <c r="F9260">
        <v>10024</v>
      </c>
      <c r="G9260" t="s">
        <v>57</v>
      </c>
      <c r="H9260" t="s">
        <v>35</v>
      </c>
      <c r="I9260" t="s">
        <v>36</v>
      </c>
      <c r="J9260">
        <v>631.96</v>
      </c>
      <c r="K9260">
        <v>4</v>
      </c>
      <c r="L9260">
        <v>0</v>
      </c>
      <c r="M9260">
        <v>303.3408</v>
      </c>
    </row>
    <row r="9261" spans="1:13" x14ac:dyDescent="0.3">
      <c r="A9261" t="s">
        <v>28</v>
      </c>
      <c r="B9261" t="s">
        <v>14</v>
      </c>
      <c r="C9261" t="s">
        <v>15</v>
      </c>
      <c r="D9261" t="s">
        <v>16</v>
      </c>
      <c r="E9261" t="s">
        <v>17</v>
      </c>
      <c r="F9261">
        <v>42420</v>
      </c>
      <c r="G9261" t="s">
        <v>18</v>
      </c>
      <c r="H9261" t="s">
        <v>26</v>
      </c>
      <c r="I9261" t="s">
        <v>37</v>
      </c>
      <c r="J9261">
        <v>1577.94</v>
      </c>
      <c r="K9261">
        <v>3</v>
      </c>
      <c r="L9261">
        <v>0</v>
      </c>
      <c r="M9261">
        <v>757.41120000000001</v>
      </c>
    </row>
    <row r="9262" spans="1:13" x14ac:dyDescent="0.3">
      <c r="A9262" t="s">
        <v>168</v>
      </c>
      <c r="B9262" t="s">
        <v>22</v>
      </c>
      <c r="C9262" t="s">
        <v>15</v>
      </c>
      <c r="D9262" t="s">
        <v>394</v>
      </c>
      <c r="E9262" t="s">
        <v>121</v>
      </c>
      <c r="F9262">
        <v>87105</v>
      </c>
      <c r="G9262" t="s">
        <v>25</v>
      </c>
      <c r="H9262" t="s">
        <v>26</v>
      </c>
      <c r="I9262" t="s">
        <v>34</v>
      </c>
      <c r="J9262">
        <v>255.85</v>
      </c>
      <c r="K9262">
        <v>7</v>
      </c>
      <c r="L9262">
        <v>0</v>
      </c>
      <c r="M9262">
        <v>112.574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26</v>
      </c>
      <c r="I9263" t="s">
        <v>32</v>
      </c>
      <c r="J9263">
        <v>184.70400000000001</v>
      </c>
      <c r="K9263">
        <v>6</v>
      </c>
      <c r="L9263">
        <v>0.2</v>
      </c>
      <c r="M9263">
        <v>13.8528</v>
      </c>
    </row>
    <row r="9264" spans="1:13" x14ac:dyDescent="0.3">
      <c r="A9264" t="s">
        <v>13</v>
      </c>
      <c r="B9264" t="s">
        <v>22</v>
      </c>
      <c r="C9264" t="s">
        <v>15</v>
      </c>
      <c r="D9264" t="s">
        <v>570</v>
      </c>
      <c r="E9264" t="s">
        <v>30</v>
      </c>
      <c r="F9264">
        <v>33445</v>
      </c>
      <c r="G9264" t="s">
        <v>18</v>
      </c>
      <c r="H9264" t="s">
        <v>35</v>
      </c>
      <c r="I9264" t="s">
        <v>59</v>
      </c>
      <c r="J9264">
        <v>47.92</v>
      </c>
      <c r="K9264">
        <v>2</v>
      </c>
      <c r="L9264">
        <v>0.2</v>
      </c>
      <c r="M9264">
        <v>11.98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27</v>
      </c>
      <c r="J9265">
        <v>15.936</v>
      </c>
      <c r="K9265">
        <v>4</v>
      </c>
      <c r="L9265">
        <v>0.2</v>
      </c>
      <c r="M9265">
        <v>5.1791999999999998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26</v>
      </c>
      <c r="I9266" t="s">
        <v>37</v>
      </c>
      <c r="J9266">
        <v>8.0009999999999994</v>
      </c>
      <c r="K9266">
        <v>7</v>
      </c>
      <c r="L9266">
        <v>0.7</v>
      </c>
      <c r="M9266">
        <v>-5.6006999999999998</v>
      </c>
    </row>
    <row r="9267" spans="1:13" x14ac:dyDescent="0.3">
      <c r="A9267" t="s">
        <v>28</v>
      </c>
      <c r="B9267" t="s">
        <v>14</v>
      </c>
      <c r="C9267" t="s">
        <v>15</v>
      </c>
      <c r="D9267" t="s">
        <v>55</v>
      </c>
      <c r="E9267" t="s">
        <v>56</v>
      </c>
      <c r="F9267">
        <v>19140</v>
      </c>
      <c r="G9267" t="s">
        <v>57</v>
      </c>
      <c r="H9267" t="s">
        <v>19</v>
      </c>
      <c r="I9267" t="s">
        <v>21</v>
      </c>
      <c r="J9267">
        <v>398.97199999999998</v>
      </c>
      <c r="K9267">
        <v>2</v>
      </c>
      <c r="L9267">
        <v>0.3</v>
      </c>
      <c r="M9267">
        <v>-28.498000000000001</v>
      </c>
    </row>
    <row r="9268" spans="1:13" x14ac:dyDescent="0.3">
      <c r="A9268" t="s">
        <v>28</v>
      </c>
      <c r="B9268" t="s">
        <v>44</v>
      </c>
      <c r="C9268" t="s">
        <v>15</v>
      </c>
      <c r="D9268" t="s">
        <v>42</v>
      </c>
      <c r="E9268" t="s">
        <v>43</v>
      </c>
      <c r="F9268">
        <v>98105</v>
      </c>
      <c r="G9268" t="s">
        <v>25</v>
      </c>
      <c r="H9268" t="s">
        <v>19</v>
      </c>
      <c r="I9268" t="s">
        <v>20</v>
      </c>
      <c r="J9268">
        <v>163.88</v>
      </c>
      <c r="K9268">
        <v>2</v>
      </c>
      <c r="L9268">
        <v>0</v>
      </c>
      <c r="M9268">
        <v>40.97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182</v>
      </c>
      <c r="E9269" t="s">
        <v>83</v>
      </c>
      <c r="F9269">
        <v>23223</v>
      </c>
      <c r="G9269" t="s">
        <v>18</v>
      </c>
      <c r="H9269" t="s">
        <v>26</v>
      </c>
      <c r="I9269" t="s">
        <v>38</v>
      </c>
      <c r="J9269">
        <v>67.900000000000006</v>
      </c>
      <c r="K9269">
        <v>5</v>
      </c>
      <c r="L9269">
        <v>0</v>
      </c>
      <c r="M9269">
        <v>20.37</v>
      </c>
    </row>
    <row r="9270" spans="1:13" x14ac:dyDescent="0.3">
      <c r="A9270" t="s">
        <v>28</v>
      </c>
      <c r="B9270" t="s">
        <v>14</v>
      </c>
      <c r="C9270" t="s">
        <v>15</v>
      </c>
      <c r="D9270" t="s">
        <v>579</v>
      </c>
      <c r="E9270" t="s">
        <v>30</v>
      </c>
      <c r="F9270">
        <v>33407</v>
      </c>
      <c r="G9270" t="s">
        <v>18</v>
      </c>
      <c r="H9270" t="s">
        <v>26</v>
      </c>
      <c r="I9270" t="s">
        <v>41</v>
      </c>
      <c r="J9270">
        <v>72.224000000000004</v>
      </c>
      <c r="K9270">
        <v>4</v>
      </c>
      <c r="L9270">
        <v>0.2</v>
      </c>
      <c r="M9270">
        <v>25.278400000000001</v>
      </c>
    </row>
    <row r="9271" spans="1:13" x14ac:dyDescent="0.3">
      <c r="A9271" t="s">
        <v>13</v>
      </c>
      <c r="B9271" t="s">
        <v>14</v>
      </c>
      <c r="C9271" t="s">
        <v>15</v>
      </c>
      <c r="D9271" t="s">
        <v>388</v>
      </c>
      <c r="E9271" t="s">
        <v>98</v>
      </c>
      <c r="F9271">
        <v>80525</v>
      </c>
      <c r="G9271" t="s">
        <v>25</v>
      </c>
      <c r="H9271" t="s">
        <v>26</v>
      </c>
      <c r="I9271" t="s">
        <v>27</v>
      </c>
      <c r="J9271">
        <v>11.696</v>
      </c>
      <c r="K9271">
        <v>2</v>
      </c>
      <c r="L9271">
        <v>0.2</v>
      </c>
      <c r="M9271">
        <v>3.9474</v>
      </c>
    </row>
    <row r="9272" spans="1:13" x14ac:dyDescent="0.3">
      <c r="A9272" t="s">
        <v>28</v>
      </c>
      <c r="B9272" t="s">
        <v>22</v>
      </c>
      <c r="C9272" t="s">
        <v>15</v>
      </c>
      <c r="D9272" t="s">
        <v>115</v>
      </c>
      <c r="E9272" t="s">
        <v>49</v>
      </c>
      <c r="F9272">
        <v>53132</v>
      </c>
      <c r="G9272" t="s">
        <v>47</v>
      </c>
      <c r="H9272" t="s">
        <v>19</v>
      </c>
      <c r="I9272" t="s">
        <v>21</v>
      </c>
      <c r="J9272">
        <v>392.94</v>
      </c>
      <c r="K9272">
        <v>3</v>
      </c>
      <c r="L9272">
        <v>0</v>
      </c>
      <c r="M9272">
        <v>43.223399999999998</v>
      </c>
    </row>
    <row r="9273" spans="1:13" x14ac:dyDescent="0.3">
      <c r="A9273" t="s">
        <v>62</v>
      </c>
      <c r="B9273" t="s">
        <v>14</v>
      </c>
      <c r="C9273" t="s">
        <v>15</v>
      </c>
      <c r="D9273" t="s">
        <v>124</v>
      </c>
      <c r="E9273" t="s">
        <v>40</v>
      </c>
      <c r="F9273">
        <v>28110</v>
      </c>
      <c r="G9273" t="s">
        <v>18</v>
      </c>
      <c r="H9273" t="s">
        <v>19</v>
      </c>
      <c r="I9273" t="s">
        <v>33</v>
      </c>
      <c r="J9273">
        <v>18.175999999999998</v>
      </c>
      <c r="K9273">
        <v>1</v>
      </c>
      <c r="L9273">
        <v>0.2</v>
      </c>
      <c r="M9273">
        <v>4.7712000000000003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26</v>
      </c>
      <c r="I9274" t="s">
        <v>37</v>
      </c>
      <c r="J9274">
        <v>6.8879999999999999</v>
      </c>
      <c r="K9274">
        <v>3</v>
      </c>
      <c r="L9274">
        <v>0.8</v>
      </c>
      <c r="M9274">
        <v>-11.020799999999999</v>
      </c>
    </row>
    <row r="9275" spans="1:13" x14ac:dyDescent="0.3">
      <c r="A9275" t="s">
        <v>28</v>
      </c>
      <c r="B9275" t="s">
        <v>44</v>
      </c>
      <c r="C9275" t="s">
        <v>15</v>
      </c>
      <c r="D9275" t="s">
        <v>135</v>
      </c>
      <c r="E9275" t="s">
        <v>46</v>
      </c>
      <c r="F9275">
        <v>75081</v>
      </c>
      <c r="G9275" t="s">
        <v>47</v>
      </c>
      <c r="H9275" t="s">
        <v>19</v>
      </c>
      <c r="I9275" t="s">
        <v>31</v>
      </c>
      <c r="J9275">
        <v>457.48500000000001</v>
      </c>
      <c r="K9275">
        <v>3</v>
      </c>
      <c r="L9275">
        <v>0.3</v>
      </c>
      <c r="M9275">
        <v>-84.961500000000001</v>
      </c>
    </row>
    <row r="9276" spans="1:13" x14ac:dyDescent="0.3">
      <c r="A9276" t="s">
        <v>62</v>
      </c>
      <c r="B9276" t="s">
        <v>14</v>
      </c>
      <c r="C9276" t="s">
        <v>15</v>
      </c>
      <c r="D9276" t="s">
        <v>55</v>
      </c>
      <c r="E9276" t="s">
        <v>56</v>
      </c>
      <c r="F9276">
        <v>19134</v>
      </c>
      <c r="G9276" t="s">
        <v>57</v>
      </c>
      <c r="H9276" t="s">
        <v>19</v>
      </c>
      <c r="I9276" t="s">
        <v>21</v>
      </c>
      <c r="J9276">
        <v>1079.316</v>
      </c>
      <c r="K9276">
        <v>6</v>
      </c>
      <c r="L9276">
        <v>0.3</v>
      </c>
      <c r="M9276">
        <v>-15.418799999999999</v>
      </c>
    </row>
    <row r="9277" spans="1:13" x14ac:dyDescent="0.3">
      <c r="A9277" t="s">
        <v>13</v>
      </c>
      <c r="B9277" t="s">
        <v>44</v>
      </c>
      <c r="C9277" t="s">
        <v>15</v>
      </c>
      <c r="D9277" t="s">
        <v>52</v>
      </c>
      <c r="E9277" t="s">
        <v>24</v>
      </c>
      <c r="F9277">
        <v>94109</v>
      </c>
      <c r="G9277" t="s">
        <v>25</v>
      </c>
      <c r="H9277" t="s">
        <v>26</v>
      </c>
      <c r="I9277" t="s">
        <v>41</v>
      </c>
      <c r="J9277">
        <v>48.91</v>
      </c>
      <c r="K9277">
        <v>1</v>
      </c>
      <c r="L9277">
        <v>0</v>
      </c>
      <c r="M9277">
        <v>22.9877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34</v>
      </c>
      <c r="J9278">
        <v>9.84</v>
      </c>
      <c r="K9278">
        <v>3</v>
      </c>
      <c r="L9278">
        <v>0</v>
      </c>
      <c r="M9278">
        <v>2.8536000000000001</v>
      </c>
    </row>
    <row r="9279" spans="1:13" x14ac:dyDescent="0.3">
      <c r="A9279" t="s">
        <v>62</v>
      </c>
      <c r="B9279" t="s">
        <v>14</v>
      </c>
      <c r="C9279" t="s">
        <v>15</v>
      </c>
      <c r="D9279" t="s">
        <v>71</v>
      </c>
      <c r="E9279" t="s">
        <v>72</v>
      </c>
      <c r="F9279">
        <v>19901</v>
      </c>
      <c r="G9279" t="s">
        <v>57</v>
      </c>
      <c r="H9279" t="s">
        <v>26</v>
      </c>
      <c r="I9279" t="s">
        <v>37</v>
      </c>
      <c r="J9279">
        <v>34.5</v>
      </c>
      <c r="K9279">
        <v>3</v>
      </c>
      <c r="L9279">
        <v>0</v>
      </c>
      <c r="M9279">
        <v>15.525</v>
      </c>
    </row>
    <row r="9280" spans="1:13" x14ac:dyDescent="0.3">
      <c r="A9280" t="s">
        <v>168</v>
      </c>
      <c r="B9280" t="s">
        <v>22</v>
      </c>
      <c r="C9280" t="s">
        <v>15</v>
      </c>
      <c r="D9280" t="s">
        <v>526</v>
      </c>
      <c r="E9280" t="s">
        <v>46</v>
      </c>
      <c r="F9280">
        <v>76706</v>
      </c>
      <c r="G9280" t="s">
        <v>47</v>
      </c>
      <c r="H9280" t="s">
        <v>26</v>
      </c>
      <c r="I9280" t="s">
        <v>37</v>
      </c>
      <c r="J9280">
        <v>0.55600000000000005</v>
      </c>
      <c r="K9280">
        <v>1</v>
      </c>
      <c r="L9280">
        <v>0.8</v>
      </c>
      <c r="M9280">
        <v>-0.94520000000000004</v>
      </c>
    </row>
    <row r="9281" spans="1:13" x14ac:dyDescent="0.3">
      <c r="A9281" t="s">
        <v>13</v>
      </c>
      <c r="B9281" t="s">
        <v>14</v>
      </c>
      <c r="C9281" t="s">
        <v>15</v>
      </c>
      <c r="D9281" t="s">
        <v>614</v>
      </c>
      <c r="E9281" t="s">
        <v>248</v>
      </c>
      <c r="F9281">
        <v>21740</v>
      </c>
      <c r="G9281" t="s">
        <v>57</v>
      </c>
      <c r="H9281" t="s">
        <v>26</v>
      </c>
      <c r="I9281" t="s">
        <v>37</v>
      </c>
      <c r="J9281">
        <v>43.8</v>
      </c>
      <c r="K9281">
        <v>6</v>
      </c>
      <c r="L9281">
        <v>0</v>
      </c>
      <c r="M9281">
        <v>20.585999999999999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26</v>
      </c>
      <c r="I9282" t="s">
        <v>41</v>
      </c>
      <c r="J9282">
        <v>13.872</v>
      </c>
      <c r="K9282">
        <v>3</v>
      </c>
      <c r="L9282">
        <v>0.2</v>
      </c>
      <c r="M9282">
        <v>5.0286</v>
      </c>
    </row>
    <row r="9283" spans="1:13" x14ac:dyDescent="0.3">
      <c r="A9283" t="s">
        <v>28</v>
      </c>
      <c r="B9283" t="s">
        <v>22</v>
      </c>
      <c r="C9283" t="s">
        <v>15</v>
      </c>
      <c r="D9283" t="s">
        <v>221</v>
      </c>
      <c r="E9283" t="s">
        <v>104</v>
      </c>
      <c r="F9283">
        <v>44105</v>
      </c>
      <c r="G9283" t="s">
        <v>57</v>
      </c>
      <c r="H9283" t="s">
        <v>19</v>
      </c>
      <c r="I9283" t="s">
        <v>20</v>
      </c>
      <c r="J9283">
        <v>115.96</v>
      </c>
      <c r="K9283">
        <v>4</v>
      </c>
      <c r="L9283">
        <v>0.5</v>
      </c>
      <c r="M9283">
        <v>-64.937600000000003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59</v>
      </c>
      <c r="J9284">
        <v>41.423999999999999</v>
      </c>
      <c r="K9284">
        <v>2</v>
      </c>
      <c r="L9284">
        <v>0.2</v>
      </c>
      <c r="M9284">
        <v>8.2848000000000006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35</v>
      </c>
      <c r="I9285" t="s">
        <v>36</v>
      </c>
      <c r="J9285">
        <v>244.768</v>
      </c>
      <c r="K9285">
        <v>4</v>
      </c>
      <c r="L9285">
        <v>0.2</v>
      </c>
      <c r="M9285">
        <v>24.476800000000001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34</v>
      </c>
      <c r="J9286">
        <v>74.352000000000004</v>
      </c>
      <c r="K9286">
        <v>3</v>
      </c>
      <c r="L9286">
        <v>0.2</v>
      </c>
      <c r="M9286">
        <v>6.5057999999999998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26</v>
      </c>
      <c r="I9287" t="s">
        <v>37</v>
      </c>
      <c r="J9287">
        <v>4.3120000000000003</v>
      </c>
      <c r="K9287">
        <v>2</v>
      </c>
      <c r="L9287">
        <v>0.8</v>
      </c>
      <c r="M9287">
        <v>-6.8992000000000004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19</v>
      </c>
      <c r="I9288" t="s">
        <v>21</v>
      </c>
      <c r="J9288">
        <v>56.686</v>
      </c>
      <c r="K9288">
        <v>1</v>
      </c>
      <c r="L9288">
        <v>0.3</v>
      </c>
      <c r="M9288">
        <v>-20.245000000000001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35</v>
      </c>
      <c r="I9289" t="s">
        <v>36</v>
      </c>
      <c r="J9289">
        <v>97.968000000000004</v>
      </c>
      <c r="K9289">
        <v>2</v>
      </c>
      <c r="L9289">
        <v>0.2</v>
      </c>
      <c r="M9289">
        <v>6.1230000000000002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34</v>
      </c>
      <c r="J9290">
        <v>7.8719999999999999</v>
      </c>
      <c r="K9290">
        <v>3</v>
      </c>
      <c r="L9290">
        <v>0.2</v>
      </c>
      <c r="M9290">
        <v>0.88560000000000005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41</v>
      </c>
      <c r="J9291">
        <v>15.552</v>
      </c>
      <c r="K9291">
        <v>3</v>
      </c>
      <c r="L9291">
        <v>0.2</v>
      </c>
      <c r="M9291">
        <v>5.4432</v>
      </c>
    </row>
    <row r="9292" spans="1:13" x14ac:dyDescent="0.3">
      <c r="A9292" t="s">
        <v>13</v>
      </c>
      <c r="B9292" t="s">
        <v>22</v>
      </c>
      <c r="C9292" t="s">
        <v>15</v>
      </c>
      <c r="D9292" t="s">
        <v>482</v>
      </c>
      <c r="E9292" t="s">
        <v>46</v>
      </c>
      <c r="F9292">
        <v>78501</v>
      </c>
      <c r="G9292" t="s">
        <v>47</v>
      </c>
      <c r="H9292" t="s">
        <v>26</v>
      </c>
      <c r="I9292" t="s">
        <v>37</v>
      </c>
      <c r="J9292">
        <v>1.476</v>
      </c>
      <c r="K9292">
        <v>1</v>
      </c>
      <c r="L9292">
        <v>0.8</v>
      </c>
      <c r="M9292">
        <v>-2.2877999999999998</v>
      </c>
    </row>
    <row r="9293" spans="1:13" x14ac:dyDescent="0.3">
      <c r="A9293" t="s">
        <v>28</v>
      </c>
      <c r="B9293" t="s">
        <v>44</v>
      </c>
      <c r="C9293" t="s">
        <v>15</v>
      </c>
      <c r="D9293" t="s">
        <v>454</v>
      </c>
      <c r="E9293" t="s">
        <v>121</v>
      </c>
      <c r="F9293">
        <v>87505</v>
      </c>
      <c r="G9293" t="s">
        <v>25</v>
      </c>
      <c r="H9293" t="s">
        <v>26</v>
      </c>
      <c r="I9293" t="s">
        <v>34</v>
      </c>
      <c r="J9293">
        <v>8.4</v>
      </c>
      <c r="K9293">
        <v>5</v>
      </c>
      <c r="L9293">
        <v>0</v>
      </c>
      <c r="M9293">
        <v>2.1840000000000002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6.56</v>
      </c>
      <c r="K9294">
        <v>2</v>
      </c>
      <c r="L9294">
        <v>0</v>
      </c>
      <c r="M9294">
        <v>1.9024000000000001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26</v>
      </c>
      <c r="I9295" t="s">
        <v>34</v>
      </c>
      <c r="J9295">
        <v>14.88</v>
      </c>
      <c r="K9295">
        <v>2</v>
      </c>
      <c r="L9295">
        <v>0</v>
      </c>
      <c r="M9295">
        <v>3.72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35</v>
      </c>
      <c r="I9296" t="s">
        <v>59</v>
      </c>
      <c r="J9296">
        <v>45.48</v>
      </c>
      <c r="K9296">
        <v>4</v>
      </c>
      <c r="L9296">
        <v>0</v>
      </c>
      <c r="M9296">
        <v>15.917999999999999</v>
      </c>
    </row>
    <row r="9297" spans="1:13" x14ac:dyDescent="0.3">
      <c r="A9297" t="s">
        <v>28</v>
      </c>
      <c r="B9297" t="s">
        <v>14</v>
      </c>
      <c r="C9297" t="s">
        <v>15</v>
      </c>
      <c r="D9297" t="s">
        <v>52</v>
      </c>
      <c r="E9297" t="s">
        <v>24</v>
      </c>
      <c r="F9297">
        <v>94110</v>
      </c>
      <c r="G9297" t="s">
        <v>25</v>
      </c>
      <c r="H9297" t="s">
        <v>26</v>
      </c>
      <c r="I9297" t="s">
        <v>34</v>
      </c>
      <c r="J9297">
        <v>25.44</v>
      </c>
      <c r="K9297">
        <v>6</v>
      </c>
      <c r="L9297">
        <v>0</v>
      </c>
      <c r="M9297">
        <v>9.9215999999999998</v>
      </c>
    </row>
    <row r="9298" spans="1:13" x14ac:dyDescent="0.3">
      <c r="A9298" t="s">
        <v>28</v>
      </c>
      <c r="B9298" t="s">
        <v>22</v>
      </c>
      <c r="C9298" t="s">
        <v>15</v>
      </c>
      <c r="D9298" t="s">
        <v>75</v>
      </c>
      <c r="E9298" t="s">
        <v>76</v>
      </c>
      <c r="F9298">
        <v>10024</v>
      </c>
      <c r="G9298" t="s">
        <v>57</v>
      </c>
      <c r="H9298" t="s">
        <v>26</v>
      </c>
      <c r="I9298" t="s">
        <v>37</v>
      </c>
      <c r="J9298">
        <v>146.68799999999999</v>
      </c>
      <c r="K9298">
        <v>8</v>
      </c>
      <c r="L9298">
        <v>0.2</v>
      </c>
      <c r="M9298">
        <v>45.84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27</v>
      </c>
      <c r="J9299">
        <v>4.9279999999999999</v>
      </c>
      <c r="K9299">
        <v>2</v>
      </c>
      <c r="L9299">
        <v>0.2</v>
      </c>
      <c r="M9299">
        <v>1.7248000000000001</v>
      </c>
    </row>
    <row r="9300" spans="1:13" x14ac:dyDescent="0.3">
      <c r="A9300" t="s">
        <v>28</v>
      </c>
      <c r="B9300" t="s">
        <v>14</v>
      </c>
      <c r="C9300" t="s">
        <v>15</v>
      </c>
      <c r="D9300" t="s">
        <v>135</v>
      </c>
      <c r="E9300" t="s">
        <v>46</v>
      </c>
      <c r="F9300">
        <v>75220</v>
      </c>
      <c r="G9300" t="s">
        <v>47</v>
      </c>
      <c r="H9300" t="s">
        <v>26</v>
      </c>
      <c r="I9300" t="s">
        <v>34</v>
      </c>
      <c r="J9300">
        <v>63.488</v>
      </c>
      <c r="K9300">
        <v>4</v>
      </c>
      <c r="L9300">
        <v>0.2</v>
      </c>
      <c r="M9300">
        <v>4.7615999999999996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32</v>
      </c>
      <c r="J9301">
        <v>418.32</v>
      </c>
      <c r="K9301">
        <v>7</v>
      </c>
      <c r="L9301">
        <v>0</v>
      </c>
      <c r="M9301">
        <v>117.1296</v>
      </c>
    </row>
    <row r="9302" spans="1:13" x14ac:dyDescent="0.3">
      <c r="A9302" t="s">
        <v>168</v>
      </c>
      <c r="B9302" t="s">
        <v>22</v>
      </c>
      <c r="C9302" t="s">
        <v>15</v>
      </c>
      <c r="D9302" t="s">
        <v>140</v>
      </c>
      <c r="E9302" t="s">
        <v>70</v>
      </c>
      <c r="F9302">
        <v>48234</v>
      </c>
      <c r="G9302" t="s">
        <v>47</v>
      </c>
      <c r="H9302" t="s">
        <v>26</v>
      </c>
      <c r="I9302" t="s">
        <v>38</v>
      </c>
      <c r="J9302">
        <v>123.858</v>
      </c>
      <c r="K9302">
        <v>2</v>
      </c>
      <c r="L9302">
        <v>0.1</v>
      </c>
      <c r="M9302">
        <v>46.790799999999997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35</v>
      </c>
      <c r="I9303" t="s">
        <v>36</v>
      </c>
      <c r="J9303">
        <v>118.782</v>
      </c>
      <c r="K9303">
        <v>3</v>
      </c>
      <c r="L9303">
        <v>0.4</v>
      </c>
      <c r="M9303">
        <v>-27.715800000000002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55</v>
      </c>
      <c r="E9304" t="s">
        <v>56</v>
      </c>
      <c r="F9304">
        <v>19140</v>
      </c>
      <c r="G9304" t="s">
        <v>57</v>
      </c>
      <c r="H9304" t="s">
        <v>26</v>
      </c>
      <c r="I9304" t="s">
        <v>110</v>
      </c>
      <c r="J9304">
        <v>769.18399999999997</v>
      </c>
      <c r="K9304">
        <v>4</v>
      </c>
      <c r="L9304">
        <v>0.2</v>
      </c>
      <c r="M9304">
        <v>-163.45160000000001</v>
      </c>
    </row>
    <row r="9305" spans="1:13" x14ac:dyDescent="0.3">
      <c r="A9305" t="s">
        <v>28</v>
      </c>
      <c r="B9305" t="s">
        <v>14</v>
      </c>
      <c r="C9305" t="s">
        <v>15</v>
      </c>
      <c r="D9305" t="s">
        <v>323</v>
      </c>
      <c r="E9305" t="s">
        <v>46</v>
      </c>
      <c r="F9305">
        <v>75007</v>
      </c>
      <c r="G9305" t="s">
        <v>47</v>
      </c>
      <c r="H9305" t="s">
        <v>35</v>
      </c>
      <c r="I9305" t="s">
        <v>59</v>
      </c>
      <c r="J9305">
        <v>47.904000000000003</v>
      </c>
      <c r="K9305">
        <v>1</v>
      </c>
      <c r="L9305">
        <v>0.2</v>
      </c>
      <c r="M9305">
        <v>-2.9940000000000002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26</v>
      </c>
      <c r="I9306" t="s">
        <v>41</v>
      </c>
      <c r="J9306">
        <v>13.36</v>
      </c>
      <c r="K9306">
        <v>2</v>
      </c>
      <c r="L9306">
        <v>0</v>
      </c>
      <c r="M9306">
        <v>6.4127999999999998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21</v>
      </c>
      <c r="J9307">
        <v>163.76400000000001</v>
      </c>
      <c r="K9307">
        <v>2</v>
      </c>
      <c r="L9307">
        <v>0.1</v>
      </c>
      <c r="M9307">
        <v>25.474399999999999</v>
      </c>
    </row>
    <row r="9308" spans="1:13" x14ac:dyDescent="0.3">
      <c r="A9308" t="s">
        <v>28</v>
      </c>
      <c r="B9308" t="s">
        <v>22</v>
      </c>
      <c r="C9308" t="s">
        <v>15</v>
      </c>
      <c r="D9308" t="s">
        <v>75</v>
      </c>
      <c r="E9308" t="s">
        <v>76</v>
      </c>
      <c r="F9308">
        <v>10009</v>
      </c>
      <c r="G9308" t="s">
        <v>57</v>
      </c>
      <c r="H9308" t="s">
        <v>19</v>
      </c>
      <c r="I9308" t="s">
        <v>33</v>
      </c>
      <c r="J9308">
        <v>183.92</v>
      </c>
      <c r="K9308">
        <v>4</v>
      </c>
      <c r="L9308">
        <v>0</v>
      </c>
      <c r="M9308">
        <v>31.266400000000001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11.375999999999999</v>
      </c>
      <c r="K9309">
        <v>3</v>
      </c>
      <c r="L9309">
        <v>0.6</v>
      </c>
      <c r="M9309">
        <v>-5.6879999999999997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61</v>
      </c>
      <c r="E9310" t="s">
        <v>46</v>
      </c>
      <c r="F9310">
        <v>77041</v>
      </c>
      <c r="G9310" t="s">
        <v>47</v>
      </c>
      <c r="H9310" t="s">
        <v>19</v>
      </c>
      <c r="I9310" t="s">
        <v>33</v>
      </c>
      <c r="J9310">
        <v>66.111999999999995</v>
      </c>
      <c r="K9310">
        <v>4</v>
      </c>
      <c r="L9310">
        <v>0.6</v>
      </c>
      <c r="M9310">
        <v>-84.2928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26</v>
      </c>
      <c r="I9311" t="s">
        <v>41</v>
      </c>
      <c r="J9311">
        <v>211.04</v>
      </c>
      <c r="K9311">
        <v>8</v>
      </c>
      <c r="L9311">
        <v>0</v>
      </c>
      <c r="M9311">
        <v>97.078400000000002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19</v>
      </c>
      <c r="I9312" t="s">
        <v>21</v>
      </c>
      <c r="J9312">
        <v>594.81600000000003</v>
      </c>
      <c r="K9312">
        <v>2</v>
      </c>
      <c r="L9312">
        <v>0.2</v>
      </c>
      <c r="M9312">
        <v>59.4816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23</v>
      </c>
      <c r="E9313" t="s">
        <v>24</v>
      </c>
      <c r="F9313">
        <v>90036</v>
      </c>
      <c r="G9313" t="s">
        <v>25</v>
      </c>
      <c r="H9313" t="s">
        <v>26</v>
      </c>
      <c r="I9313" t="s">
        <v>37</v>
      </c>
      <c r="J9313">
        <v>72.959999999999994</v>
      </c>
      <c r="K9313">
        <v>3</v>
      </c>
      <c r="L9313">
        <v>0.2</v>
      </c>
      <c r="M9313">
        <v>23.712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19</v>
      </c>
      <c r="I9314" t="s">
        <v>33</v>
      </c>
      <c r="J9314">
        <v>80.959999999999994</v>
      </c>
      <c r="K9314">
        <v>4</v>
      </c>
      <c r="L9314">
        <v>0</v>
      </c>
      <c r="M9314">
        <v>34.812800000000003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35</v>
      </c>
      <c r="I9315" t="s">
        <v>36</v>
      </c>
      <c r="J9315">
        <v>455.71199999999999</v>
      </c>
      <c r="K9315">
        <v>2</v>
      </c>
      <c r="L9315">
        <v>0.2</v>
      </c>
      <c r="M9315">
        <v>34.178400000000003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239</v>
      </c>
      <c r="E9316" t="s">
        <v>43</v>
      </c>
      <c r="F9316">
        <v>98026</v>
      </c>
      <c r="G9316" t="s">
        <v>25</v>
      </c>
      <c r="H9316" t="s">
        <v>26</v>
      </c>
      <c r="I9316" t="s">
        <v>34</v>
      </c>
      <c r="J9316">
        <v>25.98</v>
      </c>
      <c r="K9316">
        <v>1</v>
      </c>
      <c r="L9316">
        <v>0</v>
      </c>
      <c r="M9316">
        <v>7.2744</v>
      </c>
    </row>
    <row r="9317" spans="1:13" x14ac:dyDescent="0.3">
      <c r="A9317" t="s">
        <v>62</v>
      </c>
      <c r="B9317" t="s">
        <v>14</v>
      </c>
      <c r="C9317" t="s">
        <v>15</v>
      </c>
      <c r="D9317" t="s">
        <v>52</v>
      </c>
      <c r="E9317" t="s">
        <v>24</v>
      </c>
      <c r="F9317">
        <v>94110</v>
      </c>
      <c r="G9317" t="s">
        <v>25</v>
      </c>
      <c r="H9317" t="s">
        <v>26</v>
      </c>
      <c r="I9317" t="s">
        <v>38</v>
      </c>
      <c r="J9317">
        <v>45.28</v>
      </c>
      <c r="K9317">
        <v>4</v>
      </c>
      <c r="L9317">
        <v>0</v>
      </c>
      <c r="M9317">
        <v>15.395200000000001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75</v>
      </c>
      <c r="E9318" t="s">
        <v>76</v>
      </c>
      <c r="F9318">
        <v>10035</v>
      </c>
      <c r="G9318" t="s">
        <v>57</v>
      </c>
      <c r="H9318" t="s">
        <v>26</v>
      </c>
      <c r="I9318" t="s">
        <v>60</v>
      </c>
      <c r="J9318">
        <v>15.56</v>
      </c>
      <c r="K9318">
        <v>2</v>
      </c>
      <c r="L9318">
        <v>0</v>
      </c>
      <c r="M9318">
        <v>7.3132000000000001</v>
      </c>
    </row>
    <row r="9319" spans="1:13" x14ac:dyDescent="0.3">
      <c r="A9319" t="s">
        <v>28</v>
      </c>
      <c r="B9319" t="s">
        <v>22</v>
      </c>
      <c r="C9319" t="s">
        <v>15</v>
      </c>
      <c r="D9319" t="s">
        <v>82</v>
      </c>
      <c r="E9319" t="s">
        <v>95</v>
      </c>
      <c r="F9319">
        <v>97477</v>
      </c>
      <c r="G9319" t="s">
        <v>25</v>
      </c>
      <c r="H9319" t="s">
        <v>35</v>
      </c>
      <c r="I9319" t="s">
        <v>36</v>
      </c>
      <c r="J9319">
        <v>859.2</v>
      </c>
      <c r="K9319">
        <v>3</v>
      </c>
      <c r="L9319">
        <v>0.2</v>
      </c>
      <c r="M9319">
        <v>75.180000000000007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38</v>
      </c>
      <c r="J9320">
        <v>195.68</v>
      </c>
      <c r="K9320">
        <v>4</v>
      </c>
      <c r="L9320">
        <v>0</v>
      </c>
      <c r="M9320">
        <v>50.876800000000003</v>
      </c>
    </row>
    <row r="9321" spans="1:13" x14ac:dyDescent="0.3">
      <c r="A9321" t="s">
        <v>13</v>
      </c>
      <c r="B9321" t="s">
        <v>14</v>
      </c>
      <c r="C9321" t="s">
        <v>15</v>
      </c>
      <c r="D9321" t="s">
        <v>521</v>
      </c>
      <c r="E9321" t="s">
        <v>17</v>
      </c>
      <c r="F9321">
        <v>40324</v>
      </c>
      <c r="G9321" t="s">
        <v>18</v>
      </c>
      <c r="H9321" t="s">
        <v>26</v>
      </c>
      <c r="I9321" t="s">
        <v>77</v>
      </c>
      <c r="J9321">
        <v>14.2</v>
      </c>
      <c r="K9321">
        <v>4</v>
      </c>
      <c r="L9321">
        <v>0</v>
      </c>
      <c r="M9321">
        <v>6.6740000000000004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19</v>
      </c>
      <c r="I9322" t="s">
        <v>20</v>
      </c>
      <c r="J9322">
        <v>314.35199999999998</v>
      </c>
      <c r="K9322">
        <v>3</v>
      </c>
      <c r="L9322">
        <v>0.2</v>
      </c>
      <c r="M9322">
        <v>-15.717599999999999</v>
      </c>
    </row>
    <row r="9323" spans="1:13" x14ac:dyDescent="0.3">
      <c r="A9323" t="s">
        <v>62</v>
      </c>
      <c r="B9323" t="s">
        <v>14</v>
      </c>
      <c r="C9323" t="s">
        <v>15</v>
      </c>
      <c r="D9323" t="s">
        <v>282</v>
      </c>
      <c r="E9323" t="s">
        <v>30</v>
      </c>
      <c r="F9323">
        <v>33065</v>
      </c>
      <c r="G9323" t="s">
        <v>18</v>
      </c>
      <c r="H9323" t="s">
        <v>26</v>
      </c>
      <c r="I9323" t="s">
        <v>27</v>
      </c>
      <c r="J9323">
        <v>4.6079999999999997</v>
      </c>
      <c r="K9323">
        <v>2</v>
      </c>
      <c r="L9323">
        <v>0.2</v>
      </c>
      <c r="M9323">
        <v>1.4976</v>
      </c>
    </row>
    <row r="9324" spans="1:13" x14ac:dyDescent="0.3">
      <c r="A9324" t="s">
        <v>28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77</v>
      </c>
      <c r="J9324">
        <v>17.899999999999999</v>
      </c>
      <c r="K9324">
        <v>5</v>
      </c>
      <c r="L9324">
        <v>0</v>
      </c>
      <c r="M9324">
        <v>8.7710000000000008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2.992</v>
      </c>
      <c r="K9325">
        <v>1</v>
      </c>
      <c r="L9325">
        <v>0.2</v>
      </c>
      <c r="M9325">
        <v>1.1220000000000001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37</v>
      </c>
      <c r="J9326">
        <v>20.064</v>
      </c>
      <c r="K9326">
        <v>6</v>
      </c>
      <c r="L9326">
        <v>0.2</v>
      </c>
      <c r="M9326">
        <v>7.0224000000000002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41</v>
      </c>
      <c r="J9327">
        <v>146.72999999999999</v>
      </c>
      <c r="K9327">
        <v>3</v>
      </c>
      <c r="L9327">
        <v>0</v>
      </c>
      <c r="M9327">
        <v>68.963099999999997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26</v>
      </c>
      <c r="I9328" t="s">
        <v>27</v>
      </c>
      <c r="J9328">
        <v>18.75</v>
      </c>
      <c r="K9328">
        <v>5</v>
      </c>
      <c r="L9328">
        <v>0</v>
      </c>
      <c r="M9328">
        <v>9</v>
      </c>
    </row>
    <row r="9329" spans="1:13" x14ac:dyDescent="0.3">
      <c r="A9329" t="s">
        <v>13</v>
      </c>
      <c r="B9329" t="s">
        <v>22</v>
      </c>
      <c r="C9329" t="s">
        <v>15</v>
      </c>
      <c r="D9329" t="s">
        <v>52</v>
      </c>
      <c r="E9329" t="s">
        <v>24</v>
      </c>
      <c r="F9329">
        <v>94110</v>
      </c>
      <c r="G9329" t="s">
        <v>25</v>
      </c>
      <c r="H9329" t="s">
        <v>35</v>
      </c>
      <c r="I9329" t="s">
        <v>36</v>
      </c>
      <c r="J9329">
        <v>117.57599999999999</v>
      </c>
      <c r="K9329">
        <v>3</v>
      </c>
      <c r="L9329">
        <v>0.2</v>
      </c>
      <c r="M9329">
        <v>11.7576</v>
      </c>
    </row>
    <row r="9330" spans="1:13" x14ac:dyDescent="0.3">
      <c r="A9330" t="s">
        <v>28</v>
      </c>
      <c r="B9330" t="s">
        <v>44</v>
      </c>
      <c r="C9330" t="s">
        <v>15</v>
      </c>
      <c r="D9330" t="s">
        <v>254</v>
      </c>
      <c r="E9330" t="s">
        <v>24</v>
      </c>
      <c r="F9330">
        <v>92503</v>
      </c>
      <c r="G9330" t="s">
        <v>25</v>
      </c>
      <c r="H9330" t="s">
        <v>26</v>
      </c>
      <c r="I9330" t="s">
        <v>37</v>
      </c>
      <c r="J9330">
        <v>51.183999999999997</v>
      </c>
      <c r="K9330">
        <v>7</v>
      </c>
      <c r="L9330">
        <v>0.2</v>
      </c>
      <c r="M9330">
        <v>19.193999999999999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19</v>
      </c>
      <c r="I9331" t="s">
        <v>31</v>
      </c>
      <c r="J9331">
        <v>455.97</v>
      </c>
      <c r="K9331">
        <v>5</v>
      </c>
      <c r="L9331">
        <v>0.4</v>
      </c>
      <c r="M9331">
        <v>-106.393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26</v>
      </c>
      <c r="I9332" t="s">
        <v>37</v>
      </c>
      <c r="J9332">
        <v>5.7149999999999999</v>
      </c>
      <c r="K9332">
        <v>5</v>
      </c>
      <c r="L9332">
        <v>0.7</v>
      </c>
      <c r="M9332">
        <v>-4.7625000000000002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35</v>
      </c>
      <c r="I9333" t="s">
        <v>36</v>
      </c>
      <c r="J9333">
        <v>57.594000000000001</v>
      </c>
      <c r="K9333">
        <v>1</v>
      </c>
      <c r="L9333">
        <v>0.4</v>
      </c>
      <c r="M9333">
        <v>-11.518800000000001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33</v>
      </c>
      <c r="J9334">
        <v>30.143999999999998</v>
      </c>
      <c r="K9334">
        <v>2</v>
      </c>
      <c r="L9334">
        <v>0.2</v>
      </c>
      <c r="M9334">
        <v>8.2896000000000001</v>
      </c>
    </row>
    <row r="9335" spans="1:13" x14ac:dyDescent="0.3">
      <c r="A9335" t="s">
        <v>62</v>
      </c>
      <c r="B9335" t="s">
        <v>44</v>
      </c>
      <c r="C9335" t="s">
        <v>15</v>
      </c>
      <c r="D9335" t="s">
        <v>78</v>
      </c>
      <c r="E9335" t="s">
        <v>104</v>
      </c>
      <c r="F9335">
        <v>45373</v>
      </c>
      <c r="G9335" t="s">
        <v>57</v>
      </c>
      <c r="H9335" t="s">
        <v>19</v>
      </c>
      <c r="I9335" t="s">
        <v>21</v>
      </c>
      <c r="J9335">
        <v>899.43</v>
      </c>
      <c r="K9335">
        <v>5</v>
      </c>
      <c r="L9335">
        <v>0.3</v>
      </c>
      <c r="M9335">
        <v>-12.849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842.72</v>
      </c>
      <c r="K9336">
        <v>8</v>
      </c>
      <c r="L9336">
        <v>0</v>
      </c>
      <c r="M9336">
        <v>202.25280000000001</v>
      </c>
    </row>
    <row r="9337" spans="1:13" x14ac:dyDescent="0.3">
      <c r="A9337" t="s">
        <v>28</v>
      </c>
      <c r="B9337" t="s">
        <v>14</v>
      </c>
      <c r="C9337" t="s">
        <v>15</v>
      </c>
      <c r="D9337" t="s">
        <v>520</v>
      </c>
      <c r="E9337" t="s">
        <v>24</v>
      </c>
      <c r="F9337">
        <v>92553</v>
      </c>
      <c r="G9337" t="s">
        <v>25</v>
      </c>
      <c r="H9337" t="s">
        <v>19</v>
      </c>
      <c r="I9337" t="s">
        <v>33</v>
      </c>
      <c r="J9337">
        <v>41.96</v>
      </c>
      <c r="K9337">
        <v>2</v>
      </c>
      <c r="L9337">
        <v>0</v>
      </c>
      <c r="M9337">
        <v>10.909599999999999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26</v>
      </c>
      <c r="I9338" t="s">
        <v>37</v>
      </c>
      <c r="J9338">
        <v>13.215999999999999</v>
      </c>
      <c r="K9338">
        <v>4</v>
      </c>
      <c r="L9338">
        <v>0.2</v>
      </c>
      <c r="M9338">
        <v>4.4603999999999999</v>
      </c>
    </row>
    <row r="9339" spans="1:13" x14ac:dyDescent="0.3">
      <c r="A9339" t="s">
        <v>28</v>
      </c>
      <c r="B9339" t="s">
        <v>22</v>
      </c>
      <c r="C9339" t="s">
        <v>15</v>
      </c>
      <c r="D9339" t="s">
        <v>42</v>
      </c>
      <c r="E9339" t="s">
        <v>43</v>
      </c>
      <c r="F9339">
        <v>98115</v>
      </c>
      <c r="G9339" t="s">
        <v>25</v>
      </c>
      <c r="H9339" t="s">
        <v>19</v>
      </c>
      <c r="I9339" t="s">
        <v>21</v>
      </c>
      <c r="J9339">
        <v>184.75200000000001</v>
      </c>
      <c r="K9339">
        <v>3</v>
      </c>
      <c r="L9339">
        <v>0.2</v>
      </c>
      <c r="M9339">
        <v>-20.784600000000001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19</v>
      </c>
      <c r="I9340" t="s">
        <v>21</v>
      </c>
      <c r="J9340">
        <v>520.46400000000006</v>
      </c>
      <c r="K9340">
        <v>2</v>
      </c>
      <c r="L9340">
        <v>0.3</v>
      </c>
      <c r="M9340">
        <v>-14.8704</v>
      </c>
    </row>
    <row r="9341" spans="1:13" x14ac:dyDescent="0.3">
      <c r="A9341" t="s">
        <v>62</v>
      </c>
      <c r="B9341" t="s">
        <v>14</v>
      </c>
      <c r="C9341" t="s">
        <v>15</v>
      </c>
      <c r="D9341" t="s">
        <v>79</v>
      </c>
      <c r="E9341" t="s">
        <v>65</v>
      </c>
      <c r="F9341">
        <v>60623</v>
      </c>
      <c r="G9341" t="s">
        <v>47</v>
      </c>
      <c r="H9341" t="s">
        <v>26</v>
      </c>
      <c r="I9341" t="s">
        <v>41</v>
      </c>
      <c r="J9341">
        <v>11.423999999999999</v>
      </c>
      <c r="K9341">
        <v>3</v>
      </c>
      <c r="L9341">
        <v>0.2</v>
      </c>
      <c r="M9341">
        <v>3.7128000000000001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41</v>
      </c>
      <c r="J9342">
        <v>19.440000000000001</v>
      </c>
      <c r="K9342">
        <v>3</v>
      </c>
      <c r="L9342">
        <v>0</v>
      </c>
      <c r="M9342">
        <v>9.3312000000000008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34</v>
      </c>
      <c r="J9343">
        <v>3.64</v>
      </c>
      <c r="K9343">
        <v>2</v>
      </c>
      <c r="L9343">
        <v>0</v>
      </c>
      <c r="M9343">
        <v>1.0192000000000001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84</v>
      </c>
      <c r="E9344" t="s">
        <v>70</v>
      </c>
      <c r="F9344">
        <v>49201</v>
      </c>
      <c r="G9344" t="s">
        <v>47</v>
      </c>
      <c r="H9344" t="s">
        <v>26</v>
      </c>
      <c r="I9344" t="s">
        <v>41</v>
      </c>
      <c r="J9344">
        <v>18.54</v>
      </c>
      <c r="K9344">
        <v>2</v>
      </c>
      <c r="L9344">
        <v>0</v>
      </c>
      <c r="M9344">
        <v>8.7138000000000009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26</v>
      </c>
      <c r="I9345" t="s">
        <v>37</v>
      </c>
      <c r="J9345">
        <v>43.12</v>
      </c>
      <c r="K9345">
        <v>5</v>
      </c>
      <c r="L9345">
        <v>0.2</v>
      </c>
      <c r="M9345">
        <v>15.092000000000001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31</v>
      </c>
      <c r="J9346">
        <v>313.72199999999998</v>
      </c>
      <c r="K9346">
        <v>3</v>
      </c>
      <c r="L9346">
        <v>0.4</v>
      </c>
      <c r="M9346">
        <v>-99.345299999999995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19</v>
      </c>
      <c r="I9347" t="s">
        <v>33</v>
      </c>
      <c r="J9347">
        <v>45.98</v>
      </c>
      <c r="K9347">
        <v>1</v>
      </c>
      <c r="L9347">
        <v>0</v>
      </c>
      <c r="M9347">
        <v>7.8166000000000002</v>
      </c>
    </row>
    <row r="9348" spans="1:13" x14ac:dyDescent="0.3">
      <c r="A9348" t="s">
        <v>13</v>
      </c>
      <c r="B9348" t="s">
        <v>22</v>
      </c>
      <c r="C9348" t="s">
        <v>15</v>
      </c>
      <c r="D9348" t="s">
        <v>75</v>
      </c>
      <c r="E9348" t="s">
        <v>76</v>
      </c>
      <c r="F9348">
        <v>10024</v>
      </c>
      <c r="G9348" t="s">
        <v>57</v>
      </c>
      <c r="H9348" t="s">
        <v>26</v>
      </c>
      <c r="I9348" t="s">
        <v>32</v>
      </c>
      <c r="J9348">
        <v>428.68</v>
      </c>
      <c r="K9348">
        <v>7</v>
      </c>
      <c r="L9348">
        <v>0</v>
      </c>
      <c r="M9348">
        <v>0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37</v>
      </c>
      <c r="J9349">
        <v>30.576000000000001</v>
      </c>
      <c r="K9349">
        <v>6</v>
      </c>
      <c r="L9349">
        <v>0.2</v>
      </c>
      <c r="M9349">
        <v>10.3194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77</v>
      </c>
      <c r="J9350">
        <v>13.02</v>
      </c>
      <c r="K9350">
        <v>7</v>
      </c>
      <c r="L9350">
        <v>0</v>
      </c>
      <c r="M9350">
        <v>0.3906</v>
      </c>
    </row>
    <row r="9351" spans="1:13" x14ac:dyDescent="0.3">
      <c r="A9351" t="s">
        <v>28</v>
      </c>
      <c r="B9351" t="s">
        <v>44</v>
      </c>
      <c r="C9351" t="s">
        <v>15</v>
      </c>
      <c r="D9351" t="s">
        <v>42</v>
      </c>
      <c r="E9351" t="s">
        <v>43</v>
      </c>
      <c r="F9351">
        <v>98105</v>
      </c>
      <c r="G9351" t="s">
        <v>25</v>
      </c>
      <c r="H9351" t="s">
        <v>26</v>
      </c>
      <c r="I9351" t="s">
        <v>32</v>
      </c>
      <c r="J9351">
        <v>359.32</v>
      </c>
      <c r="K9351">
        <v>4</v>
      </c>
      <c r="L9351">
        <v>0</v>
      </c>
      <c r="M9351">
        <v>7.1863999999999999</v>
      </c>
    </row>
    <row r="9352" spans="1:13" x14ac:dyDescent="0.3">
      <c r="A9352" t="s">
        <v>62</v>
      </c>
      <c r="B9352" t="s">
        <v>14</v>
      </c>
      <c r="C9352" t="s">
        <v>15</v>
      </c>
      <c r="D9352" t="s">
        <v>582</v>
      </c>
      <c r="E9352" t="s">
        <v>112</v>
      </c>
      <c r="F9352">
        <v>63301</v>
      </c>
      <c r="G9352" t="s">
        <v>47</v>
      </c>
      <c r="H9352" t="s">
        <v>26</v>
      </c>
      <c r="I9352" t="s">
        <v>41</v>
      </c>
      <c r="J9352">
        <v>11.56</v>
      </c>
      <c r="K9352">
        <v>2</v>
      </c>
      <c r="L9352">
        <v>0</v>
      </c>
      <c r="M9352">
        <v>5.6643999999999997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37</v>
      </c>
      <c r="J9353">
        <v>68.48</v>
      </c>
      <c r="K9353">
        <v>2</v>
      </c>
      <c r="L9353">
        <v>0.2</v>
      </c>
      <c r="M9353">
        <v>25.68</v>
      </c>
    </row>
    <row r="9354" spans="1:13" x14ac:dyDescent="0.3">
      <c r="A9354" t="s">
        <v>28</v>
      </c>
      <c r="B9354" t="s">
        <v>14</v>
      </c>
      <c r="C9354" t="s">
        <v>15</v>
      </c>
      <c r="D9354" t="s">
        <v>159</v>
      </c>
      <c r="E9354" t="s">
        <v>76</v>
      </c>
      <c r="F9354">
        <v>11561</v>
      </c>
      <c r="G9354" t="s">
        <v>57</v>
      </c>
      <c r="H9354" t="s">
        <v>26</v>
      </c>
      <c r="I9354" t="s">
        <v>32</v>
      </c>
      <c r="J9354">
        <v>1676.88</v>
      </c>
      <c r="K9354">
        <v>6</v>
      </c>
      <c r="L9354">
        <v>0</v>
      </c>
      <c r="M9354">
        <v>83.843999999999994</v>
      </c>
    </row>
    <row r="9355" spans="1:13" x14ac:dyDescent="0.3">
      <c r="A9355" t="s">
        <v>62</v>
      </c>
      <c r="B9355" t="s">
        <v>22</v>
      </c>
      <c r="C9355" t="s">
        <v>15</v>
      </c>
      <c r="D9355" t="s">
        <v>154</v>
      </c>
      <c r="E9355" t="s">
        <v>132</v>
      </c>
      <c r="F9355">
        <v>8701</v>
      </c>
      <c r="G9355" t="s">
        <v>57</v>
      </c>
      <c r="H9355" t="s">
        <v>26</v>
      </c>
      <c r="I9355" t="s">
        <v>41</v>
      </c>
      <c r="J9355">
        <v>37.94</v>
      </c>
      <c r="K9355">
        <v>2</v>
      </c>
      <c r="L9355">
        <v>0</v>
      </c>
      <c r="M9355">
        <v>18.211200000000002</v>
      </c>
    </row>
    <row r="9356" spans="1:13" x14ac:dyDescent="0.3">
      <c r="A9356" t="s">
        <v>13</v>
      </c>
      <c r="B9356" t="s">
        <v>22</v>
      </c>
      <c r="C9356" t="s">
        <v>15</v>
      </c>
      <c r="D9356" t="s">
        <v>268</v>
      </c>
      <c r="E9356" t="s">
        <v>248</v>
      </c>
      <c r="F9356">
        <v>20735</v>
      </c>
      <c r="G9356" t="s">
        <v>57</v>
      </c>
      <c r="H9356" t="s">
        <v>19</v>
      </c>
      <c r="I9356" t="s">
        <v>21</v>
      </c>
      <c r="J9356">
        <v>272.97000000000003</v>
      </c>
      <c r="K9356">
        <v>3</v>
      </c>
      <c r="L9356">
        <v>0</v>
      </c>
      <c r="M9356">
        <v>43.675199999999997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33</v>
      </c>
      <c r="J9357">
        <v>41.567999999999998</v>
      </c>
      <c r="K9357">
        <v>4</v>
      </c>
      <c r="L9357">
        <v>0.2</v>
      </c>
      <c r="M9357">
        <v>-4.1567999999999996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19</v>
      </c>
      <c r="I9358" t="s">
        <v>21</v>
      </c>
      <c r="J9358">
        <v>317.05799999999999</v>
      </c>
      <c r="K9358">
        <v>3</v>
      </c>
      <c r="L9358">
        <v>0.3</v>
      </c>
      <c r="M9358">
        <v>-86.058599999999998</v>
      </c>
    </row>
    <row r="9359" spans="1:13" x14ac:dyDescent="0.3">
      <c r="A9359" t="s">
        <v>62</v>
      </c>
      <c r="B9359" t="s">
        <v>22</v>
      </c>
      <c r="C9359" t="s">
        <v>15</v>
      </c>
      <c r="D9359" t="s">
        <v>103</v>
      </c>
      <c r="E9359" t="s">
        <v>104</v>
      </c>
      <c r="F9359">
        <v>43229</v>
      </c>
      <c r="G9359" t="s">
        <v>57</v>
      </c>
      <c r="H9359" t="s">
        <v>26</v>
      </c>
      <c r="I9359" t="s">
        <v>77</v>
      </c>
      <c r="J9359">
        <v>8.0399999999999991</v>
      </c>
      <c r="K9359">
        <v>5</v>
      </c>
      <c r="L9359">
        <v>0.2</v>
      </c>
      <c r="M9359">
        <v>2.9144999999999999</v>
      </c>
    </row>
    <row r="9360" spans="1:13" x14ac:dyDescent="0.3">
      <c r="A9360" t="s">
        <v>28</v>
      </c>
      <c r="B9360" t="s">
        <v>14</v>
      </c>
      <c r="C9360" t="s">
        <v>15</v>
      </c>
      <c r="D9360" t="s">
        <v>113</v>
      </c>
      <c r="E9360" t="s">
        <v>24</v>
      </c>
      <c r="F9360">
        <v>91104</v>
      </c>
      <c r="G9360" t="s">
        <v>25</v>
      </c>
      <c r="H9360" t="s">
        <v>35</v>
      </c>
      <c r="I9360" t="s">
        <v>36</v>
      </c>
      <c r="J9360">
        <v>419.94400000000002</v>
      </c>
      <c r="K9360">
        <v>7</v>
      </c>
      <c r="L9360">
        <v>0.2</v>
      </c>
      <c r="M9360">
        <v>52.493000000000002</v>
      </c>
    </row>
    <row r="9361" spans="1:13" x14ac:dyDescent="0.3">
      <c r="A9361" t="s">
        <v>28</v>
      </c>
      <c r="B9361" t="s">
        <v>22</v>
      </c>
      <c r="C9361" t="s">
        <v>15</v>
      </c>
      <c r="D9361" t="s">
        <v>42</v>
      </c>
      <c r="E9361" t="s">
        <v>43</v>
      </c>
      <c r="F9361">
        <v>98105</v>
      </c>
      <c r="G9361" t="s">
        <v>25</v>
      </c>
      <c r="H9361" t="s">
        <v>26</v>
      </c>
      <c r="I9361" t="s">
        <v>110</v>
      </c>
      <c r="J9361">
        <v>61.38</v>
      </c>
      <c r="K9361">
        <v>6</v>
      </c>
      <c r="L9361">
        <v>0</v>
      </c>
      <c r="M9361">
        <v>15.9588</v>
      </c>
    </row>
    <row r="9362" spans="1:13" x14ac:dyDescent="0.3">
      <c r="A9362" t="s">
        <v>13</v>
      </c>
      <c r="B9362" t="s">
        <v>14</v>
      </c>
      <c r="C9362" t="s">
        <v>15</v>
      </c>
      <c r="D9362" t="s">
        <v>23</v>
      </c>
      <c r="E9362" t="s">
        <v>24</v>
      </c>
      <c r="F9362">
        <v>90045</v>
      </c>
      <c r="G9362" t="s">
        <v>25</v>
      </c>
      <c r="H9362" t="s">
        <v>35</v>
      </c>
      <c r="I9362" t="s">
        <v>59</v>
      </c>
      <c r="J9362">
        <v>50</v>
      </c>
      <c r="K9362">
        <v>2</v>
      </c>
      <c r="L9362">
        <v>0</v>
      </c>
      <c r="M9362">
        <v>10.5</v>
      </c>
    </row>
    <row r="9363" spans="1:13" x14ac:dyDescent="0.3">
      <c r="A9363" t="s">
        <v>28</v>
      </c>
      <c r="B9363" t="s">
        <v>14</v>
      </c>
      <c r="C9363" t="s">
        <v>15</v>
      </c>
      <c r="D9363" t="s">
        <v>615</v>
      </c>
      <c r="E9363" t="s">
        <v>132</v>
      </c>
      <c r="F9363">
        <v>7017</v>
      </c>
      <c r="G9363" t="s">
        <v>57</v>
      </c>
      <c r="H9363" t="s">
        <v>35</v>
      </c>
      <c r="I9363" t="s">
        <v>59</v>
      </c>
      <c r="J9363">
        <v>31.8</v>
      </c>
      <c r="K9363">
        <v>3</v>
      </c>
      <c r="L9363">
        <v>0</v>
      </c>
      <c r="M9363">
        <v>13.673999999999999</v>
      </c>
    </row>
    <row r="9364" spans="1:13" x14ac:dyDescent="0.3">
      <c r="A9364" t="s">
        <v>28</v>
      </c>
      <c r="B9364" t="s">
        <v>22</v>
      </c>
      <c r="C9364" t="s">
        <v>15</v>
      </c>
      <c r="D9364" t="s">
        <v>431</v>
      </c>
      <c r="E9364" t="s">
        <v>49</v>
      </c>
      <c r="F9364">
        <v>54703</v>
      </c>
      <c r="G9364" t="s">
        <v>47</v>
      </c>
      <c r="H9364" t="s">
        <v>26</v>
      </c>
      <c r="I9364" t="s">
        <v>32</v>
      </c>
      <c r="J9364">
        <v>32.56</v>
      </c>
      <c r="K9364">
        <v>2</v>
      </c>
      <c r="L9364">
        <v>0</v>
      </c>
      <c r="M9364">
        <v>8.4656000000000002</v>
      </c>
    </row>
    <row r="9365" spans="1:13" x14ac:dyDescent="0.3">
      <c r="A9365" t="s">
        <v>28</v>
      </c>
      <c r="B9365" t="s">
        <v>14</v>
      </c>
      <c r="C9365" t="s">
        <v>15</v>
      </c>
      <c r="D9365" t="s">
        <v>79</v>
      </c>
      <c r="E9365" t="s">
        <v>65</v>
      </c>
      <c r="F9365">
        <v>60610</v>
      </c>
      <c r="G9365" t="s">
        <v>47</v>
      </c>
      <c r="H9365" t="s">
        <v>26</v>
      </c>
      <c r="I9365" t="s">
        <v>60</v>
      </c>
      <c r="J9365">
        <v>7.0720000000000001</v>
      </c>
      <c r="K9365">
        <v>2</v>
      </c>
      <c r="L9365">
        <v>0.2</v>
      </c>
      <c r="M9365">
        <v>2.3868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26</v>
      </c>
      <c r="I9366" t="s">
        <v>41</v>
      </c>
      <c r="J9366">
        <v>45.527999999999999</v>
      </c>
      <c r="K9366">
        <v>3</v>
      </c>
      <c r="L9366">
        <v>0.2</v>
      </c>
      <c r="M9366">
        <v>15.934799999999999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19</v>
      </c>
      <c r="I9367" t="s">
        <v>21</v>
      </c>
      <c r="J9367">
        <v>64.784000000000006</v>
      </c>
      <c r="K9367">
        <v>1</v>
      </c>
      <c r="L9367">
        <v>0.2</v>
      </c>
      <c r="M9367">
        <v>6.4783999999999997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32</v>
      </c>
      <c r="J9368">
        <v>424.27199999999999</v>
      </c>
      <c r="K9368">
        <v>2</v>
      </c>
      <c r="L9368">
        <v>0.2</v>
      </c>
      <c r="M9368">
        <v>-10.6068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34</v>
      </c>
      <c r="J9369">
        <v>1.3440000000000001</v>
      </c>
      <c r="K9369">
        <v>1</v>
      </c>
      <c r="L9369">
        <v>0.2</v>
      </c>
      <c r="M9369">
        <v>0.504</v>
      </c>
    </row>
    <row r="9370" spans="1:13" x14ac:dyDescent="0.3">
      <c r="A9370" t="s">
        <v>13</v>
      </c>
      <c r="B9370" t="s">
        <v>14</v>
      </c>
      <c r="C9370" t="s">
        <v>15</v>
      </c>
      <c r="D9370" t="s">
        <v>141</v>
      </c>
      <c r="E9370" t="s">
        <v>30</v>
      </c>
      <c r="F9370">
        <v>33614</v>
      </c>
      <c r="G9370" t="s">
        <v>18</v>
      </c>
      <c r="H9370" t="s">
        <v>26</v>
      </c>
      <c r="I9370" t="s">
        <v>32</v>
      </c>
      <c r="J9370">
        <v>83.92</v>
      </c>
      <c r="K9370">
        <v>5</v>
      </c>
      <c r="L9370">
        <v>0.2</v>
      </c>
      <c r="M9370">
        <v>-1.0489999999999999</v>
      </c>
    </row>
    <row r="9371" spans="1:13" x14ac:dyDescent="0.3">
      <c r="A9371" t="s">
        <v>28</v>
      </c>
      <c r="B9371" t="s">
        <v>44</v>
      </c>
      <c r="C9371" t="s">
        <v>15</v>
      </c>
      <c r="D9371" t="s">
        <v>75</v>
      </c>
      <c r="E9371" t="s">
        <v>76</v>
      </c>
      <c r="F9371">
        <v>10009</v>
      </c>
      <c r="G9371" t="s">
        <v>57</v>
      </c>
      <c r="H9371" t="s">
        <v>26</v>
      </c>
      <c r="I9371" t="s">
        <v>41</v>
      </c>
      <c r="J9371">
        <v>25.92</v>
      </c>
      <c r="K9371">
        <v>4</v>
      </c>
      <c r="L9371">
        <v>0</v>
      </c>
      <c r="M9371">
        <v>12.441599999999999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206</v>
      </c>
      <c r="E9372" t="s">
        <v>81</v>
      </c>
      <c r="F9372">
        <v>85204</v>
      </c>
      <c r="G9372" t="s">
        <v>25</v>
      </c>
      <c r="H9372" t="s">
        <v>19</v>
      </c>
      <c r="I9372" t="s">
        <v>33</v>
      </c>
      <c r="J9372">
        <v>120.57599999999999</v>
      </c>
      <c r="K9372">
        <v>8</v>
      </c>
      <c r="L9372">
        <v>0.2</v>
      </c>
      <c r="M9372">
        <v>33.1584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79.92</v>
      </c>
      <c r="K9373">
        <v>4</v>
      </c>
      <c r="L9373">
        <v>0</v>
      </c>
      <c r="M9373">
        <v>37.562399999999997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41</v>
      </c>
      <c r="J9374">
        <v>12.28</v>
      </c>
      <c r="K9374">
        <v>1</v>
      </c>
      <c r="L9374">
        <v>0</v>
      </c>
      <c r="M9374">
        <v>5.7716000000000003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38</v>
      </c>
      <c r="J9375">
        <v>542.94000000000005</v>
      </c>
      <c r="K9375">
        <v>3</v>
      </c>
      <c r="L9375">
        <v>0</v>
      </c>
      <c r="M9375">
        <v>152.0232</v>
      </c>
    </row>
    <row r="9376" spans="1:13" x14ac:dyDescent="0.3">
      <c r="A9376" t="s">
        <v>28</v>
      </c>
      <c r="B9376" t="s">
        <v>14</v>
      </c>
      <c r="C9376" t="s">
        <v>15</v>
      </c>
      <c r="D9376" t="s">
        <v>223</v>
      </c>
      <c r="E9376" t="s">
        <v>380</v>
      </c>
      <c r="F9376">
        <v>5408</v>
      </c>
      <c r="G9376" t="s">
        <v>57</v>
      </c>
      <c r="H9376" t="s">
        <v>26</v>
      </c>
      <c r="I9376" t="s">
        <v>60</v>
      </c>
      <c r="J9376">
        <v>2.04</v>
      </c>
      <c r="K9376">
        <v>1</v>
      </c>
      <c r="L9376">
        <v>0</v>
      </c>
      <c r="M9376">
        <v>0.95879999999999999</v>
      </c>
    </row>
    <row r="9377" spans="1:13" x14ac:dyDescent="0.3">
      <c r="A9377" t="s">
        <v>28</v>
      </c>
      <c r="B9377" t="s">
        <v>44</v>
      </c>
      <c r="C9377" t="s">
        <v>15</v>
      </c>
      <c r="D9377" t="s">
        <v>61</v>
      </c>
      <c r="E9377" t="s">
        <v>46</v>
      </c>
      <c r="F9377">
        <v>77070</v>
      </c>
      <c r="G9377" t="s">
        <v>47</v>
      </c>
      <c r="H9377" t="s">
        <v>26</v>
      </c>
      <c r="I9377" t="s">
        <v>32</v>
      </c>
      <c r="J9377">
        <v>228.92</v>
      </c>
      <c r="K9377">
        <v>5</v>
      </c>
      <c r="L9377">
        <v>0.2</v>
      </c>
      <c r="M9377">
        <v>14.307499999999999</v>
      </c>
    </row>
    <row r="9378" spans="1:13" x14ac:dyDescent="0.3">
      <c r="A9378" t="s">
        <v>62</v>
      </c>
      <c r="B9378" t="s">
        <v>22</v>
      </c>
      <c r="C9378" t="s">
        <v>15</v>
      </c>
      <c r="D9378" t="s">
        <v>97</v>
      </c>
      <c r="E9378" t="s">
        <v>65</v>
      </c>
      <c r="F9378">
        <v>60505</v>
      </c>
      <c r="G9378" t="s">
        <v>47</v>
      </c>
      <c r="H9378" t="s">
        <v>35</v>
      </c>
      <c r="I9378" t="s">
        <v>36</v>
      </c>
      <c r="J9378">
        <v>7.992</v>
      </c>
      <c r="K9378">
        <v>1</v>
      </c>
      <c r="L9378">
        <v>0.2</v>
      </c>
      <c r="M9378">
        <v>2.5973999999999999</v>
      </c>
    </row>
    <row r="9379" spans="1:13" x14ac:dyDescent="0.3">
      <c r="A9379" t="s">
        <v>168</v>
      </c>
      <c r="B9379" t="s">
        <v>22</v>
      </c>
      <c r="C9379" t="s">
        <v>15</v>
      </c>
      <c r="D9379" t="s">
        <v>134</v>
      </c>
      <c r="E9379" t="s">
        <v>98</v>
      </c>
      <c r="F9379">
        <v>80219</v>
      </c>
      <c r="G9379" t="s">
        <v>25</v>
      </c>
      <c r="H9379" t="s">
        <v>19</v>
      </c>
      <c r="I9379" t="s">
        <v>21</v>
      </c>
      <c r="J9379">
        <v>582.33600000000001</v>
      </c>
      <c r="K9379">
        <v>8</v>
      </c>
      <c r="L9379">
        <v>0.2</v>
      </c>
      <c r="M9379">
        <v>-29.116800000000001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35</v>
      </c>
      <c r="I9380" t="s">
        <v>36</v>
      </c>
      <c r="J9380">
        <v>629.95000000000005</v>
      </c>
      <c r="K9380">
        <v>5</v>
      </c>
      <c r="L9380">
        <v>0</v>
      </c>
      <c r="M9380">
        <v>157.48750000000001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21</v>
      </c>
      <c r="J9381">
        <v>631.78200000000004</v>
      </c>
      <c r="K9381">
        <v>2</v>
      </c>
      <c r="L9381">
        <v>0.1</v>
      </c>
      <c r="M9381">
        <v>140.39599999999999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19</v>
      </c>
      <c r="I9382" t="s">
        <v>20</v>
      </c>
      <c r="J9382">
        <v>801.56799999999998</v>
      </c>
      <c r="K9382">
        <v>2</v>
      </c>
      <c r="L9382">
        <v>0.2</v>
      </c>
      <c r="M9382">
        <v>-10.019600000000001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27</v>
      </c>
      <c r="J9383">
        <v>75.180000000000007</v>
      </c>
      <c r="K9383">
        <v>6</v>
      </c>
      <c r="L9383">
        <v>0</v>
      </c>
      <c r="M9383">
        <v>35.334600000000002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26</v>
      </c>
      <c r="I9384" t="s">
        <v>38</v>
      </c>
      <c r="J9384">
        <v>30.98</v>
      </c>
      <c r="K9384">
        <v>1</v>
      </c>
      <c r="L9384">
        <v>0</v>
      </c>
      <c r="M9384">
        <v>8.0548000000000002</v>
      </c>
    </row>
    <row r="9385" spans="1:13" x14ac:dyDescent="0.3">
      <c r="A9385" t="s">
        <v>62</v>
      </c>
      <c r="B9385" t="s">
        <v>14</v>
      </c>
      <c r="C9385" t="s">
        <v>15</v>
      </c>
      <c r="D9385" t="s">
        <v>75</v>
      </c>
      <c r="E9385" t="s">
        <v>76</v>
      </c>
      <c r="F9385">
        <v>10011</v>
      </c>
      <c r="G9385" t="s">
        <v>57</v>
      </c>
      <c r="H9385" t="s">
        <v>35</v>
      </c>
      <c r="I9385" t="s">
        <v>36</v>
      </c>
      <c r="J9385">
        <v>1349.91</v>
      </c>
      <c r="K9385">
        <v>9</v>
      </c>
      <c r="L9385">
        <v>0</v>
      </c>
      <c r="M9385">
        <v>661.45590000000004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616</v>
      </c>
      <c r="E9386" t="s">
        <v>65</v>
      </c>
      <c r="F9386">
        <v>60004</v>
      </c>
      <c r="G9386" t="s">
        <v>47</v>
      </c>
      <c r="H9386" t="s">
        <v>26</v>
      </c>
      <c r="I9386" t="s">
        <v>34</v>
      </c>
      <c r="J9386">
        <v>14.112</v>
      </c>
      <c r="K9386">
        <v>6</v>
      </c>
      <c r="L9386">
        <v>0.2</v>
      </c>
      <c r="M9386">
        <v>1.2347999999999999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400</v>
      </c>
      <c r="E9387" t="s">
        <v>83</v>
      </c>
      <c r="F9387">
        <v>23602</v>
      </c>
      <c r="G9387" t="s">
        <v>18</v>
      </c>
      <c r="H9387" t="s">
        <v>26</v>
      </c>
      <c r="I9387" t="s">
        <v>60</v>
      </c>
      <c r="J9387">
        <v>31.12</v>
      </c>
      <c r="K9387">
        <v>4</v>
      </c>
      <c r="L9387">
        <v>0</v>
      </c>
      <c r="M9387">
        <v>14.6264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171</v>
      </c>
      <c r="E9388" t="s">
        <v>81</v>
      </c>
      <c r="F9388">
        <v>85705</v>
      </c>
      <c r="G9388" t="s">
        <v>25</v>
      </c>
      <c r="H9388" t="s">
        <v>19</v>
      </c>
      <c r="I9388" t="s">
        <v>33</v>
      </c>
      <c r="J9388">
        <v>4.2720000000000002</v>
      </c>
      <c r="K9388">
        <v>2</v>
      </c>
      <c r="L9388">
        <v>0.2</v>
      </c>
      <c r="M9388">
        <v>0.96120000000000005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19</v>
      </c>
      <c r="I9389" t="s">
        <v>31</v>
      </c>
      <c r="J9389">
        <v>209.148</v>
      </c>
      <c r="K9389">
        <v>2</v>
      </c>
      <c r="L9389">
        <v>0.4</v>
      </c>
      <c r="M9389">
        <v>-66.230199999999996</v>
      </c>
    </row>
    <row r="9390" spans="1:13" x14ac:dyDescent="0.3">
      <c r="A9390" t="s">
        <v>13</v>
      </c>
      <c r="B9390" t="s">
        <v>14</v>
      </c>
      <c r="C9390" t="s">
        <v>15</v>
      </c>
      <c r="D9390" t="s">
        <v>75</v>
      </c>
      <c r="E9390" t="s">
        <v>76</v>
      </c>
      <c r="F9390">
        <v>10024</v>
      </c>
      <c r="G9390" t="s">
        <v>57</v>
      </c>
      <c r="H9390" t="s">
        <v>26</v>
      </c>
      <c r="I9390" t="s">
        <v>32</v>
      </c>
      <c r="J9390">
        <v>1591.02</v>
      </c>
      <c r="K9390">
        <v>6</v>
      </c>
      <c r="L9390">
        <v>0</v>
      </c>
      <c r="M9390">
        <v>286.3836</v>
      </c>
    </row>
    <row r="9391" spans="1:13" x14ac:dyDescent="0.3">
      <c r="A9391" t="s">
        <v>28</v>
      </c>
      <c r="B9391" t="s">
        <v>22</v>
      </c>
      <c r="C9391" t="s">
        <v>15</v>
      </c>
      <c r="D9391" t="s">
        <v>55</v>
      </c>
      <c r="E9391" t="s">
        <v>56</v>
      </c>
      <c r="F9391">
        <v>19134</v>
      </c>
      <c r="G9391" t="s">
        <v>57</v>
      </c>
      <c r="H9391" t="s">
        <v>26</v>
      </c>
      <c r="I9391" t="s">
        <v>77</v>
      </c>
      <c r="J9391">
        <v>7.92</v>
      </c>
      <c r="K9391">
        <v>5</v>
      </c>
      <c r="L9391">
        <v>0.2</v>
      </c>
      <c r="M9391">
        <v>1.6830000000000001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35</v>
      </c>
      <c r="I9392" t="s">
        <v>123</v>
      </c>
      <c r="J9392">
        <v>574.91</v>
      </c>
      <c r="K9392">
        <v>2</v>
      </c>
      <c r="L9392">
        <v>0.3</v>
      </c>
      <c r="M9392">
        <v>156.047</v>
      </c>
    </row>
    <row r="9393" spans="1:13" x14ac:dyDescent="0.3">
      <c r="A9393" t="s">
        <v>62</v>
      </c>
      <c r="B9393" t="s">
        <v>44</v>
      </c>
      <c r="C9393" t="s">
        <v>15</v>
      </c>
      <c r="D9393" t="s">
        <v>79</v>
      </c>
      <c r="E9393" t="s">
        <v>65</v>
      </c>
      <c r="F9393">
        <v>60653</v>
      </c>
      <c r="G9393" t="s">
        <v>47</v>
      </c>
      <c r="H9393" t="s">
        <v>26</v>
      </c>
      <c r="I9393" t="s">
        <v>41</v>
      </c>
      <c r="J9393">
        <v>8.4480000000000004</v>
      </c>
      <c r="K9393">
        <v>2</v>
      </c>
      <c r="L9393">
        <v>0.2</v>
      </c>
      <c r="M9393">
        <v>2.64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35</v>
      </c>
      <c r="I9394" t="s">
        <v>59</v>
      </c>
      <c r="J9394">
        <v>1071</v>
      </c>
      <c r="K9394">
        <v>9</v>
      </c>
      <c r="L9394">
        <v>0</v>
      </c>
      <c r="M9394">
        <v>171.36</v>
      </c>
    </row>
    <row r="9395" spans="1:13" x14ac:dyDescent="0.3">
      <c r="A9395" t="s">
        <v>13</v>
      </c>
      <c r="B9395" t="s">
        <v>14</v>
      </c>
      <c r="C9395" t="s">
        <v>15</v>
      </c>
      <c r="D9395" t="s">
        <v>75</v>
      </c>
      <c r="E9395" t="s">
        <v>76</v>
      </c>
      <c r="F9395">
        <v>10035</v>
      </c>
      <c r="G9395" t="s">
        <v>57</v>
      </c>
      <c r="H9395" t="s">
        <v>19</v>
      </c>
      <c r="I9395" t="s">
        <v>33</v>
      </c>
      <c r="J9395">
        <v>12.07</v>
      </c>
      <c r="K9395">
        <v>1</v>
      </c>
      <c r="L9395">
        <v>0</v>
      </c>
      <c r="M9395">
        <v>3.9830999999999999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26</v>
      </c>
      <c r="I9396" t="s">
        <v>37</v>
      </c>
      <c r="J9396">
        <v>3.2730000000000001</v>
      </c>
      <c r="K9396">
        <v>1</v>
      </c>
      <c r="L9396">
        <v>0.7</v>
      </c>
      <c r="M9396">
        <v>-2.5093000000000001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55</v>
      </c>
      <c r="E9397" t="s">
        <v>56</v>
      </c>
      <c r="F9397">
        <v>19143</v>
      </c>
      <c r="G9397" t="s">
        <v>57</v>
      </c>
      <c r="H9397" t="s">
        <v>19</v>
      </c>
      <c r="I9397" t="s">
        <v>33</v>
      </c>
      <c r="J9397">
        <v>87.92</v>
      </c>
      <c r="K9397">
        <v>5</v>
      </c>
      <c r="L9397">
        <v>0.2</v>
      </c>
      <c r="M9397">
        <v>15.385999999999999</v>
      </c>
    </row>
    <row r="9398" spans="1:13" x14ac:dyDescent="0.3">
      <c r="A9398" t="s">
        <v>13</v>
      </c>
      <c r="B9398" t="s">
        <v>22</v>
      </c>
      <c r="C9398" t="s">
        <v>15</v>
      </c>
      <c r="D9398" t="s">
        <v>305</v>
      </c>
      <c r="E9398" t="s">
        <v>81</v>
      </c>
      <c r="F9398">
        <v>85301</v>
      </c>
      <c r="G9398" t="s">
        <v>25</v>
      </c>
      <c r="H9398" t="s">
        <v>26</v>
      </c>
      <c r="I9398" t="s">
        <v>32</v>
      </c>
      <c r="J9398">
        <v>104.696</v>
      </c>
      <c r="K9398">
        <v>1</v>
      </c>
      <c r="L9398">
        <v>0.2</v>
      </c>
      <c r="M9398">
        <v>6.5434999999999999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23</v>
      </c>
      <c r="E9399" t="s">
        <v>24</v>
      </c>
      <c r="F9399">
        <v>90036</v>
      </c>
      <c r="G9399" t="s">
        <v>25</v>
      </c>
      <c r="H9399" t="s">
        <v>19</v>
      </c>
      <c r="I9399" t="s">
        <v>21</v>
      </c>
      <c r="J9399">
        <v>2803.92</v>
      </c>
      <c r="K9399">
        <v>5</v>
      </c>
      <c r="L9399">
        <v>0.2</v>
      </c>
      <c r="M9399">
        <v>0</v>
      </c>
    </row>
    <row r="9400" spans="1:13" x14ac:dyDescent="0.3">
      <c r="A9400" t="s">
        <v>62</v>
      </c>
      <c r="B9400" t="s">
        <v>22</v>
      </c>
      <c r="C9400" t="s">
        <v>15</v>
      </c>
      <c r="D9400" t="s">
        <v>61</v>
      </c>
      <c r="E9400" t="s">
        <v>46</v>
      </c>
      <c r="F9400">
        <v>77041</v>
      </c>
      <c r="G9400" t="s">
        <v>47</v>
      </c>
      <c r="H9400" t="s">
        <v>26</v>
      </c>
      <c r="I9400" t="s">
        <v>37</v>
      </c>
      <c r="J9400">
        <v>6.8159999999999998</v>
      </c>
      <c r="K9400">
        <v>2</v>
      </c>
      <c r="L9400">
        <v>0.8</v>
      </c>
      <c r="M9400">
        <v>-11.587199999999999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35</v>
      </c>
      <c r="I9401" t="s">
        <v>36</v>
      </c>
      <c r="J9401">
        <v>249.584</v>
      </c>
      <c r="K9401">
        <v>2</v>
      </c>
      <c r="L9401">
        <v>0.2</v>
      </c>
      <c r="M9401">
        <v>15.599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26</v>
      </c>
      <c r="I9402" t="s">
        <v>41</v>
      </c>
      <c r="J9402">
        <v>17.940000000000001</v>
      </c>
      <c r="K9402">
        <v>3</v>
      </c>
      <c r="L9402">
        <v>0</v>
      </c>
      <c r="M9402">
        <v>8.7905999999999995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42</v>
      </c>
      <c r="E9403" t="s">
        <v>43</v>
      </c>
      <c r="F9403">
        <v>98115</v>
      </c>
      <c r="G9403" t="s">
        <v>25</v>
      </c>
      <c r="H9403" t="s">
        <v>19</v>
      </c>
      <c r="I9403" t="s">
        <v>33</v>
      </c>
      <c r="J9403">
        <v>10.11</v>
      </c>
      <c r="K9403">
        <v>3</v>
      </c>
      <c r="L9403">
        <v>0</v>
      </c>
      <c r="M9403">
        <v>3.2351999999999999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10.368</v>
      </c>
      <c r="K9404">
        <v>2</v>
      </c>
      <c r="L9404">
        <v>0.2</v>
      </c>
      <c r="M9404">
        <v>3.6288</v>
      </c>
    </row>
    <row r="9405" spans="1:13" x14ac:dyDescent="0.3">
      <c r="A9405" t="s">
        <v>28</v>
      </c>
      <c r="B9405" t="s">
        <v>44</v>
      </c>
      <c r="C9405" t="s">
        <v>15</v>
      </c>
      <c r="D9405" t="s">
        <v>196</v>
      </c>
      <c r="E9405" t="s">
        <v>40</v>
      </c>
      <c r="F9405">
        <v>28314</v>
      </c>
      <c r="G9405" t="s">
        <v>18</v>
      </c>
      <c r="H9405" t="s">
        <v>26</v>
      </c>
      <c r="I9405" t="s">
        <v>41</v>
      </c>
      <c r="J9405">
        <v>11.952</v>
      </c>
      <c r="K9405">
        <v>3</v>
      </c>
      <c r="L9405">
        <v>0.2</v>
      </c>
      <c r="M9405">
        <v>4.0338000000000003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15.224</v>
      </c>
      <c r="K9406">
        <v>2</v>
      </c>
      <c r="L9406">
        <v>0.8</v>
      </c>
      <c r="M9406">
        <v>-38.821199999999997</v>
      </c>
    </row>
    <row r="9407" spans="1:13" x14ac:dyDescent="0.3">
      <c r="A9407" t="s">
        <v>13</v>
      </c>
      <c r="B9407" t="s">
        <v>22</v>
      </c>
      <c r="C9407" t="s">
        <v>15</v>
      </c>
      <c r="D9407" t="s">
        <v>61</v>
      </c>
      <c r="E9407" t="s">
        <v>46</v>
      </c>
      <c r="F9407">
        <v>77041</v>
      </c>
      <c r="G9407" t="s">
        <v>47</v>
      </c>
      <c r="H9407" t="s">
        <v>26</v>
      </c>
      <c r="I9407" t="s">
        <v>38</v>
      </c>
      <c r="J9407">
        <v>21.984000000000002</v>
      </c>
      <c r="K9407">
        <v>6</v>
      </c>
      <c r="L9407">
        <v>0.8</v>
      </c>
      <c r="M9407">
        <v>-56.059199999999997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35</v>
      </c>
      <c r="I9408" t="s">
        <v>36</v>
      </c>
      <c r="J9408">
        <v>604.75199999999995</v>
      </c>
      <c r="K9408">
        <v>6</v>
      </c>
      <c r="L9408">
        <v>0.2</v>
      </c>
      <c r="M9408">
        <v>60.475200000000001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26</v>
      </c>
      <c r="I9409" t="s">
        <v>110</v>
      </c>
      <c r="J9409">
        <v>40.700000000000003</v>
      </c>
      <c r="K9409">
        <v>5</v>
      </c>
      <c r="L9409">
        <v>0</v>
      </c>
      <c r="M9409">
        <v>11.803000000000001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36</v>
      </c>
      <c r="J9410">
        <v>302.37599999999998</v>
      </c>
      <c r="K9410">
        <v>3</v>
      </c>
      <c r="L9410">
        <v>0.2</v>
      </c>
      <c r="M9410">
        <v>37.796999999999997</v>
      </c>
    </row>
    <row r="9411" spans="1:13" x14ac:dyDescent="0.3">
      <c r="A9411" t="s">
        <v>28</v>
      </c>
      <c r="B9411" t="s">
        <v>22</v>
      </c>
      <c r="C9411" t="s">
        <v>15</v>
      </c>
      <c r="D9411" t="s">
        <v>52</v>
      </c>
      <c r="E9411" t="s">
        <v>24</v>
      </c>
      <c r="F9411">
        <v>94122</v>
      </c>
      <c r="G9411" t="s">
        <v>25</v>
      </c>
      <c r="H9411" t="s">
        <v>35</v>
      </c>
      <c r="I9411" t="s">
        <v>59</v>
      </c>
      <c r="J9411">
        <v>45</v>
      </c>
      <c r="K9411">
        <v>3</v>
      </c>
      <c r="L9411">
        <v>0</v>
      </c>
      <c r="M9411">
        <v>4.95</v>
      </c>
    </row>
    <row r="9412" spans="1:13" x14ac:dyDescent="0.3">
      <c r="A9412" t="s">
        <v>13</v>
      </c>
      <c r="B9412" t="s">
        <v>14</v>
      </c>
      <c r="C9412" t="s">
        <v>15</v>
      </c>
      <c r="D9412" t="s">
        <v>75</v>
      </c>
      <c r="E9412" t="s">
        <v>76</v>
      </c>
      <c r="F9412">
        <v>10035</v>
      </c>
      <c r="G9412" t="s">
        <v>57</v>
      </c>
      <c r="H9412" t="s">
        <v>19</v>
      </c>
      <c r="I9412" t="s">
        <v>21</v>
      </c>
      <c r="J9412">
        <v>3785.2919999999999</v>
      </c>
      <c r="K9412">
        <v>6</v>
      </c>
      <c r="L9412">
        <v>0.1</v>
      </c>
      <c r="M9412">
        <v>420.58800000000002</v>
      </c>
    </row>
    <row r="9413" spans="1:13" x14ac:dyDescent="0.3">
      <c r="A9413" t="s">
        <v>28</v>
      </c>
      <c r="B9413" t="s">
        <v>14</v>
      </c>
      <c r="C9413" t="s">
        <v>15</v>
      </c>
      <c r="D9413" t="s">
        <v>42</v>
      </c>
      <c r="E9413" t="s">
        <v>43</v>
      </c>
      <c r="F9413">
        <v>98105</v>
      </c>
      <c r="G9413" t="s">
        <v>25</v>
      </c>
      <c r="H9413" t="s">
        <v>26</v>
      </c>
      <c r="I9413" t="s">
        <v>34</v>
      </c>
      <c r="J9413">
        <v>35.4</v>
      </c>
      <c r="K9413">
        <v>5</v>
      </c>
      <c r="L9413">
        <v>0</v>
      </c>
      <c r="M9413">
        <v>13.452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283</v>
      </c>
      <c r="E9414" t="s">
        <v>76</v>
      </c>
      <c r="F9414">
        <v>14215</v>
      </c>
      <c r="G9414" t="s">
        <v>57</v>
      </c>
      <c r="H9414" t="s">
        <v>19</v>
      </c>
      <c r="I9414" t="s">
        <v>33</v>
      </c>
      <c r="J9414">
        <v>199.9</v>
      </c>
      <c r="K9414">
        <v>5</v>
      </c>
      <c r="L9414">
        <v>0</v>
      </c>
      <c r="M9414">
        <v>39.979999999999997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195</v>
      </c>
      <c r="E9415" t="s">
        <v>46</v>
      </c>
      <c r="F9415">
        <v>77340</v>
      </c>
      <c r="G9415" t="s">
        <v>47</v>
      </c>
      <c r="H9415" t="s">
        <v>19</v>
      </c>
      <c r="I9415" t="s">
        <v>21</v>
      </c>
      <c r="J9415">
        <v>1212.96</v>
      </c>
      <c r="K9415">
        <v>8</v>
      </c>
      <c r="L9415">
        <v>0.3</v>
      </c>
      <c r="M9415">
        <v>-69.311999999999998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35</v>
      </c>
      <c r="I9416" t="s">
        <v>36</v>
      </c>
      <c r="J9416">
        <v>1099.96</v>
      </c>
      <c r="K9416">
        <v>5</v>
      </c>
      <c r="L9416">
        <v>0.2</v>
      </c>
      <c r="M9416">
        <v>82.497</v>
      </c>
    </row>
    <row r="9417" spans="1:13" x14ac:dyDescent="0.3">
      <c r="A9417" t="s">
        <v>28</v>
      </c>
      <c r="B9417" t="s">
        <v>22</v>
      </c>
      <c r="C9417" t="s">
        <v>15</v>
      </c>
      <c r="D9417" t="s">
        <v>135</v>
      </c>
      <c r="E9417" t="s">
        <v>46</v>
      </c>
      <c r="F9417">
        <v>75081</v>
      </c>
      <c r="G9417" t="s">
        <v>47</v>
      </c>
      <c r="H9417" t="s">
        <v>19</v>
      </c>
      <c r="I9417" t="s">
        <v>31</v>
      </c>
      <c r="J9417">
        <v>103.48099999999999</v>
      </c>
      <c r="K9417">
        <v>1</v>
      </c>
      <c r="L9417">
        <v>0.3</v>
      </c>
      <c r="M9417">
        <v>-16.261299999999999</v>
      </c>
    </row>
    <row r="9418" spans="1:13" x14ac:dyDescent="0.3">
      <c r="A9418" t="s">
        <v>168</v>
      </c>
      <c r="B9418" t="s">
        <v>44</v>
      </c>
      <c r="C9418" t="s">
        <v>15</v>
      </c>
      <c r="D9418" t="s">
        <v>55</v>
      </c>
      <c r="E9418" t="s">
        <v>56</v>
      </c>
      <c r="F9418">
        <v>19134</v>
      </c>
      <c r="G9418" t="s">
        <v>57</v>
      </c>
      <c r="H9418" t="s">
        <v>26</v>
      </c>
      <c r="I9418" t="s">
        <v>27</v>
      </c>
      <c r="J9418">
        <v>5.9039999999999999</v>
      </c>
      <c r="K9418">
        <v>2</v>
      </c>
      <c r="L9418">
        <v>0.2</v>
      </c>
      <c r="M9418">
        <v>1.9925999999999999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35</v>
      </c>
      <c r="I9419" t="s">
        <v>59</v>
      </c>
      <c r="J9419">
        <v>30.08</v>
      </c>
      <c r="K9419">
        <v>2</v>
      </c>
      <c r="L9419">
        <v>0.2</v>
      </c>
      <c r="M9419">
        <v>-5.2640000000000002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41</v>
      </c>
      <c r="J9420">
        <v>36.287999999999997</v>
      </c>
      <c r="K9420">
        <v>7</v>
      </c>
      <c r="L9420">
        <v>0.2</v>
      </c>
      <c r="M9420">
        <v>12.700799999999999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26</v>
      </c>
      <c r="I9421" t="s">
        <v>34</v>
      </c>
      <c r="J9421">
        <v>10.272</v>
      </c>
      <c r="K9421">
        <v>3</v>
      </c>
      <c r="L9421">
        <v>0.2</v>
      </c>
      <c r="M9421">
        <v>1.1556</v>
      </c>
    </row>
    <row r="9422" spans="1:13" x14ac:dyDescent="0.3">
      <c r="A9422" t="s">
        <v>28</v>
      </c>
      <c r="B9422" t="s">
        <v>14</v>
      </c>
      <c r="C9422" t="s">
        <v>15</v>
      </c>
      <c r="D9422" t="s">
        <v>175</v>
      </c>
      <c r="E9422" t="s">
        <v>81</v>
      </c>
      <c r="F9422">
        <v>85345</v>
      </c>
      <c r="G9422" t="s">
        <v>25</v>
      </c>
      <c r="H9422" t="s">
        <v>35</v>
      </c>
      <c r="I9422" t="s">
        <v>59</v>
      </c>
      <c r="J9422">
        <v>252.8</v>
      </c>
      <c r="K9422">
        <v>4</v>
      </c>
      <c r="L9422">
        <v>0.2</v>
      </c>
      <c r="M9422">
        <v>-31.6</v>
      </c>
    </row>
    <row r="9423" spans="1:13" x14ac:dyDescent="0.3">
      <c r="A9423" t="s">
        <v>168</v>
      </c>
      <c r="B9423" t="s">
        <v>14</v>
      </c>
      <c r="C9423" t="s">
        <v>15</v>
      </c>
      <c r="D9423" t="s">
        <v>55</v>
      </c>
      <c r="E9423" t="s">
        <v>56</v>
      </c>
      <c r="F9423">
        <v>19143</v>
      </c>
      <c r="G9423" t="s">
        <v>57</v>
      </c>
      <c r="H9423" t="s">
        <v>26</v>
      </c>
      <c r="I9423" t="s">
        <v>37</v>
      </c>
      <c r="J9423">
        <v>2.9460000000000002</v>
      </c>
      <c r="K9423">
        <v>2</v>
      </c>
      <c r="L9423">
        <v>0.7</v>
      </c>
      <c r="M9423">
        <v>-2.0621999999999998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230</v>
      </c>
      <c r="E9424" t="s">
        <v>24</v>
      </c>
      <c r="F9424">
        <v>92054</v>
      </c>
      <c r="G9424" t="s">
        <v>25</v>
      </c>
      <c r="H9424" t="s">
        <v>26</v>
      </c>
      <c r="I9424" t="s">
        <v>41</v>
      </c>
      <c r="J9424">
        <v>12.96</v>
      </c>
      <c r="K9424">
        <v>2</v>
      </c>
      <c r="L9424">
        <v>0</v>
      </c>
      <c r="M9424">
        <v>6.2207999999999997</v>
      </c>
    </row>
    <row r="9425" spans="1:13" x14ac:dyDescent="0.3">
      <c r="A9425" t="s">
        <v>28</v>
      </c>
      <c r="B9425" t="s">
        <v>14</v>
      </c>
      <c r="C9425" t="s">
        <v>15</v>
      </c>
      <c r="D9425" t="s">
        <v>55</v>
      </c>
      <c r="E9425" t="s">
        <v>56</v>
      </c>
      <c r="F9425">
        <v>19134</v>
      </c>
      <c r="G9425" t="s">
        <v>57</v>
      </c>
      <c r="H9425" t="s">
        <v>35</v>
      </c>
      <c r="I9425" t="s">
        <v>36</v>
      </c>
      <c r="J9425">
        <v>285.57600000000002</v>
      </c>
      <c r="K9425">
        <v>4</v>
      </c>
      <c r="L9425">
        <v>0.4</v>
      </c>
      <c r="M9425">
        <v>-57.115200000000002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79</v>
      </c>
      <c r="E9426" t="s">
        <v>65</v>
      </c>
      <c r="F9426">
        <v>60623</v>
      </c>
      <c r="G9426" t="s">
        <v>47</v>
      </c>
      <c r="H9426" t="s">
        <v>26</v>
      </c>
      <c r="I9426" t="s">
        <v>110</v>
      </c>
      <c r="J9426">
        <v>22.24</v>
      </c>
      <c r="K9426">
        <v>2</v>
      </c>
      <c r="L9426">
        <v>0.2</v>
      </c>
      <c r="M9426">
        <v>2.5019999999999998</v>
      </c>
    </row>
    <row r="9427" spans="1:13" x14ac:dyDescent="0.3">
      <c r="A9427" t="s">
        <v>28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26</v>
      </c>
      <c r="I9427" t="s">
        <v>41</v>
      </c>
      <c r="J9427">
        <v>14.62</v>
      </c>
      <c r="K9427">
        <v>2</v>
      </c>
      <c r="L9427">
        <v>0</v>
      </c>
      <c r="M9427">
        <v>6.7252000000000001</v>
      </c>
    </row>
    <row r="9428" spans="1:13" x14ac:dyDescent="0.3">
      <c r="A9428" t="s">
        <v>13</v>
      </c>
      <c r="B9428" t="s">
        <v>14</v>
      </c>
      <c r="C9428" t="s">
        <v>15</v>
      </c>
      <c r="D9428" t="s">
        <v>324</v>
      </c>
      <c r="E9428" t="s">
        <v>104</v>
      </c>
      <c r="F9428">
        <v>44240</v>
      </c>
      <c r="G9428" t="s">
        <v>57</v>
      </c>
      <c r="H9428" t="s">
        <v>26</v>
      </c>
      <c r="I9428" t="s">
        <v>38</v>
      </c>
      <c r="J9428">
        <v>48.36</v>
      </c>
      <c r="K9428">
        <v>5</v>
      </c>
      <c r="L9428">
        <v>0.2</v>
      </c>
      <c r="M9428">
        <v>6.0449999999999999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26</v>
      </c>
      <c r="I9429" t="s">
        <v>34</v>
      </c>
      <c r="J9429">
        <v>16.256</v>
      </c>
      <c r="K9429">
        <v>2</v>
      </c>
      <c r="L9429">
        <v>0.2</v>
      </c>
      <c r="M9429">
        <v>1.2192000000000001</v>
      </c>
    </row>
    <row r="9430" spans="1:13" x14ac:dyDescent="0.3">
      <c r="A9430" t="s">
        <v>28</v>
      </c>
      <c r="B9430" t="s">
        <v>44</v>
      </c>
      <c r="C9430" t="s">
        <v>15</v>
      </c>
      <c r="D9430" t="s">
        <v>189</v>
      </c>
      <c r="E9430" t="s">
        <v>30</v>
      </c>
      <c r="F9430">
        <v>32216</v>
      </c>
      <c r="G9430" t="s">
        <v>18</v>
      </c>
      <c r="H9430" t="s">
        <v>35</v>
      </c>
      <c r="I9430" t="s">
        <v>36</v>
      </c>
      <c r="J9430">
        <v>219.184</v>
      </c>
      <c r="K9430">
        <v>2</v>
      </c>
      <c r="L9430">
        <v>0.2</v>
      </c>
      <c r="M9430">
        <v>19.178599999999999</v>
      </c>
    </row>
    <row r="9431" spans="1:13" x14ac:dyDescent="0.3">
      <c r="A9431" t="s">
        <v>62</v>
      </c>
      <c r="B9431" t="s">
        <v>22</v>
      </c>
      <c r="C9431" t="s">
        <v>15</v>
      </c>
      <c r="D9431" t="s">
        <v>309</v>
      </c>
      <c r="E9431" t="s">
        <v>46</v>
      </c>
      <c r="F9431">
        <v>75019</v>
      </c>
      <c r="G9431" t="s">
        <v>47</v>
      </c>
      <c r="H9431" t="s">
        <v>35</v>
      </c>
      <c r="I9431" t="s">
        <v>36</v>
      </c>
      <c r="J9431">
        <v>95.84</v>
      </c>
      <c r="K9431">
        <v>4</v>
      </c>
      <c r="L9431">
        <v>0.2</v>
      </c>
      <c r="M9431">
        <v>34.741999999999997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330</v>
      </c>
      <c r="E9432" t="s">
        <v>74</v>
      </c>
      <c r="F9432">
        <v>46203</v>
      </c>
      <c r="G9432" t="s">
        <v>47</v>
      </c>
      <c r="H9432" t="s">
        <v>26</v>
      </c>
      <c r="I9432" t="s">
        <v>27</v>
      </c>
      <c r="J9432">
        <v>12.39</v>
      </c>
      <c r="K9432">
        <v>3</v>
      </c>
      <c r="L9432">
        <v>0</v>
      </c>
      <c r="M9432">
        <v>5.6993999999999998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184</v>
      </c>
      <c r="E9433" t="s">
        <v>74</v>
      </c>
      <c r="F9433">
        <v>46226</v>
      </c>
      <c r="G9433" t="s">
        <v>47</v>
      </c>
      <c r="H9433" t="s">
        <v>26</v>
      </c>
      <c r="I9433" t="s">
        <v>41</v>
      </c>
      <c r="J9433">
        <v>35.880000000000003</v>
      </c>
      <c r="K9433">
        <v>6</v>
      </c>
      <c r="L9433">
        <v>0</v>
      </c>
      <c r="M9433">
        <v>16.146000000000001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337</v>
      </c>
      <c r="E9434" t="s">
        <v>119</v>
      </c>
      <c r="F9434">
        <v>74133</v>
      </c>
      <c r="G9434" t="s">
        <v>47</v>
      </c>
      <c r="H9434" t="s">
        <v>19</v>
      </c>
      <c r="I9434" t="s">
        <v>33</v>
      </c>
      <c r="J9434">
        <v>477.3</v>
      </c>
      <c r="K9434">
        <v>5</v>
      </c>
      <c r="L9434">
        <v>0</v>
      </c>
      <c r="M9434">
        <v>138.417</v>
      </c>
    </row>
    <row r="9435" spans="1:13" x14ac:dyDescent="0.3">
      <c r="A9435" t="s">
        <v>28</v>
      </c>
      <c r="B9435" t="s">
        <v>44</v>
      </c>
      <c r="C9435" t="s">
        <v>15</v>
      </c>
      <c r="D9435" t="s">
        <v>338</v>
      </c>
      <c r="E9435" t="s">
        <v>43</v>
      </c>
      <c r="F9435">
        <v>98052</v>
      </c>
      <c r="G9435" t="s">
        <v>25</v>
      </c>
      <c r="H9435" t="s">
        <v>26</v>
      </c>
      <c r="I9435" t="s">
        <v>27</v>
      </c>
      <c r="J9435">
        <v>12.32</v>
      </c>
      <c r="K9435">
        <v>4</v>
      </c>
      <c r="L9435">
        <v>0</v>
      </c>
      <c r="M9435">
        <v>5.9135999999999997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52</v>
      </c>
      <c r="E9436" t="s">
        <v>24</v>
      </c>
      <c r="F9436">
        <v>94109</v>
      </c>
      <c r="G9436" t="s">
        <v>25</v>
      </c>
      <c r="H9436" t="s">
        <v>26</v>
      </c>
      <c r="I9436" t="s">
        <v>37</v>
      </c>
      <c r="J9436">
        <v>8.6080000000000005</v>
      </c>
      <c r="K9436">
        <v>2</v>
      </c>
      <c r="L9436">
        <v>0.2</v>
      </c>
      <c r="M9436">
        <v>3.0127999999999999</v>
      </c>
    </row>
    <row r="9437" spans="1:13" x14ac:dyDescent="0.3">
      <c r="A9437" t="s">
        <v>28</v>
      </c>
      <c r="B9437" t="s">
        <v>44</v>
      </c>
      <c r="C9437" t="s">
        <v>15</v>
      </c>
      <c r="D9437" t="s">
        <v>344</v>
      </c>
      <c r="E9437" t="s">
        <v>43</v>
      </c>
      <c r="F9437">
        <v>99207</v>
      </c>
      <c r="G9437" t="s">
        <v>25</v>
      </c>
      <c r="H9437" t="s">
        <v>26</v>
      </c>
      <c r="I9437" t="s">
        <v>32</v>
      </c>
      <c r="J9437">
        <v>136.26</v>
      </c>
      <c r="K9437">
        <v>9</v>
      </c>
      <c r="L9437">
        <v>0</v>
      </c>
      <c r="M9437">
        <v>5.4504000000000001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38</v>
      </c>
      <c r="J9438">
        <v>186.15</v>
      </c>
      <c r="K9438">
        <v>3</v>
      </c>
      <c r="L9438">
        <v>0</v>
      </c>
      <c r="M9438">
        <v>55.844999999999999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37</v>
      </c>
      <c r="J9439">
        <v>81.792000000000002</v>
      </c>
      <c r="K9439">
        <v>6</v>
      </c>
      <c r="L9439">
        <v>0.2</v>
      </c>
      <c r="M9439">
        <v>26.5824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26</v>
      </c>
      <c r="I9440" t="s">
        <v>110</v>
      </c>
      <c r="J9440">
        <v>47.19</v>
      </c>
      <c r="K9440">
        <v>3</v>
      </c>
      <c r="L9440">
        <v>0</v>
      </c>
      <c r="M9440">
        <v>13.6851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23</v>
      </c>
      <c r="E9441" t="s">
        <v>24</v>
      </c>
      <c r="F9441">
        <v>90032</v>
      </c>
      <c r="G9441" t="s">
        <v>25</v>
      </c>
      <c r="H9441" t="s">
        <v>35</v>
      </c>
      <c r="I9441" t="s">
        <v>36</v>
      </c>
      <c r="J9441">
        <v>36.783999999999999</v>
      </c>
      <c r="K9441">
        <v>2</v>
      </c>
      <c r="L9441">
        <v>0.2</v>
      </c>
      <c r="M9441">
        <v>-8.2764000000000006</v>
      </c>
    </row>
    <row r="9442" spans="1:13" x14ac:dyDescent="0.3">
      <c r="A9442" t="s">
        <v>13</v>
      </c>
      <c r="B9442" t="s">
        <v>44</v>
      </c>
      <c r="C9442" t="s">
        <v>15</v>
      </c>
      <c r="D9442" t="s">
        <v>435</v>
      </c>
      <c r="E9442" t="s">
        <v>86</v>
      </c>
      <c r="F9442">
        <v>37421</v>
      </c>
      <c r="G9442" t="s">
        <v>18</v>
      </c>
      <c r="H9442" t="s">
        <v>35</v>
      </c>
      <c r="I9442" t="s">
        <v>123</v>
      </c>
      <c r="J9442">
        <v>91.474999999999994</v>
      </c>
      <c r="K9442">
        <v>1</v>
      </c>
      <c r="L9442">
        <v>0.5</v>
      </c>
      <c r="M9442">
        <v>-1.8294999999999999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35</v>
      </c>
      <c r="I9443" t="s">
        <v>59</v>
      </c>
      <c r="J9443">
        <v>27.192</v>
      </c>
      <c r="K9443">
        <v>3</v>
      </c>
      <c r="L9443">
        <v>0.2</v>
      </c>
      <c r="M9443">
        <v>0.33989999999999998</v>
      </c>
    </row>
    <row r="9444" spans="1:13" x14ac:dyDescent="0.3">
      <c r="A9444" t="s">
        <v>28</v>
      </c>
      <c r="B9444" t="s">
        <v>22</v>
      </c>
      <c r="C9444" t="s">
        <v>15</v>
      </c>
      <c r="D9444" t="s">
        <v>332</v>
      </c>
      <c r="E9444" t="s">
        <v>40</v>
      </c>
      <c r="F9444">
        <v>27405</v>
      </c>
      <c r="G9444" t="s">
        <v>18</v>
      </c>
      <c r="H9444" t="s">
        <v>26</v>
      </c>
      <c r="I9444" t="s">
        <v>37</v>
      </c>
      <c r="J9444">
        <v>12.06</v>
      </c>
      <c r="K9444">
        <v>5</v>
      </c>
      <c r="L9444">
        <v>0.7</v>
      </c>
      <c r="M9444">
        <v>-10.050000000000001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26</v>
      </c>
      <c r="I9445" t="s">
        <v>34</v>
      </c>
      <c r="J9445">
        <v>144.6</v>
      </c>
      <c r="K9445">
        <v>3</v>
      </c>
      <c r="L9445">
        <v>0</v>
      </c>
      <c r="M9445">
        <v>41.933999999999997</v>
      </c>
    </row>
    <row r="9446" spans="1:13" x14ac:dyDescent="0.3">
      <c r="A9446" t="s">
        <v>28</v>
      </c>
      <c r="B9446" t="s">
        <v>14</v>
      </c>
      <c r="C9446" t="s">
        <v>15</v>
      </c>
      <c r="D9446" t="s">
        <v>52</v>
      </c>
      <c r="E9446" t="s">
        <v>24</v>
      </c>
      <c r="F9446">
        <v>94122</v>
      </c>
      <c r="G9446" t="s">
        <v>25</v>
      </c>
      <c r="H9446" t="s">
        <v>35</v>
      </c>
      <c r="I9446" t="s">
        <v>36</v>
      </c>
      <c r="J9446">
        <v>15.992000000000001</v>
      </c>
      <c r="K9446">
        <v>1</v>
      </c>
      <c r="L9446">
        <v>0.2</v>
      </c>
      <c r="M9446">
        <v>-2.9984999999999999</v>
      </c>
    </row>
    <row r="9447" spans="1:13" x14ac:dyDescent="0.3">
      <c r="A9447" t="s">
        <v>13</v>
      </c>
      <c r="B9447" t="s">
        <v>44</v>
      </c>
      <c r="C9447" t="s">
        <v>15</v>
      </c>
      <c r="D9447" t="s">
        <v>75</v>
      </c>
      <c r="E9447" t="s">
        <v>76</v>
      </c>
      <c r="F9447">
        <v>10024</v>
      </c>
      <c r="G9447" t="s">
        <v>57</v>
      </c>
      <c r="H9447" t="s">
        <v>26</v>
      </c>
      <c r="I9447" t="s">
        <v>41</v>
      </c>
      <c r="J9447">
        <v>34.44</v>
      </c>
      <c r="K9447">
        <v>3</v>
      </c>
      <c r="L9447">
        <v>0</v>
      </c>
      <c r="M9447">
        <v>17.22</v>
      </c>
    </row>
    <row r="9448" spans="1:13" x14ac:dyDescent="0.3">
      <c r="A9448" t="s">
        <v>28</v>
      </c>
      <c r="B9448" t="s">
        <v>44</v>
      </c>
      <c r="C9448" t="s">
        <v>15</v>
      </c>
      <c r="D9448" t="s">
        <v>154</v>
      </c>
      <c r="E9448" t="s">
        <v>24</v>
      </c>
      <c r="F9448">
        <v>90712</v>
      </c>
      <c r="G9448" t="s">
        <v>25</v>
      </c>
      <c r="H9448" t="s">
        <v>35</v>
      </c>
      <c r="I9448" t="s">
        <v>36</v>
      </c>
      <c r="J9448">
        <v>321.55200000000002</v>
      </c>
      <c r="K9448">
        <v>6</v>
      </c>
      <c r="L9448">
        <v>0.2</v>
      </c>
      <c r="M9448">
        <v>20.097000000000001</v>
      </c>
    </row>
    <row r="9449" spans="1:13" x14ac:dyDescent="0.3">
      <c r="A9449" t="s">
        <v>13</v>
      </c>
      <c r="B9449" t="s">
        <v>22</v>
      </c>
      <c r="C9449" t="s">
        <v>15</v>
      </c>
      <c r="D9449" t="s">
        <v>183</v>
      </c>
      <c r="E9449" t="s">
        <v>17</v>
      </c>
      <c r="F9449">
        <v>40214</v>
      </c>
      <c r="G9449" t="s">
        <v>18</v>
      </c>
      <c r="H9449" t="s">
        <v>19</v>
      </c>
      <c r="I9449" t="s">
        <v>21</v>
      </c>
      <c r="J9449">
        <v>701.96</v>
      </c>
      <c r="K9449">
        <v>2</v>
      </c>
      <c r="L9449">
        <v>0</v>
      </c>
      <c r="M9449">
        <v>168.47040000000001</v>
      </c>
    </row>
    <row r="9450" spans="1:13" x14ac:dyDescent="0.3">
      <c r="A9450" t="s">
        <v>62</v>
      </c>
      <c r="B9450" t="s">
        <v>14</v>
      </c>
      <c r="C9450" t="s">
        <v>15</v>
      </c>
      <c r="D9450" t="s">
        <v>103</v>
      </c>
      <c r="E9450" t="s">
        <v>104</v>
      </c>
      <c r="F9450">
        <v>43229</v>
      </c>
      <c r="G9450" t="s">
        <v>57</v>
      </c>
      <c r="H9450" t="s">
        <v>26</v>
      </c>
      <c r="I9450" t="s">
        <v>34</v>
      </c>
      <c r="J9450">
        <v>19.456</v>
      </c>
      <c r="K9450">
        <v>4</v>
      </c>
      <c r="L9450">
        <v>0.2</v>
      </c>
      <c r="M9450">
        <v>3.4047999999999998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114</v>
      </c>
      <c r="E9451" t="s">
        <v>72</v>
      </c>
      <c r="F9451">
        <v>19711</v>
      </c>
      <c r="G9451" t="s">
        <v>57</v>
      </c>
      <c r="H9451" t="s">
        <v>26</v>
      </c>
      <c r="I9451" t="s">
        <v>27</v>
      </c>
      <c r="J9451">
        <v>17.28</v>
      </c>
      <c r="K9451">
        <v>6</v>
      </c>
      <c r="L9451">
        <v>0</v>
      </c>
      <c r="M9451">
        <v>7.9488000000000003</v>
      </c>
    </row>
    <row r="9452" spans="1:13" x14ac:dyDescent="0.3">
      <c r="A9452" t="s">
        <v>28</v>
      </c>
      <c r="B9452" t="s">
        <v>22</v>
      </c>
      <c r="C9452" t="s">
        <v>15</v>
      </c>
      <c r="D9452" t="s">
        <v>42</v>
      </c>
      <c r="E9452" t="s">
        <v>43</v>
      </c>
      <c r="F9452">
        <v>98115</v>
      </c>
      <c r="G9452" t="s">
        <v>25</v>
      </c>
      <c r="H9452" t="s">
        <v>19</v>
      </c>
      <c r="I9452" t="s">
        <v>33</v>
      </c>
      <c r="J9452">
        <v>31.96</v>
      </c>
      <c r="K9452">
        <v>2</v>
      </c>
      <c r="L9452">
        <v>0</v>
      </c>
      <c r="M9452">
        <v>1.5980000000000001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26</v>
      </c>
      <c r="I9453" t="s">
        <v>37</v>
      </c>
      <c r="J9453">
        <v>164.68799999999999</v>
      </c>
      <c r="K9453">
        <v>6</v>
      </c>
      <c r="L9453">
        <v>0.2</v>
      </c>
      <c r="M9453">
        <v>55.5822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19</v>
      </c>
      <c r="I9454" t="s">
        <v>31</v>
      </c>
      <c r="J9454">
        <v>166.5</v>
      </c>
      <c r="K9454">
        <v>2</v>
      </c>
      <c r="L9454">
        <v>0.4</v>
      </c>
      <c r="M9454">
        <v>-66.599999999999994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12.96</v>
      </c>
      <c r="K9455">
        <v>2</v>
      </c>
      <c r="L9455">
        <v>0</v>
      </c>
      <c r="M9455">
        <v>6.2207999999999997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26</v>
      </c>
      <c r="I9456" t="s">
        <v>41</v>
      </c>
      <c r="J9456">
        <v>110.96</v>
      </c>
      <c r="K9456">
        <v>2</v>
      </c>
      <c r="L9456">
        <v>0</v>
      </c>
      <c r="M9456">
        <v>53.260800000000003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35</v>
      </c>
      <c r="I9457" t="s">
        <v>36</v>
      </c>
      <c r="J9457">
        <v>99.98</v>
      </c>
      <c r="K9457">
        <v>2</v>
      </c>
      <c r="L9457">
        <v>0</v>
      </c>
      <c r="M9457">
        <v>3.9992000000000001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26</v>
      </c>
      <c r="I9458" t="s">
        <v>37</v>
      </c>
      <c r="J9458">
        <v>11.423999999999999</v>
      </c>
      <c r="K9458">
        <v>1</v>
      </c>
      <c r="L9458">
        <v>0.2</v>
      </c>
      <c r="M9458">
        <v>3.7128000000000001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21</v>
      </c>
      <c r="J9459">
        <v>128.124</v>
      </c>
      <c r="K9459">
        <v>2</v>
      </c>
      <c r="L9459">
        <v>0.1</v>
      </c>
      <c r="M9459">
        <v>24.2012</v>
      </c>
    </row>
    <row r="9460" spans="1:13" x14ac:dyDescent="0.3">
      <c r="A9460" t="s">
        <v>13</v>
      </c>
      <c r="B9460" t="s">
        <v>14</v>
      </c>
      <c r="C9460" t="s">
        <v>15</v>
      </c>
      <c r="D9460" t="s">
        <v>75</v>
      </c>
      <c r="E9460" t="s">
        <v>76</v>
      </c>
      <c r="F9460">
        <v>10024</v>
      </c>
      <c r="G9460" t="s">
        <v>57</v>
      </c>
      <c r="H9460" t="s">
        <v>19</v>
      </c>
      <c r="I9460" t="s">
        <v>33</v>
      </c>
      <c r="J9460">
        <v>101.4</v>
      </c>
      <c r="K9460">
        <v>5</v>
      </c>
      <c r="L9460">
        <v>0</v>
      </c>
      <c r="M9460">
        <v>38.531999999999996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27</v>
      </c>
      <c r="J9461">
        <v>5.9039999999999999</v>
      </c>
      <c r="K9461">
        <v>2</v>
      </c>
      <c r="L9461">
        <v>0.2</v>
      </c>
      <c r="M9461">
        <v>1.9925999999999999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26</v>
      </c>
      <c r="I9462" t="s">
        <v>41</v>
      </c>
      <c r="J9462">
        <v>173.488</v>
      </c>
      <c r="K9462">
        <v>7</v>
      </c>
      <c r="L9462">
        <v>0.2</v>
      </c>
      <c r="M9462">
        <v>54.215000000000003</v>
      </c>
    </row>
    <row r="9463" spans="1:13" x14ac:dyDescent="0.3">
      <c r="A9463" t="s">
        <v>13</v>
      </c>
      <c r="B9463" t="s">
        <v>22</v>
      </c>
      <c r="C9463" t="s">
        <v>15</v>
      </c>
      <c r="D9463" t="s">
        <v>79</v>
      </c>
      <c r="E9463" t="s">
        <v>65</v>
      </c>
      <c r="F9463">
        <v>60653</v>
      </c>
      <c r="G9463" t="s">
        <v>47</v>
      </c>
      <c r="H9463" t="s">
        <v>19</v>
      </c>
      <c r="I9463" t="s">
        <v>33</v>
      </c>
      <c r="J9463">
        <v>51.56</v>
      </c>
      <c r="K9463">
        <v>2</v>
      </c>
      <c r="L9463">
        <v>0.6</v>
      </c>
      <c r="M9463">
        <v>-61.872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77</v>
      </c>
      <c r="J9464">
        <v>13.16</v>
      </c>
      <c r="K9464">
        <v>5</v>
      </c>
      <c r="L9464">
        <v>0.2</v>
      </c>
      <c r="M9464">
        <v>4.1124999999999998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3.8279999999999998</v>
      </c>
      <c r="K9465">
        <v>3</v>
      </c>
      <c r="L9465">
        <v>0.8</v>
      </c>
      <c r="M9465">
        <v>-6.5076000000000001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617</v>
      </c>
      <c r="E9466" t="s">
        <v>65</v>
      </c>
      <c r="F9466">
        <v>60543</v>
      </c>
      <c r="G9466" t="s">
        <v>47</v>
      </c>
      <c r="H9466" t="s">
        <v>26</v>
      </c>
      <c r="I9466" t="s">
        <v>37</v>
      </c>
      <c r="J9466">
        <v>304.99</v>
      </c>
      <c r="K9466">
        <v>5</v>
      </c>
      <c r="L9466">
        <v>0.8</v>
      </c>
      <c r="M9466">
        <v>-533.73249999999996</v>
      </c>
    </row>
    <row r="9467" spans="1:13" x14ac:dyDescent="0.3">
      <c r="A9467" t="s">
        <v>28</v>
      </c>
      <c r="B9467" t="s">
        <v>14</v>
      </c>
      <c r="C9467" t="s">
        <v>15</v>
      </c>
      <c r="D9467" t="s">
        <v>135</v>
      </c>
      <c r="E9467" t="s">
        <v>46</v>
      </c>
      <c r="F9467">
        <v>75220</v>
      </c>
      <c r="G9467" t="s">
        <v>47</v>
      </c>
      <c r="H9467" t="s">
        <v>26</v>
      </c>
      <c r="I9467" t="s">
        <v>32</v>
      </c>
      <c r="J9467">
        <v>18.16</v>
      </c>
      <c r="K9467">
        <v>2</v>
      </c>
      <c r="L9467">
        <v>0.2</v>
      </c>
      <c r="M9467">
        <v>1.8160000000000001</v>
      </c>
    </row>
    <row r="9468" spans="1:13" x14ac:dyDescent="0.3">
      <c r="A9468" t="s">
        <v>13</v>
      </c>
      <c r="B9468" t="s">
        <v>44</v>
      </c>
      <c r="C9468" t="s">
        <v>15</v>
      </c>
      <c r="D9468" t="s">
        <v>55</v>
      </c>
      <c r="E9468" t="s">
        <v>56</v>
      </c>
      <c r="F9468">
        <v>19134</v>
      </c>
      <c r="G9468" t="s">
        <v>57</v>
      </c>
      <c r="H9468" t="s">
        <v>35</v>
      </c>
      <c r="I9468" t="s">
        <v>59</v>
      </c>
      <c r="J9468">
        <v>319.98399999999998</v>
      </c>
      <c r="K9468">
        <v>2</v>
      </c>
      <c r="L9468">
        <v>0.2</v>
      </c>
      <c r="M9468">
        <v>91.995400000000004</v>
      </c>
    </row>
    <row r="9469" spans="1:13" x14ac:dyDescent="0.3">
      <c r="A9469" t="s">
        <v>28</v>
      </c>
      <c r="B9469" t="s">
        <v>44</v>
      </c>
      <c r="C9469" t="s">
        <v>15</v>
      </c>
      <c r="D9469" t="s">
        <v>23</v>
      </c>
      <c r="E9469" t="s">
        <v>24</v>
      </c>
      <c r="F9469">
        <v>90008</v>
      </c>
      <c r="G9469" t="s">
        <v>25</v>
      </c>
      <c r="H9469" t="s">
        <v>26</v>
      </c>
      <c r="I9469" t="s">
        <v>34</v>
      </c>
      <c r="J9469">
        <v>19.68</v>
      </c>
      <c r="K9469">
        <v>6</v>
      </c>
      <c r="L9469">
        <v>0</v>
      </c>
      <c r="M9469">
        <v>6.4943999999999997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19</v>
      </c>
      <c r="I9470" t="s">
        <v>20</v>
      </c>
      <c r="J9470">
        <v>781.86400000000003</v>
      </c>
      <c r="K9470">
        <v>10</v>
      </c>
      <c r="L9470">
        <v>0.32</v>
      </c>
      <c r="M9470">
        <v>-137.976</v>
      </c>
    </row>
    <row r="9471" spans="1:13" x14ac:dyDescent="0.3">
      <c r="A9471" t="s">
        <v>13</v>
      </c>
      <c r="B9471" t="s">
        <v>22</v>
      </c>
      <c r="C9471" t="s">
        <v>15</v>
      </c>
      <c r="D9471" t="s">
        <v>61</v>
      </c>
      <c r="E9471" t="s">
        <v>46</v>
      </c>
      <c r="F9471">
        <v>77036</v>
      </c>
      <c r="G9471" t="s">
        <v>47</v>
      </c>
      <c r="H9471" t="s">
        <v>26</v>
      </c>
      <c r="I9471" t="s">
        <v>41</v>
      </c>
      <c r="J9471">
        <v>30.815999999999999</v>
      </c>
      <c r="K9471">
        <v>9</v>
      </c>
      <c r="L9471">
        <v>0.2</v>
      </c>
      <c r="M9471">
        <v>9.6300000000000008</v>
      </c>
    </row>
    <row r="9472" spans="1:13" x14ac:dyDescent="0.3">
      <c r="A9472" t="s">
        <v>168</v>
      </c>
      <c r="B9472" t="s">
        <v>14</v>
      </c>
      <c r="C9472" t="s">
        <v>15</v>
      </c>
      <c r="D9472" t="s">
        <v>409</v>
      </c>
      <c r="E9472" t="s">
        <v>591</v>
      </c>
      <c r="F9472">
        <v>26003</v>
      </c>
      <c r="G9472" t="s">
        <v>57</v>
      </c>
      <c r="H9472" t="s">
        <v>19</v>
      </c>
      <c r="I9472" t="s">
        <v>31</v>
      </c>
      <c r="J9472">
        <v>673.34400000000005</v>
      </c>
      <c r="K9472">
        <v>3</v>
      </c>
      <c r="L9472">
        <v>0.3</v>
      </c>
      <c r="M9472">
        <v>-76.953599999999994</v>
      </c>
    </row>
    <row r="9473" spans="1:13" x14ac:dyDescent="0.3">
      <c r="A9473" t="s">
        <v>62</v>
      </c>
      <c r="B9473" t="s">
        <v>22</v>
      </c>
      <c r="C9473" t="s">
        <v>15</v>
      </c>
      <c r="D9473" t="s">
        <v>353</v>
      </c>
      <c r="E9473" t="s">
        <v>132</v>
      </c>
      <c r="F9473">
        <v>7501</v>
      </c>
      <c r="G9473" t="s">
        <v>57</v>
      </c>
      <c r="H9473" t="s">
        <v>26</v>
      </c>
      <c r="I9473" t="s">
        <v>77</v>
      </c>
      <c r="J9473">
        <v>6.54</v>
      </c>
      <c r="K9473">
        <v>3</v>
      </c>
      <c r="L9473">
        <v>0</v>
      </c>
      <c r="M9473">
        <v>2.1581999999999999</v>
      </c>
    </row>
    <row r="9474" spans="1:13" x14ac:dyDescent="0.3">
      <c r="A9474" t="s">
        <v>62</v>
      </c>
      <c r="B9474" t="s">
        <v>14</v>
      </c>
      <c r="C9474" t="s">
        <v>15</v>
      </c>
      <c r="D9474" t="s">
        <v>94</v>
      </c>
      <c r="E9474" t="s">
        <v>95</v>
      </c>
      <c r="F9474">
        <v>97206</v>
      </c>
      <c r="G9474" t="s">
        <v>25</v>
      </c>
      <c r="H9474" t="s">
        <v>35</v>
      </c>
      <c r="I9474" t="s">
        <v>36</v>
      </c>
      <c r="J9474">
        <v>572.79999999999995</v>
      </c>
      <c r="K9474">
        <v>2</v>
      </c>
      <c r="L9474">
        <v>0.2</v>
      </c>
      <c r="M9474">
        <v>50.12</v>
      </c>
    </row>
    <row r="9475" spans="1:13" x14ac:dyDescent="0.3">
      <c r="A9475" t="s">
        <v>28</v>
      </c>
      <c r="B9475" t="s">
        <v>22</v>
      </c>
      <c r="C9475" t="s">
        <v>15</v>
      </c>
      <c r="D9475" t="s">
        <v>195</v>
      </c>
      <c r="E9475" t="s">
        <v>88</v>
      </c>
      <c r="F9475">
        <v>35810</v>
      </c>
      <c r="G9475" t="s">
        <v>18</v>
      </c>
      <c r="H9475" t="s">
        <v>26</v>
      </c>
      <c r="I9475" t="s">
        <v>34</v>
      </c>
      <c r="J9475">
        <v>197.05</v>
      </c>
      <c r="K9475">
        <v>7</v>
      </c>
      <c r="L9475">
        <v>0</v>
      </c>
      <c r="M9475">
        <v>59.115000000000002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37</v>
      </c>
      <c r="J9476">
        <v>2022.2719999999999</v>
      </c>
      <c r="K9476">
        <v>8</v>
      </c>
      <c r="L9476">
        <v>0.2</v>
      </c>
      <c r="M9476">
        <v>682.51679999999999</v>
      </c>
    </row>
    <row r="9477" spans="1:13" x14ac:dyDescent="0.3">
      <c r="A9477" t="s">
        <v>28</v>
      </c>
      <c r="B9477" t="s">
        <v>14</v>
      </c>
      <c r="C9477" t="s">
        <v>15</v>
      </c>
      <c r="D9477" t="s">
        <v>52</v>
      </c>
      <c r="E9477" t="s">
        <v>24</v>
      </c>
      <c r="F9477">
        <v>94110</v>
      </c>
      <c r="G9477" t="s">
        <v>25</v>
      </c>
      <c r="H9477" t="s">
        <v>26</v>
      </c>
      <c r="I9477" t="s">
        <v>34</v>
      </c>
      <c r="J9477">
        <v>9.1199999999999992</v>
      </c>
      <c r="K9477">
        <v>3</v>
      </c>
      <c r="L9477">
        <v>0</v>
      </c>
      <c r="M9477">
        <v>3.1008</v>
      </c>
    </row>
    <row r="9478" spans="1:13" x14ac:dyDescent="0.3">
      <c r="A9478" t="s">
        <v>168</v>
      </c>
      <c r="B9478" t="s">
        <v>14</v>
      </c>
      <c r="C9478" t="s">
        <v>15</v>
      </c>
      <c r="D9478" t="s">
        <v>354</v>
      </c>
      <c r="E9478" t="s">
        <v>119</v>
      </c>
      <c r="F9478">
        <v>73120</v>
      </c>
      <c r="G9478" t="s">
        <v>47</v>
      </c>
      <c r="H9478" t="s">
        <v>26</v>
      </c>
      <c r="I9478" t="s">
        <v>37</v>
      </c>
      <c r="J9478">
        <v>38.159999999999997</v>
      </c>
      <c r="K9478">
        <v>9</v>
      </c>
      <c r="L9478">
        <v>0</v>
      </c>
      <c r="M9478">
        <v>19.079999999999998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19</v>
      </c>
      <c r="I9479" t="s">
        <v>31</v>
      </c>
      <c r="J9479">
        <v>1592.85</v>
      </c>
      <c r="K9479">
        <v>7</v>
      </c>
      <c r="L9479">
        <v>0</v>
      </c>
      <c r="M9479">
        <v>350.42700000000002</v>
      </c>
    </row>
    <row r="9480" spans="1:13" x14ac:dyDescent="0.3">
      <c r="A9480" t="s">
        <v>28</v>
      </c>
      <c r="B9480" t="s">
        <v>22</v>
      </c>
      <c r="C9480" t="s">
        <v>15</v>
      </c>
      <c r="D9480" t="s">
        <v>477</v>
      </c>
      <c r="E9480" t="s">
        <v>119</v>
      </c>
      <c r="F9480">
        <v>74012</v>
      </c>
      <c r="G9480" t="s">
        <v>47</v>
      </c>
      <c r="H9480" t="s">
        <v>26</v>
      </c>
      <c r="I9480" t="s">
        <v>37</v>
      </c>
      <c r="J9480">
        <v>11.88</v>
      </c>
      <c r="K9480">
        <v>2</v>
      </c>
      <c r="L9480">
        <v>0</v>
      </c>
      <c r="M9480">
        <v>5.3460000000000001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35</v>
      </c>
      <c r="I9481" t="s">
        <v>59</v>
      </c>
      <c r="J9481">
        <v>120</v>
      </c>
      <c r="K9481">
        <v>6</v>
      </c>
      <c r="L9481">
        <v>0</v>
      </c>
      <c r="M9481">
        <v>46.8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216</v>
      </c>
      <c r="E9482" t="s">
        <v>24</v>
      </c>
      <c r="F9482">
        <v>92691</v>
      </c>
      <c r="G9482" t="s">
        <v>25</v>
      </c>
      <c r="H9482" t="s">
        <v>26</v>
      </c>
      <c r="I9482" t="s">
        <v>38</v>
      </c>
      <c r="J9482">
        <v>8.67</v>
      </c>
      <c r="K9482">
        <v>1</v>
      </c>
      <c r="L9482">
        <v>0</v>
      </c>
      <c r="M9482">
        <v>2.3409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4.41</v>
      </c>
      <c r="K9483">
        <v>1</v>
      </c>
      <c r="L9483">
        <v>0</v>
      </c>
      <c r="M9483">
        <v>2.0286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167.94</v>
      </c>
      <c r="K9484">
        <v>3</v>
      </c>
      <c r="L9484">
        <v>0</v>
      </c>
      <c r="M9484">
        <v>82.290599999999998</v>
      </c>
    </row>
    <row r="9485" spans="1:13" x14ac:dyDescent="0.3">
      <c r="A9485" t="s">
        <v>62</v>
      </c>
      <c r="B9485" t="s">
        <v>44</v>
      </c>
      <c r="C9485" t="s">
        <v>15</v>
      </c>
      <c r="D9485" t="s">
        <v>472</v>
      </c>
      <c r="E9485" t="s">
        <v>74</v>
      </c>
      <c r="F9485">
        <v>46142</v>
      </c>
      <c r="G9485" t="s">
        <v>47</v>
      </c>
      <c r="H9485" t="s">
        <v>26</v>
      </c>
      <c r="I9485" t="s">
        <v>41</v>
      </c>
      <c r="J9485">
        <v>67.8</v>
      </c>
      <c r="K9485">
        <v>10</v>
      </c>
      <c r="L9485">
        <v>0</v>
      </c>
      <c r="M9485">
        <v>31.187999999999999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241</v>
      </c>
      <c r="E9486" t="s">
        <v>49</v>
      </c>
      <c r="F9486">
        <v>53209</v>
      </c>
      <c r="G9486" t="s">
        <v>47</v>
      </c>
      <c r="H9486" t="s">
        <v>19</v>
      </c>
      <c r="I9486" t="s">
        <v>33</v>
      </c>
      <c r="J9486">
        <v>26.94</v>
      </c>
      <c r="K9486">
        <v>3</v>
      </c>
      <c r="L9486">
        <v>0</v>
      </c>
      <c r="M9486">
        <v>11.3148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52</v>
      </c>
      <c r="E9487" t="s">
        <v>24</v>
      </c>
      <c r="F9487">
        <v>94109</v>
      </c>
      <c r="G9487" t="s">
        <v>25</v>
      </c>
      <c r="H9487" t="s">
        <v>19</v>
      </c>
      <c r="I9487" t="s">
        <v>33</v>
      </c>
      <c r="J9487">
        <v>32.04</v>
      </c>
      <c r="K9487">
        <v>3</v>
      </c>
      <c r="L9487">
        <v>0</v>
      </c>
      <c r="M9487">
        <v>8.01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32.130000000000003</v>
      </c>
      <c r="K9488">
        <v>9</v>
      </c>
      <c r="L9488">
        <v>0</v>
      </c>
      <c r="M9488">
        <v>8.3537999999999997</v>
      </c>
    </row>
    <row r="9489" spans="1:13" x14ac:dyDescent="0.3">
      <c r="A9489" t="s">
        <v>28</v>
      </c>
      <c r="B9489" t="s">
        <v>14</v>
      </c>
      <c r="C9489" t="s">
        <v>15</v>
      </c>
      <c r="D9489" t="s">
        <v>501</v>
      </c>
      <c r="E9489" t="s">
        <v>76</v>
      </c>
      <c r="F9489">
        <v>13440</v>
      </c>
      <c r="G9489" t="s">
        <v>57</v>
      </c>
      <c r="H9489" t="s">
        <v>26</v>
      </c>
      <c r="I9489" t="s">
        <v>34</v>
      </c>
      <c r="J9489">
        <v>2.88</v>
      </c>
      <c r="K9489">
        <v>1</v>
      </c>
      <c r="L9489">
        <v>0</v>
      </c>
      <c r="M9489">
        <v>0.80640000000000001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35</v>
      </c>
      <c r="I9490" t="s">
        <v>36</v>
      </c>
      <c r="J9490">
        <v>1091.93</v>
      </c>
      <c r="K9490">
        <v>7</v>
      </c>
      <c r="L9490">
        <v>0</v>
      </c>
      <c r="M9490">
        <v>272.98250000000002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75</v>
      </c>
      <c r="E9491" t="s">
        <v>76</v>
      </c>
      <c r="F9491">
        <v>10009</v>
      </c>
      <c r="G9491" t="s">
        <v>57</v>
      </c>
      <c r="H9491" t="s">
        <v>26</v>
      </c>
      <c r="I9491" t="s">
        <v>41</v>
      </c>
      <c r="J9491">
        <v>111.96</v>
      </c>
      <c r="K9491">
        <v>2</v>
      </c>
      <c r="L9491">
        <v>0</v>
      </c>
      <c r="M9491">
        <v>54.860399999999998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34</v>
      </c>
      <c r="J9492">
        <v>26.7</v>
      </c>
      <c r="K9492">
        <v>2</v>
      </c>
      <c r="L9492">
        <v>0</v>
      </c>
      <c r="M9492">
        <v>7.476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37</v>
      </c>
      <c r="J9493">
        <v>40.200000000000003</v>
      </c>
      <c r="K9493">
        <v>5</v>
      </c>
      <c r="L9493">
        <v>0</v>
      </c>
      <c r="M9493">
        <v>18.09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34</v>
      </c>
      <c r="J9494">
        <v>13.89</v>
      </c>
      <c r="K9494">
        <v>3</v>
      </c>
      <c r="L9494">
        <v>0</v>
      </c>
      <c r="M9494">
        <v>4.5837000000000003</v>
      </c>
    </row>
    <row r="9495" spans="1:13" x14ac:dyDescent="0.3">
      <c r="A9495" t="s">
        <v>13</v>
      </c>
      <c r="B9495" t="s">
        <v>14</v>
      </c>
      <c r="C9495" t="s">
        <v>15</v>
      </c>
      <c r="D9495" t="s">
        <v>453</v>
      </c>
      <c r="E9495" t="s">
        <v>70</v>
      </c>
      <c r="F9495">
        <v>48127</v>
      </c>
      <c r="G9495" t="s">
        <v>47</v>
      </c>
      <c r="H9495" t="s">
        <v>26</v>
      </c>
      <c r="I9495" t="s">
        <v>32</v>
      </c>
      <c r="J9495">
        <v>689.82</v>
      </c>
      <c r="K9495">
        <v>6</v>
      </c>
      <c r="L9495">
        <v>0</v>
      </c>
      <c r="M9495">
        <v>20.694600000000001</v>
      </c>
    </row>
    <row r="9496" spans="1:13" x14ac:dyDescent="0.3">
      <c r="A9496" t="s">
        <v>28</v>
      </c>
      <c r="B9496" t="s">
        <v>14</v>
      </c>
      <c r="C9496" t="s">
        <v>15</v>
      </c>
      <c r="D9496" t="s">
        <v>75</v>
      </c>
      <c r="E9496" t="s">
        <v>76</v>
      </c>
      <c r="F9496">
        <v>10024</v>
      </c>
      <c r="G9496" t="s">
        <v>57</v>
      </c>
      <c r="H9496" t="s">
        <v>26</v>
      </c>
      <c r="I9496" t="s">
        <v>34</v>
      </c>
      <c r="J9496">
        <v>38.340000000000003</v>
      </c>
      <c r="K9496">
        <v>9</v>
      </c>
      <c r="L9496">
        <v>0</v>
      </c>
      <c r="M9496">
        <v>15.7194</v>
      </c>
    </row>
    <row r="9497" spans="1:13" x14ac:dyDescent="0.3">
      <c r="A9497" t="s">
        <v>62</v>
      </c>
      <c r="B9497" t="s">
        <v>22</v>
      </c>
      <c r="C9497" t="s">
        <v>15</v>
      </c>
      <c r="D9497" t="s">
        <v>79</v>
      </c>
      <c r="E9497" t="s">
        <v>65</v>
      </c>
      <c r="F9497">
        <v>60623</v>
      </c>
      <c r="G9497" t="s">
        <v>47</v>
      </c>
      <c r="H9497" t="s">
        <v>26</v>
      </c>
      <c r="I9497" t="s">
        <v>37</v>
      </c>
      <c r="J9497">
        <v>9.2639999999999993</v>
      </c>
      <c r="K9497">
        <v>3</v>
      </c>
      <c r="L9497">
        <v>0.8</v>
      </c>
      <c r="M9497">
        <v>-13.896000000000001</v>
      </c>
    </row>
    <row r="9498" spans="1:13" x14ac:dyDescent="0.3">
      <c r="A9498" t="s">
        <v>13</v>
      </c>
      <c r="B9498" t="s">
        <v>14</v>
      </c>
      <c r="C9498" t="s">
        <v>15</v>
      </c>
      <c r="D9498" t="s">
        <v>135</v>
      </c>
      <c r="E9498" t="s">
        <v>46</v>
      </c>
      <c r="F9498">
        <v>75217</v>
      </c>
      <c r="G9498" t="s">
        <v>47</v>
      </c>
      <c r="H9498" t="s">
        <v>19</v>
      </c>
      <c r="I9498" t="s">
        <v>20</v>
      </c>
      <c r="J9498">
        <v>204.66640000000001</v>
      </c>
      <c r="K9498">
        <v>1</v>
      </c>
      <c r="L9498">
        <v>0.32</v>
      </c>
      <c r="M9498">
        <v>-6.0195999999999996</v>
      </c>
    </row>
    <row r="9499" spans="1:13" x14ac:dyDescent="0.3">
      <c r="A9499" t="s">
        <v>28</v>
      </c>
      <c r="B9499" t="s">
        <v>14</v>
      </c>
      <c r="C9499" t="s">
        <v>15</v>
      </c>
      <c r="D9499" t="s">
        <v>318</v>
      </c>
      <c r="E9499" t="s">
        <v>49</v>
      </c>
      <c r="F9499">
        <v>54915</v>
      </c>
      <c r="G9499" t="s">
        <v>47</v>
      </c>
      <c r="H9499" t="s">
        <v>35</v>
      </c>
      <c r="I9499" t="s">
        <v>59</v>
      </c>
      <c r="J9499">
        <v>1649.75</v>
      </c>
      <c r="K9499">
        <v>5</v>
      </c>
      <c r="L9499">
        <v>0</v>
      </c>
      <c r="M9499">
        <v>544.41750000000002</v>
      </c>
    </row>
    <row r="9500" spans="1:13" x14ac:dyDescent="0.3">
      <c r="A9500" t="s">
        <v>28</v>
      </c>
      <c r="B9500" t="s">
        <v>44</v>
      </c>
      <c r="C9500" t="s">
        <v>15</v>
      </c>
      <c r="D9500" t="s">
        <v>189</v>
      </c>
      <c r="E9500" t="s">
        <v>30</v>
      </c>
      <c r="F9500">
        <v>32216</v>
      </c>
      <c r="G9500" t="s">
        <v>18</v>
      </c>
      <c r="H9500" t="s">
        <v>26</v>
      </c>
      <c r="I9500" t="s">
        <v>41</v>
      </c>
      <c r="J9500">
        <v>91.055999999999997</v>
      </c>
      <c r="K9500">
        <v>6</v>
      </c>
      <c r="L9500">
        <v>0.2</v>
      </c>
      <c r="M9500">
        <v>31.869599999999998</v>
      </c>
    </row>
    <row r="9501" spans="1:13" x14ac:dyDescent="0.3">
      <c r="A9501" t="s">
        <v>28</v>
      </c>
      <c r="B9501" t="s">
        <v>14</v>
      </c>
      <c r="C9501" t="s">
        <v>15</v>
      </c>
      <c r="D9501" t="s">
        <v>79</v>
      </c>
      <c r="E9501" t="s">
        <v>65</v>
      </c>
      <c r="F9501">
        <v>60653</v>
      </c>
      <c r="G9501" t="s">
        <v>47</v>
      </c>
      <c r="H9501" t="s">
        <v>26</v>
      </c>
      <c r="I9501" t="s">
        <v>34</v>
      </c>
      <c r="J9501">
        <v>54.207999999999998</v>
      </c>
      <c r="K9501">
        <v>14</v>
      </c>
      <c r="L9501">
        <v>0.2</v>
      </c>
      <c r="M9501">
        <v>8.8087999999999997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35</v>
      </c>
      <c r="I9502" t="s">
        <v>36</v>
      </c>
      <c r="J9502">
        <v>26.981999999999999</v>
      </c>
      <c r="K9502">
        <v>3</v>
      </c>
      <c r="L9502">
        <v>0.4</v>
      </c>
      <c r="M9502">
        <v>4.0472999999999999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27</v>
      </c>
      <c r="J9503">
        <v>6.9119999999999999</v>
      </c>
      <c r="K9503">
        <v>3</v>
      </c>
      <c r="L9503">
        <v>0.2</v>
      </c>
      <c r="M9503">
        <v>2.5055999999999998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342</v>
      </c>
      <c r="E9504" t="s">
        <v>104</v>
      </c>
      <c r="F9504">
        <v>43402</v>
      </c>
      <c r="G9504" t="s">
        <v>57</v>
      </c>
      <c r="H9504" t="s">
        <v>26</v>
      </c>
      <c r="I9504" t="s">
        <v>32</v>
      </c>
      <c r="J9504">
        <v>435.50400000000002</v>
      </c>
      <c r="K9504">
        <v>3</v>
      </c>
      <c r="L9504">
        <v>0.2</v>
      </c>
      <c r="M9504">
        <v>48.994199999999999</v>
      </c>
    </row>
    <row r="9505" spans="1:13" x14ac:dyDescent="0.3">
      <c r="A9505" t="s">
        <v>13</v>
      </c>
      <c r="B9505" t="s">
        <v>14</v>
      </c>
      <c r="C9505" t="s">
        <v>15</v>
      </c>
      <c r="D9505" t="s">
        <v>52</v>
      </c>
      <c r="E9505" t="s">
        <v>24</v>
      </c>
      <c r="F9505">
        <v>94110</v>
      </c>
      <c r="G9505" t="s">
        <v>25</v>
      </c>
      <c r="H9505" t="s">
        <v>26</v>
      </c>
      <c r="I9505" t="s">
        <v>38</v>
      </c>
      <c r="J9505">
        <v>81.08</v>
      </c>
      <c r="K9505">
        <v>4</v>
      </c>
      <c r="L9505">
        <v>0</v>
      </c>
      <c r="M9505">
        <v>22.702400000000001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23</v>
      </c>
      <c r="E9506" t="s">
        <v>24</v>
      </c>
      <c r="F9506">
        <v>90049</v>
      </c>
      <c r="G9506" t="s">
        <v>25</v>
      </c>
      <c r="H9506" t="s">
        <v>26</v>
      </c>
      <c r="I9506" t="s">
        <v>32</v>
      </c>
      <c r="J9506">
        <v>93.02</v>
      </c>
      <c r="K9506">
        <v>2</v>
      </c>
      <c r="L9506">
        <v>0</v>
      </c>
      <c r="M9506">
        <v>3.7208000000000001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35</v>
      </c>
      <c r="I9507" t="s">
        <v>36</v>
      </c>
      <c r="J9507">
        <v>323.976</v>
      </c>
      <c r="K9507">
        <v>3</v>
      </c>
      <c r="L9507">
        <v>0.2</v>
      </c>
      <c r="M9507">
        <v>36.447299999999998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41</v>
      </c>
      <c r="J9508">
        <v>15.552</v>
      </c>
      <c r="K9508">
        <v>3</v>
      </c>
      <c r="L9508">
        <v>0.2</v>
      </c>
      <c r="M9508">
        <v>5.4432</v>
      </c>
    </row>
    <row r="9509" spans="1:13" x14ac:dyDescent="0.3">
      <c r="A9509" t="s">
        <v>28</v>
      </c>
      <c r="B9509" t="s">
        <v>14</v>
      </c>
      <c r="C9509" t="s">
        <v>15</v>
      </c>
      <c r="D9509" t="s">
        <v>79</v>
      </c>
      <c r="E9509" t="s">
        <v>65</v>
      </c>
      <c r="F9509">
        <v>60623</v>
      </c>
      <c r="G9509" t="s">
        <v>47</v>
      </c>
      <c r="H9509" t="s">
        <v>26</v>
      </c>
      <c r="I9509" t="s">
        <v>32</v>
      </c>
      <c r="J9509">
        <v>32.591999999999999</v>
      </c>
      <c r="K9509">
        <v>3</v>
      </c>
      <c r="L9509">
        <v>0.2</v>
      </c>
      <c r="M9509">
        <v>-7.7405999999999997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26</v>
      </c>
      <c r="I9510" t="s">
        <v>37</v>
      </c>
      <c r="J9510">
        <v>83.92</v>
      </c>
      <c r="K9510">
        <v>5</v>
      </c>
      <c r="L9510">
        <v>0.2</v>
      </c>
      <c r="M9510">
        <v>29.372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19</v>
      </c>
      <c r="I9511" t="s">
        <v>33</v>
      </c>
      <c r="J9511">
        <v>199.9</v>
      </c>
      <c r="K9511">
        <v>5</v>
      </c>
      <c r="L9511">
        <v>0</v>
      </c>
      <c r="M9511">
        <v>39.979999999999997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35</v>
      </c>
      <c r="I9512" t="s">
        <v>36</v>
      </c>
      <c r="J9512">
        <v>31.175999999999998</v>
      </c>
      <c r="K9512">
        <v>3</v>
      </c>
      <c r="L9512">
        <v>0.2</v>
      </c>
      <c r="M9512">
        <v>-7.0145999999999997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172.75200000000001</v>
      </c>
      <c r="K9513">
        <v>6</v>
      </c>
      <c r="L9513">
        <v>0.2</v>
      </c>
      <c r="M9513">
        <v>60.463200000000001</v>
      </c>
    </row>
    <row r="9514" spans="1:13" x14ac:dyDescent="0.3">
      <c r="A9514" t="s">
        <v>62</v>
      </c>
      <c r="B9514" t="s">
        <v>44</v>
      </c>
      <c r="C9514" t="s">
        <v>15</v>
      </c>
      <c r="D9514" t="s">
        <v>42</v>
      </c>
      <c r="E9514" t="s">
        <v>43</v>
      </c>
      <c r="F9514">
        <v>98115</v>
      </c>
      <c r="G9514" t="s">
        <v>25</v>
      </c>
      <c r="H9514" t="s">
        <v>26</v>
      </c>
      <c r="I9514" t="s">
        <v>37</v>
      </c>
      <c r="J9514">
        <v>9.2959999999999994</v>
      </c>
      <c r="K9514">
        <v>2</v>
      </c>
      <c r="L9514">
        <v>0.2</v>
      </c>
      <c r="M9514">
        <v>3.0211999999999999</v>
      </c>
    </row>
    <row r="9515" spans="1:13" x14ac:dyDescent="0.3">
      <c r="A9515" t="s">
        <v>168</v>
      </c>
      <c r="B9515" t="s">
        <v>22</v>
      </c>
      <c r="C9515" t="s">
        <v>15</v>
      </c>
      <c r="D9515" t="s">
        <v>578</v>
      </c>
      <c r="E9515" t="s">
        <v>46</v>
      </c>
      <c r="F9515">
        <v>77705</v>
      </c>
      <c r="G9515" t="s">
        <v>47</v>
      </c>
      <c r="H9515" t="s">
        <v>26</v>
      </c>
      <c r="I9515" t="s">
        <v>32</v>
      </c>
      <c r="J9515">
        <v>12.768000000000001</v>
      </c>
      <c r="K9515">
        <v>2</v>
      </c>
      <c r="L9515">
        <v>0.2</v>
      </c>
      <c r="M9515">
        <v>0.95760000000000001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42</v>
      </c>
      <c r="E9516" t="s">
        <v>43</v>
      </c>
      <c r="F9516">
        <v>98103</v>
      </c>
      <c r="G9516" t="s">
        <v>25</v>
      </c>
      <c r="H9516" t="s">
        <v>26</v>
      </c>
      <c r="I9516" t="s">
        <v>41</v>
      </c>
      <c r="J9516">
        <v>52.76</v>
      </c>
      <c r="K9516">
        <v>2</v>
      </c>
      <c r="L9516">
        <v>0</v>
      </c>
      <c r="M9516">
        <v>24.269600000000001</v>
      </c>
    </row>
    <row r="9517" spans="1:13" x14ac:dyDescent="0.3">
      <c r="A9517" t="s">
        <v>28</v>
      </c>
      <c r="B9517" t="s">
        <v>44</v>
      </c>
      <c r="C9517" t="s">
        <v>15</v>
      </c>
      <c r="D9517" t="s">
        <v>135</v>
      </c>
      <c r="E9517" t="s">
        <v>46</v>
      </c>
      <c r="F9517">
        <v>75217</v>
      </c>
      <c r="G9517" t="s">
        <v>47</v>
      </c>
      <c r="H9517" t="s">
        <v>26</v>
      </c>
      <c r="I9517" t="s">
        <v>32</v>
      </c>
      <c r="J9517">
        <v>55.616</v>
      </c>
      <c r="K9517">
        <v>2</v>
      </c>
      <c r="L9517">
        <v>0.2</v>
      </c>
      <c r="M9517">
        <v>5.5616000000000003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19</v>
      </c>
      <c r="I9518" t="s">
        <v>21</v>
      </c>
      <c r="J9518">
        <v>427.64400000000001</v>
      </c>
      <c r="K9518">
        <v>14</v>
      </c>
      <c r="L9518">
        <v>0.1</v>
      </c>
      <c r="M9518">
        <v>80.777199999999993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77</v>
      </c>
      <c r="J9519">
        <v>40.67</v>
      </c>
      <c r="K9519">
        <v>7</v>
      </c>
      <c r="L9519">
        <v>0</v>
      </c>
      <c r="M9519">
        <v>12.607699999999999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32</v>
      </c>
      <c r="J9520">
        <v>33.479999999999997</v>
      </c>
      <c r="K9520">
        <v>2</v>
      </c>
      <c r="L9520">
        <v>0</v>
      </c>
      <c r="M9520">
        <v>1.3391999999999999</v>
      </c>
    </row>
    <row r="9521" spans="1:13" x14ac:dyDescent="0.3">
      <c r="A9521" t="s">
        <v>28</v>
      </c>
      <c r="B9521" t="s">
        <v>14</v>
      </c>
      <c r="C9521" t="s">
        <v>15</v>
      </c>
      <c r="D9521" t="s">
        <v>75</v>
      </c>
      <c r="E9521" t="s">
        <v>76</v>
      </c>
      <c r="F9521">
        <v>10011</v>
      </c>
      <c r="G9521" t="s">
        <v>57</v>
      </c>
      <c r="H9521" t="s">
        <v>26</v>
      </c>
      <c r="I9521" t="s">
        <v>37</v>
      </c>
      <c r="J9521">
        <v>9.7279999999999998</v>
      </c>
      <c r="K9521">
        <v>2</v>
      </c>
      <c r="L9521">
        <v>0.2</v>
      </c>
      <c r="M9521">
        <v>3.2831999999999999</v>
      </c>
    </row>
    <row r="9522" spans="1:13" x14ac:dyDescent="0.3">
      <c r="A9522" t="s">
        <v>13</v>
      </c>
      <c r="B9522" t="s">
        <v>14</v>
      </c>
      <c r="C9522" t="s">
        <v>15</v>
      </c>
      <c r="D9522" t="s">
        <v>79</v>
      </c>
      <c r="E9522" t="s">
        <v>65</v>
      </c>
      <c r="F9522">
        <v>60610</v>
      </c>
      <c r="G9522" t="s">
        <v>47</v>
      </c>
      <c r="H9522" t="s">
        <v>19</v>
      </c>
      <c r="I9522" t="s">
        <v>33</v>
      </c>
      <c r="J9522">
        <v>8.8559999999999999</v>
      </c>
      <c r="K9522">
        <v>3</v>
      </c>
      <c r="L9522">
        <v>0.6</v>
      </c>
      <c r="M9522">
        <v>-6.8634000000000004</v>
      </c>
    </row>
    <row r="9523" spans="1:13" x14ac:dyDescent="0.3">
      <c r="A9523" t="s">
        <v>62</v>
      </c>
      <c r="B9523" t="s">
        <v>22</v>
      </c>
      <c r="C9523" t="s">
        <v>15</v>
      </c>
      <c r="D9523" t="s">
        <v>52</v>
      </c>
      <c r="E9523" t="s">
        <v>24</v>
      </c>
      <c r="F9523">
        <v>94110</v>
      </c>
      <c r="G9523" t="s">
        <v>25</v>
      </c>
      <c r="H9523" t="s">
        <v>19</v>
      </c>
      <c r="I9523" t="s">
        <v>20</v>
      </c>
      <c r="J9523">
        <v>477.666</v>
      </c>
      <c r="K9523">
        <v>2</v>
      </c>
      <c r="L9523">
        <v>0.15</v>
      </c>
      <c r="M9523">
        <v>84.293999999999997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16.899999999999999</v>
      </c>
      <c r="K9524">
        <v>5</v>
      </c>
      <c r="L9524">
        <v>0</v>
      </c>
      <c r="M9524">
        <v>7.774</v>
      </c>
    </row>
    <row r="9525" spans="1:13" x14ac:dyDescent="0.3">
      <c r="A9525" t="s">
        <v>62</v>
      </c>
      <c r="B9525" t="s">
        <v>14</v>
      </c>
      <c r="C9525" t="s">
        <v>15</v>
      </c>
      <c r="D9525" t="s">
        <v>290</v>
      </c>
      <c r="E9525" t="s">
        <v>179</v>
      </c>
      <c r="F9525">
        <v>2908</v>
      </c>
      <c r="G9525" t="s">
        <v>57</v>
      </c>
      <c r="H9525" t="s">
        <v>26</v>
      </c>
      <c r="I9525" t="s">
        <v>41</v>
      </c>
      <c r="J9525">
        <v>39.96</v>
      </c>
      <c r="K9525">
        <v>2</v>
      </c>
      <c r="L9525">
        <v>0</v>
      </c>
      <c r="M9525">
        <v>18.781199999999998</v>
      </c>
    </row>
    <row r="9526" spans="1:13" x14ac:dyDescent="0.3">
      <c r="A9526" t="s">
        <v>13</v>
      </c>
      <c r="B9526" t="s">
        <v>44</v>
      </c>
      <c r="C9526" t="s">
        <v>15</v>
      </c>
      <c r="D9526" t="s">
        <v>108</v>
      </c>
      <c r="E9526" t="s">
        <v>81</v>
      </c>
      <c r="F9526">
        <v>85023</v>
      </c>
      <c r="G9526" t="s">
        <v>25</v>
      </c>
      <c r="H9526" t="s">
        <v>19</v>
      </c>
      <c r="I9526" t="s">
        <v>21</v>
      </c>
      <c r="J9526">
        <v>191.96799999999999</v>
      </c>
      <c r="K9526">
        <v>7</v>
      </c>
      <c r="L9526">
        <v>0.2</v>
      </c>
      <c r="M9526">
        <v>16.7972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27</v>
      </c>
      <c r="J9527">
        <v>35.520000000000003</v>
      </c>
      <c r="K9527">
        <v>3</v>
      </c>
      <c r="L9527">
        <v>0.2</v>
      </c>
      <c r="M9527">
        <v>13.32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37</v>
      </c>
      <c r="J9528">
        <v>6.23</v>
      </c>
      <c r="K9528">
        <v>5</v>
      </c>
      <c r="L9528">
        <v>0.8</v>
      </c>
      <c r="M9528">
        <v>-9.6564999999999994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26</v>
      </c>
      <c r="I9529" t="s">
        <v>41</v>
      </c>
      <c r="J9529">
        <v>56.704000000000001</v>
      </c>
      <c r="K9529">
        <v>2</v>
      </c>
      <c r="L9529">
        <v>0.2</v>
      </c>
      <c r="M9529">
        <v>19.137599999999999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61</v>
      </c>
      <c r="E9530" t="s">
        <v>46</v>
      </c>
      <c r="F9530">
        <v>77095</v>
      </c>
      <c r="G9530" t="s">
        <v>47</v>
      </c>
      <c r="H9530" t="s">
        <v>19</v>
      </c>
      <c r="I9530" t="s">
        <v>20</v>
      </c>
      <c r="J9530">
        <v>369.19920000000002</v>
      </c>
      <c r="K9530">
        <v>3</v>
      </c>
      <c r="L9530">
        <v>0.32</v>
      </c>
      <c r="M9530">
        <v>-114.01739999999999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35</v>
      </c>
      <c r="I9531" t="s">
        <v>59</v>
      </c>
      <c r="J9531">
        <v>1.98</v>
      </c>
      <c r="K9531">
        <v>2</v>
      </c>
      <c r="L9531">
        <v>0</v>
      </c>
      <c r="M9531">
        <v>0.89100000000000001</v>
      </c>
    </row>
    <row r="9532" spans="1:13" x14ac:dyDescent="0.3">
      <c r="A9532" t="s">
        <v>28</v>
      </c>
      <c r="B9532" t="s">
        <v>22</v>
      </c>
      <c r="C9532" t="s">
        <v>15</v>
      </c>
      <c r="D9532" t="s">
        <v>103</v>
      </c>
      <c r="E9532" t="s">
        <v>74</v>
      </c>
      <c r="F9532">
        <v>47201</v>
      </c>
      <c r="G9532" t="s">
        <v>47</v>
      </c>
      <c r="H9532" t="s">
        <v>26</v>
      </c>
      <c r="I9532" t="s">
        <v>41</v>
      </c>
      <c r="J9532">
        <v>75.88</v>
      </c>
      <c r="K9532">
        <v>2</v>
      </c>
      <c r="L9532">
        <v>0</v>
      </c>
      <c r="M9532">
        <v>35.663600000000002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41</v>
      </c>
      <c r="J9533">
        <v>6.8479999999999999</v>
      </c>
      <c r="K9533">
        <v>2</v>
      </c>
      <c r="L9533">
        <v>0.2</v>
      </c>
      <c r="M9533">
        <v>2.14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37</v>
      </c>
      <c r="J9534">
        <v>4.6260000000000003</v>
      </c>
      <c r="K9534">
        <v>2</v>
      </c>
      <c r="L9534">
        <v>0.7</v>
      </c>
      <c r="M9534">
        <v>-3.855</v>
      </c>
    </row>
    <row r="9535" spans="1:13" x14ac:dyDescent="0.3">
      <c r="A9535" t="s">
        <v>13</v>
      </c>
      <c r="B9535" t="s">
        <v>22</v>
      </c>
      <c r="C9535" t="s">
        <v>15</v>
      </c>
      <c r="D9535" t="s">
        <v>55</v>
      </c>
      <c r="E9535" t="s">
        <v>56</v>
      </c>
      <c r="F9535">
        <v>19134</v>
      </c>
      <c r="G9535" t="s">
        <v>57</v>
      </c>
      <c r="H9535" t="s">
        <v>26</v>
      </c>
      <c r="I9535" t="s">
        <v>38</v>
      </c>
      <c r="J9535">
        <v>453.6</v>
      </c>
      <c r="K9535">
        <v>3</v>
      </c>
      <c r="L9535">
        <v>0.2</v>
      </c>
      <c r="M9535">
        <v>90.72</v>
      </c>
    </row>
    <row r="9536" spans="1:13" x14ac:dyDescent="0.3">
      <c r="A9536" t="s">
        <v>62</v>
      </c>
      <c r="B9536" t="s">
        <v>44</v>
      </c>
      <c r="C9536" t="s">
        <v>15</v>
      </c>
      <c r="D9536" t="s">
        <v>117</v>
      </c>
      <c r="E9536" t="s">
        <v>24</v>
      </c>
      <c r="F9536">
        <v>95123</v>
      </c>
      <c r="G9536" t="s">
        <v>25</v>
      </c>
      <c r="H9536" t="s">
        <v>26</v>
      </c>
      <c r="I9536" t="s">
        <v>37</v>
      </c>
      <c r="J9536">
        <v>13.848000000000001</v>
      </c>
      <c r="K9536">
        <v>3</v>
      </c>
      <c r="L9536">
        <v>0.2</v>
      </c>
      <c r="M9536">
        <v>5.1929999999999996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55</v>
      </c>
      <c r="E9537" t="s">
        <v>56</v>
      </c>
      <c r="F9537">
        <v>19140</v>
      </c>
      <c r="G9537" t="s">
        <v>57</v>
      </c>
      <c r="H9537" t="s">
        <v>26</v>
      </c>
      <c r="I9537" t="s">
        <v>32</v>
      </c>
      <c r="J9537">
        <v>577.58399999999995</v>
      </c>
      <c r="K9537">
        <v>6</v>
      </c>
      <c r="L9537">
        <v>0.2</v>
      </c>
      <c r="M9537">
        <v>43.318800000000003</v>
      </c>
    </row>
    <row r="9538" spans="1:13" x14ac:dyDescent="0.3">
      <c r="A9538" t="s">
        <v>28</v>
      </c>
      <c r="B9538" t="s">
        <v>44</v>
      </c>
      <c r="C9538" t="s">
        <v>15</v>
      </c>
      <c r="D9538" t="s">
        <v>82</v>
      </c>
      <c r="E9538" t="s">
        <v>83</v>
      </c>
      <c r="F9538">
        <v>22153</v>
      </c>
      <c r="G9538" t="s">
        <v>18</v>
      </c>
      <c r="H9538" t="s">
        <v>35</v>
      </c>
      <c r="I9538" t="s">
        <v>59</v>
      </c>
      <c r="J9538">
        <v>151.96</v>
      </c>
      <c r="K9538">
        <v>4</v>
      </c>
      <c r="L9538">
        <v>0</v>
      </c>
      <c r="M9538">
        <v>36.470399999999998</v>
      </c>
    </row>
    <row r="9539" spans="1:13" x14ac:dyDescent="0.3">
      <c r="A9539" t="s">
        <v>28</v>
      </c>
      <c r="B9539" t="s">
        <v>22</v>
      </c>
      <c r="C9539" t="s">
        <v>15</v>
      </c>
      <c r="D9539" t="s">
        <v>352</v>
      </c>
      <c r="E9539" t="s">
        <v>98</v>
      </c>
      <c r="F9539">
        <v>80020</v>
      </c>
      <c r="G9539" t="s">
        <v>25</v>
      </c>
      <c r="H9539" t="s">
        <v>19</v>
      </c>
      <c r="I9539" t="s">
        <v>33</v>
      </c>
      <c r="J9539">
        <v>68.432000000000002</v>
      </c>
      <c r="K9539">
        <v>7</v>
      </c>
      <c r="L9539">
        <v>0.2</v>
      </c>
      <c r="M9539">
        <v>8.5540000000000003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19</v>
      </c>
      <c r="I9540" t="s">
        <v>33</v>
      </c>
      <c r="J9540">
        <v>71.12</v>
      </c>
      <c r="K9540">
        <v>5</v>
      </c>
      <c r="L9540">
        <v>0.2</v>
      </c>
      <c r="M9540">
        <v>9.7789999999999999</v>
      </c>
    </row>
    <row r="9541" spans="1:13" x14ac:dyDescent="0.3">
      <c r="A9541" t="s">
        <v>28</v>
      </c>
      <c r="B9541" t="s">
        <v>14</v>
      </c>
      <c r="C9541" t="s">
        <v>15</v>
      </c>
      <c r="D9541" t="s">
        <v>103</v>
      </c>
      <c r="E9541" t="s">
        <v>104</v>
      </c>
      <c r="F9541">
        <v>43229</v>
      </c>
      <c r="G9541" t="s">
        <v>57</v>
      </c>
      <c r="H9541" t="s">
        <v>26</v>
      </c>
      <c r="I9541" t="s">
        <v>77</v>
      </c>
      <c r="J9541">
        <v>3.008</v>
      </c>
      <c r="K9541">
        <v>2</v>
      </c>
      <c r="L9541">
        <v>0.2</v>
      </c>
      <c r="M9541">
        <v>0.56399999999999995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39</v>
      </c>
      <c r="E9542" t="s">
        <v>247</v>
      </c>
      <c r="F9542">
        <v>3301</v>
      </c>
      <c r="G9542" t="s">
        <v>57</v>
      </c>
      <c r="H9542" t="s">
        <v>26</v>
      </c>
      <c r="I9542" t="s">
        <v>41</v>
      </c>
      <c r="J9542">
        <v>184.66</v>
      </c>
      <c r="K9542">
        <v>7</v>
      </c>
      <c r="L9542">
        <v>0</v>
      </c>
      <c r="M9542">
        <v>84.943600000000004</v>
      </c>
    </row>
    <row r="9543" spans="1:13" x14ac:dyDescent="0.3">
      <c r="A9543" t="s">
        <v>13</v>
      </c>
      <c r="B9543" t="s">
        <v>14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19</v>
      </c>
      <c r="I9543" t="s">
        <v>33</v>
      </c>
      <c r="J9543">
        <v>5.3120000000000003</v>
      </c>
      <c r="K9543">
        <v>2</v>
      </c>
      <c r="L9543">
        <v>0.6</v>
      </c>
      <c r="M9543">
        <v>-1.5935999999999999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35</v>
      </c>
      <c r="I9544" t="s">
        <v>59</v>
      </c>
      <c r="J9544">
        <v>132.52000000000001</v>
      </c>
      <c r="K9544">
        <v>5</v>
      </c>
      <c r="L9544">
        <v>0.2</v>
      </c>
      <c r="M9544">
        <v>34.786499999999997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26</v>
      </c>
      <c r="I9545" t="s">
        <v>32</v>
      </c>
      <c r="J9545">
        <v>195.64</v>
      </c>
      <c r="K9545">
        <v>5</v>
      </c>
      <c r="L9545">
        <v>0.2</v>
      </c>
      <c r="M9545">
        <v>-44.018999999999998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19</v>
      </c>
      <c r="I9546" t="s">
        <v>33</v>
      </c>
      <c r="J9546">
        <v>51.968000000000004</v>
      </c>
      <c r="K9546">
        <v>2</v>
      </c>
      <c r="L9546">
        <v>0.2</v>
      </c>
      <c r="M9546">
        <v>10.393599999999999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59</v>
      </c>
      <c r="J9547">
        <v>431.976</v>
      </c>
      <c r="K9547">
        <v>3</v>
      </c>
      <c r="L9547">
        <v>0.2</v>
      </c>
      <c r="M9547">
        <v>-75.595799999999997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35</v>
      </c>
      <c r="I9548" t="s">
        <v>123</v>
      </c>
      <c r="J9548">
        <v>224.93700000000001</v>
      </c>
      <c r="K9548">
        <v>3</v>
      </c>
      <c r="L9548">
        <v>0.7</v>
      </c>
      <c r="M9548">
        <v>-164.9538</v>
      </c>
    </row>
    <row r="9549" spans="1:13" x14ac:dyDescent="0.3">
      <c r="A9549" t="s">
        <v>62</v>
      </c>
      <c r="B9549" t="s">
        <v>14</v>
      </c>
      <c r="C9549" t="s">
        <v>15</v>
      </c>
      <c r="D9549" t="s">
        <v>114</v>
      </c>
      <c r="E9549" t="s">
        <v>104</v>
      </c>
      <c r="F9549">
        <v>43055</v>
      </c>
      <c r="G9549" t="s">
        <v>57</v>
      </c>
      <c r="H9549" t="s">
        <v>26</v>
      </c>
      <c r="I9549" t="s">
        <v>27</v>
      </c>
      <c r="J9549">
        <v>6</v>
      </c>
      <c r="K9549">
        <v>2</v>
      </c>
      <c r="L9549">
        <v>0.2</v>
      </c>
      <c r="M9549">
        <v>2.1</v>
      </c>
    </row>
    <row r="9550" spans="1:13" x14ac:dyDescent="0.3">
      <c r="A9550" t="s">
        <v>28</v>
      </c>
      <c r="B9550" t="s">
        <v>44</v>
      </c>
      <c r="C9550" t="s">
        <v>15</v>
      </c>
      <c r="D9550" t="s">
        <v>23</v>
      </c>
      <c r="E9550" t="s">
        <v>24</v>
      </c>
      <c r="F9550">
        <v>90045</v>
      </c>
      <c r="G9550" t="s">
        <v>25</v>
      </c>
      <c r="H9550" t="s">
        <v>26</v>
      </c>
      <c r="I9550" t="s">
        <v>41</v>
      </c>
      <c r="J9550">
        <v>11.76</v>
      </c>
      <c r="K9550">
        <v>2</v>
      </c>
      <c r="L9550">
        <v>0</v>
      </c>
      <c r="M9550">
        <v>5.7624000000000004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19</v>
      </c>
      <c r="I9551" t="s">
        <v>21</v>
      </c>
      <c r="J9551">
        <v>1125.4880000000001</v>
      </c>
      <c r="K9551">
        <v>7</v>
      </c>
      <c r="L9551">
        <v>0.2</v>
      </c>
      <c r="M9551">
        <v>98.480199999999996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37</v>
      </c>
      <c r="J9552">
        <v>12.645</v>
      </c>
      <c r="K9552">
        <v>5</v>
      </c>
      <c r="L9552">
        <v>0.7</v>
      </c>
      <c r="M9552">
        <v>-10.116</v>
      </c>
    </row>
    <row r="9553" spans="1:13" x14ac:dyDescent="0.3">
      <c r="A9553" t="s">
        <v>168</v>
      </c>
      <c r="B9553" t="s">
        <v>14</v>
      </c>
      <c r="C9553" t="s">
        <v>15</v>
      </c>
      <c r="D9553" t="s">
        <v>141</v>
      </c>
      <c r="E9553" t="s">
        <v>30</v>
      </c>
      <c r="F9553">
        <v>33614</v>
      </c>
      <c r="G9553" t="s">
        <v>18</v>
      </c>
      <c r="H9553" t="s">
        <v>26</v>
      </c>
      <c r="I9553" t="s">
        <v>34</v>
      </c>
      <c r="J9553">
        <v>4.032</v>
      </c>
      <c r="K9553">
        <v>2</v>
      </c>
      <c r="L9553">
        <v>0.2</v>
      </c>
      <c r="M9553">
        <v>1.0584</v>
      </c>
    </row>
    <row r="9554" spans="1:13" x14ac:dyDescent="0.3">
      <c r="A9554" t="s">
        <v>62</v>
      </c>
      <c r="B9554" t="s">
        <v>22</v>
      </c>
      <c r="C9554" t="s">
        <v>15</v>
      </c>
      <c r="D9554" t="s">
        <v>53</v>
      </c>
      <c r="E9554" t="s">
        <v>54</v>
      </c>
      <c r="F9554">
        <v>68025</v>
      </c>
      <c r="G9554" t="s">
        <v>47</v>
      </c>
      <c r="H9554" t="s">
        <v>35</v>
      </c>
      <c r="I9554" t="s">
        <v>36</v>
      </c>
      <c r="J9554">
        <v>79.959999999999994</v>
      </c>
      <c r="K9554">
        <v>4</v>
      </c>
      <c r="L9554">
        <v>0</v>
      </c>
      <c r="M9554">
        <v>22.3888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37</v>
      </c>
      <c r="J9555">
        <v>6.7320000000000002</v>
      </c>
      <c r="K9555">
        <v>6</v>
      </c>
      <c r="L9555">
        <v>0.7</v>
      </c>
      <c r="M9555">
        <v>-4.4880000000000004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32</v>
      </c>
      <c r="J9556">
        <v>33.567999999999998</v>
      </c>
      <c r="K9556">
        <v>2</v>
      </c>
      <c r="L9556">
        <v>0.2</v>
      </c>
      <c r="M9556">
        <v>1.6783999999999999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60</v>
      </c>
      <c r="J9557">
        <v>15.84</v>
      </c>
      <c r="K9557">
        <v>2</v>
      </c>
      <c r="L9557">
        <v>0.2</v>
      </c>
      <c r="M9557">
        <v>5.5439999999999996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27</v>
      </c>
      <c r="J9558">
        <v>24.423999999999999</v>
      </c>
      <c r="K9558">
        <v>1</v>
      </c>
      <c r="L9558">
        <v>0.2</v>
      </c>
      <c r="M9558">
        <v>7.9378000000000002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103</v>
      </c>
      <c r="E9559" t="s">
        <v>104</v>
      </c>
      <c r="F9559">
        <v>43229</v>
      </c>
      <c r="G9559" t="s">
        <v>57</v>
      </c>
      <c r="H9559" t="s">
        <v>26</v>
      </c>
      <c r="I9559" t="s">
        <v>34</v>
      </c>
      <c r="J9559">
        <v>17.12</v>
      </c>
      <c r="K9559">
        <v>5</v>
      </c>
      <c r="L9559">
        <v>0.2</v>
      </c>
      <c r="M9559">
        <v>1.9259999999999999</v>
      </c>
    </row>
    <row r="9560" spans="1:13" x14ac:dyDescent="0.3">
      <c r="A9560" t="s">
        <v>168</v>
      </c>
      <c r="B9560" t="s">
        <v>14</v>
      </c>
      <c r="C9560" t="s">
        <v>15</v>
      </c>
      <c r="D9560" t="s">
        <v>310</v>
      </c>
      <c r="E9560" t="s">
        <v>24</v>
      </c>
      <c r="F9560">
        <v>91767</v>
      </c>
      <c r="G9560" t="s">
        <v>25</v>
      </c>
      <c r="H9560" t="s">
        <v>19</v>
      </c>
      <c r="I9560" t="s">
        <v>33</v>
      </c>
      <c r="J9560">
        <v>31.56</v>
      </c>
      <c r="K9560">
        <v>3</v>
      </c>
      <c r="L9560">
        <v>0</v>
      </c>
      <c r="M9560">
        <v>10.4148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19</v>
      </c>
      <c r="I9561" t="s">
        <v>21</v>
      </c>
      <c r="J9561">
        <v>105.68600000000001</v>
      </c>
      <c r="K9561">
        <v>1</v>
      </c>
      <c r="L9561">
        <v>0.3</v>
      </c>
      <c r="M9561">
        <v>-28.686199999999999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35</v>
      </c>
      <c r="I9562" t="s">
        <v>123</v>
      </c>
      <c r="J9562">
        <v>399.54</v>
      </c>
      <c r="K9562">
        <v>2</v>
      </c>
      <c r="L9562">
        <v>0.4</v>
      </c>
      <c r="M9562">
        <v>-79.908000000000001</v>
      </c>
    </row>
    <row r="9563" spans="1:13" x14ac:dyDescent="0.3">
      <c r="A9563" t="s">
        <v>13</v>
      </c>
      <c r="B9563" t="s">
        <v>14</v>
      </c>
      <c r="C9563" t="s">
        <v>15</v>
      </c>
      <c r="D9563" t="s">
        <v>122</v>
      </c>
      <c r="E9563" t="s">
        <v>46</v>
      </c>
      <c r="F9563">
        <v>78207</v>
      </c>
      <c r="G9563" t="s">
        <v>47</v>
      </c>
      <c r="H9563" t="s">
        <v>19</v>
      </c>
      <c r="I9563" t="s">
        <v>21</v>
      </c>
      <c r="J9563">
        <v>104.93</v>
      </c>
      <c r="K9563">
        <v>5</v>
      </c>
      <c r="L9563">
        <v>0.3</v>
      </c>
      <c r="M9563">
        <v>-4.4969999999999999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35</v>
      </c>
      <c r="I9564" t="s">
        <v>36</v>
      </c>
      <c r="J9564">
        <v>1079.8499999999999</v>
      </c>
      <c r="K9564">
        <v>3</v>
      </c>
      <c r="L9564">
        <v>0</v>
      </c>
      <c r="M9564">
        <v>323.95499999999998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32</v>
      </c>
      <c r="J9565">
        <v>70.98</v>
      </c>
      <c r="K9565">
        <v>1</v>
      </c>
      <c r="L9565">
        <v>0</v>
      </c>
      <c r="M9565">
        <v>3.5489999999999999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26</v>
      </c>
      <c r="I9566" t="s">
        <v>34</v>
      </c>
      <c r="J9566">
        <v>29.95</v>
      </c>
      <c r="K9566">
        <v>5</v>
      </c>
      <c r="L9566">
        <v>0</v>
      </c>
      <c r="M9566">
        <v>8.6854999999999993</v>
      </c>
    </row>
    <row r="9567" spans="1:13" x14ac:dyDescent="0.3">
      <c r="A9567" t="s">
        <v>62</v>
      </c>
      <c r="B9567" t="s">
        <v>44</v>
      </c>
      <c r="C9567" t="s">
        <v>15</v>
      </c>
      <c r="D9567" t="s">
        <v>75</v>
      </c>
      <c r="E9567" t="s">
        <v>76</v>
      </c>
      <c r="F9567">
        <v>10035</v>
      </c>
      <c r="G9567" t="s">
        <v>57</v>
      </c>
      <c r="H9567" t="s">
        <v>19</v>
      </c>
      <c r="I9567" t="s">
        <v>21</v>
      </c>
      <c r="J9567">
        <v>589.41</v>
      </c>
      <c r="K9567">
        <v>5</v>
      </c>
      <c r="L9567">
        <v>0.1</v>
      </c>
      <c r="M9567">
        <v>-6.5490000000000004</v>
      </c>
    </row>
    <row r="9568" spans="1:13" x14ac:dyDescent="0.3">
      <c r="A9568" t="s">
        <v>28</v>
      </c>
      <c r="B9568" t="s">
        <v>44</v>
      </c>
      <c r="C9568" t="s">
        <v>15</v>
      </c>
      <c r="D9568" t="s">
        <v>55</v>
      </c>
      <c r="E9568" t="s">
        <v>56</v>
      </c>
      <c r="F9568">
        <v>19120</v>
      </c>
      <c r="G9568" t="s">
        <v>57</v>
      </c>
      <c r="H9568" t="s">
        <v>26</v>
      </c>
      <c r="I9568" t="s">
        <v>77</v>
      </c>
      <c r="J9568">
        <v>9.6479999999999997</v>
      </c>
      <c r="K9568">
        <v>6</v>
      </c>
      <c r="L9568">
        <v>0.2</v>
      </c>
      <c r="M9568">
        <v>3.4973999999999998</v>
      </c>
    </row>
    <row r="9569" spans="1:13" x14ac:dyDescent="0.3">
      <c r="A9569" t="s">
        <v>13</v>
      </c>
      <c r="B9569" t="s">
        <v>14</v>
      </c>
      <c r="C9569" t="s">
        <v>15</v>
      </c>
      <c r="D9569" t="s">
        <v>75</v>
      </c>
      <c r="E9569" t="s">
        <v>76</v>
      </c>
      <c r="F9569">
        <v>10024</v>
      </c>
      <c r="G9569" t="s">
        <v>57</v>
      </c>
      <c r="H9569" t="s">
        <v>19</v>
      </c>
      <c r="I9569" t="s">
        <v>20</v>
      </c>
      <c r="J9569">
        <v>400.78399999999999</v>
      </c>
      <c r="K9569">
        <v>1</v>
      </c>
      <c r="L9569">
        <v>0.2</v>
      </c>
      <c r="M9569">
        <v>-5.0098000000000003</v>
      </c>
    </row>
    <row r="9570" spans="1:13" x14ac:dyDescent="0.3">
      <c r="A9570" t="s">
        <v>62</v>
      </c>
      <c r="B9570" t="s">
        <v>44</v>
      </c>
      <c r="C9570" t="s">
        <v>15</v>
      </c>
      <c r="D9570" t="s">
        <v>140</v>
      </c>
      <c r="E9570" t="s">
        <v>70</v>
      </c>
      <c r="F9570">
        <v>48234</v>
      </c>
      <c r="G9570" t="s">
        <v>47</v>
      </c>
      <c r="H9570" t="s">
        <v>26</v>
      </c>
      <c r="I9570" t="s">
        <v>32</v>
      </c>
      <c r="J9570">
        <v>53.72</v>
      </c>
      <c r="K9570">
        <v>4</v>
      </c>
      <c r="L9570">
        <v>0</v>
      </c>
      <c r="M9570">
        <v>13.9672</v>
      </c>
    </row>
    <row r="9571" spans="1:13" x14ac:dyDescent="0.3">
      <c r="A9571" t="s">
        <v>62</v>
      </c>
      <c r="B9571" t="s">
        <v>22</v>
      </c>
      <c r="C9571" t="s">
        <v>15</v>
      </c>
      <c r="D9571" t="s">
        <v>180</v>
      </c>
      <c r="E9571" t="s">
        <v>30</v>
      </c>
      <c r="F9571">
        <v>33142</v>
      </c>
      <c r="G9571" t="s">
        <v>18</v>
      </c>
      <c r="H9571" t="s">
        <v>26</v>
      </c>
      <c r="I9571" t="s">
        <v>41</v>
      </c>
      <c r="J9571">
        <v>31.007999999999999</v>
      </c>
      <c r="K9571">
        <v>1</v>
      </c>
      <c r="L9571">
        <v>0.2</v>
      </c>
      <c r="M9571">
        <v>11.240399999999999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39</v>
      </c>
      <c r="E9572" t="s">
        <v>24</v>
      </c>
      <c r="F9572">
        <v>94521</v>
      </c>
      <c r="G9572" t="s">
        <v>25</v>
      </c>
      <c r="H9572" t="s">
        <v>26</v>
      </c>
      <c r="I9572" t="s">
        <v>37</v>
      </c>
      <c r="J9572">
        <v>61.12</v>
      </c>
      <c r="K9572">
        <v>5</v>
      </c>
      <c r="L9572">
        <v>0.2</v>
      </c>
      <c r="M9572">
        <v>22.155999999999999</v>
      </c>
    </row>
    <row r="9573" spans="1:13" x14ac:dyDescent="0.3">
      <c r="A9573" t="s">
        <v>28</v>
      </c>
      <c r="B9573" t="s">
        <v>22</v>
      </c>
      <c r="C9573" t="s">
        <v>15</v>
      </c>
      <c r="D9573" t="s">
        <v>79</v>
      </c>
      <c r="E9573" t="s">
        <v>65</v>
      </c>
      <c r="F9573">
        <v>60653</v>
      </c>
      <c r="G9573" t="s">
        <v>47</v>
      </c>
      <c r="H9573" t="s">
        <v>26</v>
      </c>
      <c r="I9573" t="s">
        <v>32</v>
      </c>
      <c r="J9573">
        <v>195.136</v>
      </c>
      <c r="K9573">
        <v>4</v>
      </c>
      <c r="L9573">
        <v>0.2</v>
      </c>
      <c r="M9573">
        <v>-43.9056</v>
      </c>
    </row>
    <row r="9574" spans="1:13" x14ac:dyDescent="0.3">
      <c r="A9574" t="s">
        <v>28</v>
      </c>
      <c r="B9574" t="s">
        <v>14</v>
      </c>
      <c r="C9574" t="s">
        <v>15</v>
      </c>
      <c r="D9574" t="s">
        <v>409</v>
      </c>
      <c r="E9574" t="s">
        <v>65</v>
      </c>
      <c r="F9574">
        <v>60090</v>
      </c>
      <c r="G9574" t="s">
        <v>47</v>
      </c>
      <c r="H9574" t="s">
        <v>26</v>
      </c>
      <c r="I9574" t="s">
        <v>34</v>
      </c>
      <c r="J9574">
        <v>121.536</v>
      </c>
      <c r="K9574">
        <v>4</v>
      </c>
      <c r="L9574">
        <v>0.2</v>
      </c>
      <c r="M9574">
        <v>15.192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41</v>
      </c>
      <c r="J9575">
        <v>17.472000000000001</v>
      </c>
      <c r="K9575">
        <v>3</v>
      </c>
      <c r="L9575">
        <v>0.2</v>
      </c>
      <c r="M9575">
        <v>5.6783999999999999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79</v>
      </c>
      <c r="E9576" t="s">
        <v>65</v>
      </c>
      <c r="F9576">
        <v>60610</v>
      </c>
      <c r="G9576" t="s">
        <v>47</v>
      </c>
      <c r="H9576" t="s">
        <v>26</v>
      </c>
      <c r="I9576" t="s">
        <v>37</v>
      </c>
      <c r="J9576">
        <v>104.58</v>
      </c>
      <c r="K9576">
        <v>9</v>
      </c>
      <c r="L9576">
        <v>0.8</v>
      </c>
      <c r="M9576">
        <v>-172.55699999999999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24.7</v>
      </c>
      <c r="K9577">
        <v>5</v>
      </c>
      <c r="L9577">
        <v>0.6</v>
      </c>
      <c r="M9577">
        <v>-9.8800000000000008</v>
      </c>
    </row>
    <row r="9578" spans="1:13" x14ac:dyDescent="0.3">
      <c r="A9578" t="s">
        <v>28</v>
      </c>
      <c r="B9578" t="s">
        <v>44</v>
      </c>
      <c r="C9578" t="s">
        <v>15</v>
      </c>
      <c r="D9578" t="s">
        <v>113</v>
      </c>
      <c r="E9578" t="s">
        <v>46</v>
      </c>
      <c r="F9578">
        <v>77506</v>
      </c>
      <c r="G9578" t="s">
        <v>47</v>
      </c>
      <c r="H9578" t="s">
        <v>19</v>
      </c>
      <c r="I9578" t="s">
        <v>33</v>
      </c>
      <c r="J9578">
        <v>302.72000000000003</v>
      </c>
      <c r="K9578">
        <v>5</v>
      </c>
      <c r="L9578">
        <v>0.6</v>
      </c>
      <c r="M9578">
        <v>-378.4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8.56</v>
      </c>
      <c r="K9579">
        <v>2</v>
      </c>
      <c r="L9579">
        <v>0</v>
      </c>
      <c r="M9579">
        <v>3.8519999999999999</v>
      </c>
    </row>
    <row r="9580" spans="1:13" x14ac:dyDescent="0.3">
      <c r="A9580" t="s">
        <v>28</v>
      </c>
      <c r="B9580" t="s">
        <v>14</v>
      </c>
      <c r="C9580" t="s">
        <v>15</v>
      </c>
      <c r="D9580" t="s">
        <v>75</v>
      </c>
      <c r="E9580" t="s">
        <v>76</v>
      </c>
      <c r="F9580">
        <v>10024</v>
      </c>
      <c r="G9580" t="s">
        <v>57</v>
      </c>
      <c r="H9580" t="s">
        <v>26</v>
      </c>
      <c r="I9580" t="s">
        <v>41</v>
      </c>
      <c r="J9580">
        <v>11.56</v>
      </c>
      <c r="K9580">
        <v>2</v>
      </c>
      <c r="L9580">
        <v>0</v>
      </c>
      <c r="M9580">
        <v>5.6643999999999997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38</v>
      </c>
      <c r="J9581">
        <v>25.86</v>
      </c>
      <c r="K9581">
        <v>3</v>
      </c>
      <c r="L9581">
        <v>0</v>
      </c>
      <c r="M9581">
        <v>6.7236000000000002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26</v>
      </c>
      <c r="I9582" t="s">
        <v>37</v>
      </c>
      <c r="J9582">
        <v>276.78399999999999</v>
      </c>
      <c r="K9582">
        <v>2</v>
      </c>
      <c r="L9582">
        <v>0.2</v>
      </c>
      <c r="M9582">
        <v>89.954800000000006</v>
      </c>
    </row>
    <row r="9583" spans="1:13" x14ac:dyDescent="0.3">
      <c r="A9583" t="s">
        <v>28</v>
      </c>
      <c r="B9583" t="s">
        <v>22</v>
      </c>
      <c r="C9583" t="s">
        <v>15</v>
      </c>
      <c r="D9583" t="s">
        <v>117</v>
      </c>
      <c r="E9583" t="s">
        <v>24</v>
      </c>
      <c r="F9583">
        <v>95123</v>
      </c>
      <c r="G9583" t="s">
        <v>25</v>
      </c>
      <c r="H9583" t="s">
        <v>35</v>
      </c>
      <c r="I9583" t="s">
        <v>36</v>
      </c>
      <c r="J9583">
        <v>110.352</v>
      </c>
      <c r="K9583">
        <v>3</v>
      </c>
      <c r="L9583">
        <v>0.2</v>
      </c>
      <c r="M9583">
        <v>8.2764000000000006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390</v>
      </c>
      <c r="E9584" t="s">
        <v>24</v>
      </c>
      <c r="F9584">
        <v>95823</v>
      </c>
      <c r="G9584" t="s">
        <v>25</v>
      </c>
      <c r="H9584" t="s">
        <v>19</v>
      </c>
      <c r="I9584" t="s">
        <v>33</v>
      </c>
      <c r="J9584">
        <v>60.84</v>
      </c>
      <c r="K9584">
        <v>3</v>
      </c>
      <c r="L9584">
        <v>0</v>
      </c>
      <c r="M9584">
        <v>19.468800000000002</v>
      </c>
    </row>
    <row r="9585" spans="1:13" x14ac:dyDescent="0.3">
      <c r="A9585" t="s">
        <v>28</v>
      </c>
      <c r="B9585" t="s">
        <v>14</v>
      </c>
      <c r="C9585" t="s">
        <v>15</v>
      </c>
      <c r="D9585" t="s">
        <v>82</v>
      </c>
      <c r="E9585" t="s">
        <v>95</v>
      </c>
      <c r="F9585">
        <v>97477</v>
      </c>
      <c r="G9585" t="s">
        <v>25</v>
      </c>
      <c r="H9585" t="s">
        <v>26</v>
      </c>
      <c r="I9585" t="s">
        <v>38</v>
      </c>
      <c r="J9585">
        <v>35.207999999999998</v>
      </c>
      <c r="K9585">
        <v>1</v>
      </c>
      <c r="L9585">
        <v>0.2</v>
      </c>
      <c r="M9585">
        <v>2.6406000000000001</v>
      </c>
    </row>
    <row r="9586" spans="1:13" x14ac:dyDescent="0.3">
      <c r="A9586" t="s">
        <v>13</v>
      </c>
      <c r="B9586" t="s">
        <v>22</v>
      </c>
      <c r="C9586" t="s">
        <v>15</v>
      </c>
      <c r="D9586" t="s">
        <v>604</v>
      </c>
      <c r="E9586" t="s">
        <v>46</v>
      </c>
      <c r="F9586">
        <v>76063</v>
      </c>
      <c r="G9586" t="s">
        <v>47</v>
      </c>
      <c r="H9586" t="s">
        <v>26</v>
      </c>
      <c r="I9586" t="s">
        <v>41</v>
      </c>
      <c r="J9586">
        <v>41.472000000000001</v>
      </c>
      <c r="K9586">
        <v>8</v>
      </c>
      <c r="L9586">
        <v>0.2</v>
      </c>
      <c r="M9586">
        <v>14.5152</v>
      </c>
    </row>
    <row r="9587" spans="1:13" x14ac:dyDescent="0.3">
      <c r="A9587" t="s">
        <v>28</v>
      </c>
      <c r="B9587" t="s">
        <v>14</v>
      </c>
      <c r="C9587" t="s">
        <v>15</v>
      </c>
      <c r="D9587" t="s">
        <v>271</v>
      </c>
      <c r="E9587" t="s">
        <v>197</v>
      </c>
      <c r="F9587">
        <v>72401</v>
      </c>
      <c r="G9587" t="s">
        <v>18</v>
      </c>
      <c r="H9587" t="s">
        <v>26</v>
      </c>
      <c r="I9587" t="s">
        <v>41</v>
      </c>
      <c r="J9587">
        <v>239.5</v>
      </c>
      <c r="K9587">
        <v>5</v>
      </c>
      <c r="L9587">
        <v>0</v>
      </c>
      <c r="M9587">
        <v>114.96</v>
      </c>
    </row>
    <row r="9588" spans="1:13" x14ac:dyDescent="0.3">
      <c r="A9588" t="s">
        <v>62</v>
      </c>
      <c r="B9588" t="s">
        <v>14</v>
      </c>
      <c r="C9588" t="s">
        <v>15</v>
      </c>
      <c r="D9588" t="s">
        <v>258</v>
      </c>
      <c r="E9588" t="s">
        <v>83</v>
      </c>
      <c r="F9588">
        <v>23464</v>
      </c>
      <c r="G9588" t="s">
        <v>18</v>
      </c>
      <c r="H9588" t="s">
        <v>26</v>
      </c>
      <c r="I9588" t="s">
        <v>110</v>
      </c>
      <c r="J9588">
        <v>34.200000000000003</v>
      </c>
      <c r="K9588">
        <v>5</v>
      </c>
      <c r="L9588">
        <v>0</v>
      </c>
      <c r="M9588">
        <v>9.234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92</v>
      </c>
      <c r="E9589" t="s">
        <v>76</v>
      </c>
      <c r="F9589">
        <v>14609</v>
      </c>
      <c r="G9589" t="s">
        <v>57</v>
      </c>
      <c r="H9589" t="s">
        <v>19</v>
      </c>
      <c r="I9589" t="s">
        <v>31</v>
      </c>
      <c r="J9589">
        <v>376.86599999999999</v>
      </c>
      <c r="K9589">
        <v>3</v>
      </c>
      <c r="L9589">
        <v>0.4</v>
      </c>
      <c r="M9589">
        <v>-213.5574</v>
      </c>
    </row>
    <row r="9590" spans="1:13" x14ac:dyDescent="0.3">
      <c r="A9590" t="s">
        <v>62</v>
      </c>
      <c r="B9590" t="s">
        <v>14</v>
      </c>
      <c r="C9590" t="s">
        <v>15</v>
      </c>
      <c r="D9590" t="s">
        <v>355</v>
      </c>
      <c r="E9590" t="s">
        <v>83</v>
      </c>
      <c r="F9590">
        <v>23320</v>
      </c>
      <c r="G9590" t="s">
        <v>18</v>
      </c>
      <c r="H9590" t="s">
        <v>26</v>
      </c>
      <c r="I9590" t="s">
        <v>38</v>
      </c>
      <c r="J9590">
        <v>197.72</v>
      </c>
      <c r="K9590">
        <v>4</v>
      </c>
      <c r="L9590">
        <v>0</v>
      </c>
      <c r="M9590">
        <v>55.361600000000003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35</v>
      </c>
      <c r="I9591" t="s">
        <v>59</v>
      </c>
      <c r="J9591">
        <v>70.72</v>
      </c>
      <c r="K9591">
        <v>4</v>
      </c>
      <c r="L9591">
        <v>0.2</v>
      </c>
      <c r="M9591">
        <v>-6.1879999999999997</v>
      </c>
    </row>
    <row r="9592" spans="1:13" x14ac:dyDescent="0.3">
      <c r="A9592" t="s">
        <v>28</v>
      </c>
      <c r="B9592" t="s">
        <v>22</v>
      </c>
      <c r="C9592" t="s">
        <v>15</v>
      </c>
      <c r="D9592" t="s">
        <v>235</v>
      </c>
      <c r="E9592" t="s">
        <v>104</v>
      </c>
      <c r="F9592">
        <v>43130</v>
      </c>
      <c r="G9592" t="s">
        <v>57</v>
      </c>
      <c r="H9592" t="s">
        <v>26</v>
      </c>
      <c r="I9592" t="s">
        <v>32</v>
      </c>
      <c r="J9592">
        <v>194.352</v>
      </c>
      <c r="K9592">
        <v>3</v>
      </c>
      <c r="L9592">
        <v>0.2</v>
      </c>
      <c r="M9592">
        <v>-43.729199999999999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41</v>
      </c>
      <c r="J9593">
        <v>21.6</v>
      </c>
      <c r="K9593">
        <v>6</v>
      </c>
      <c r="L9593">
        <v>0</v>
      </c>
      <c r="M9593">
        <v>9.9359999999999999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75</v>
      </c>
      <c r="E9594" t="s">
        <v>76</v>
      </c>
      <c r="F9594">
        <v>10024</v>
      </c>
      <c r="G9594" t="s">
        <v>57</v>
      </c>
      <c r="H9594" t="s">
        <v>26</v>
      </c>
      <c r="I9594" t="s">
        <v>27</v>
      </c>
      <c r="J9594">
        <v>11.07</v>
      </c>
      <c r="K9594">
        <v>3</v>
      </c>
      <c r="L9594">
        <v>0</v>
      </c>
      <c r="M9594">
        <v>5.2028999999999996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19</v>
      </c>
      <c r="I9595" t="s">
        <v>33</v>
      </c>
      <c r="J9595">
        <v>282.83999999999997</v>
      </c>
      <c r="K9595">
        <v>4</v>
      </c>
      <c r="L9595">
        <v>0</v>
      </c>
      <c r="M9595">
        <v>19.7988</v>
      </c>
    </row>
    <row r="9596" spans="1:13" x14ac:dyDescent="0.3">
      <c r="A9596" t="s">
        <v>13</v>
      </c>
      <c r="B9596" t="s">
        <v>14</v>
      </c>
      <c r="C9596" t="s">
        <v>15</v>
      </c>
      <c r="D9596" t="s">
        <v>23</v>
      </c>
      <c r="E9596" t="s">
        <v>24</v>
      </c>
      <c r="F9596">
        <v>90045</v>
      </c>
      <c r="G9596" t="s">
        <v>25</v>
      </c>
      <c r="H9596" t="s">
        <v>26</v>
      </c>
      <c r="I9596" t="s">
        <v>27</v>
      </c>
      <c r="J9596">
        <v>27.72</v>
      </c>
      <c r="K9596">
        <v>9</v>
      </c>
      <c r="L9596">
        <v>0</v>
      </c>
      <c r="M9596">
        <v>13.3056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84</v>
      </c>
      <c r="E9597" t="s">
        <v>185</v>
      </c>
      <c r="F9597">
        <v>39212</v>
      </c>
      <c r="G9597" t="s">
        <v>18</v>
      </c>
      <c r="H9597" t="s">
        <v>26</v>
      </c>
      <c r="I9597" t="s">
        <v>77</v>
      </c>
      <c r="J9597">
        <v>11.68</v>
      </c>
      <c r="K9597">
        <v>4</v>
      </c>
      <c r="L9597">
        <v>0</v>
      </c>
      <c r="M9597">
        <v>5.2560000000000002</v>
      </c>
    </row>
    <row r="9598" spans="1:13" x14ac:dyDescent="0.3">
      <c r="A9598" t="s">
        <v>28</v>
      </c>
      <c r="B9598" t="s">
        <v>14</v>
      </c>
      <c r="C9598" t="s">
        <v>15</v>
      </c>
      <c r="D9598" t="s">
        <v>440</v>
      </c>
      <c r="E9598" t="s">
        <v>24</v>
      </c>
      <c r="F9598">
        <v>95695</v>
      </c>
      <c r="G9598" t="s">
        <v>25</v>
      </c>
      <c r="H9598" t="s">
        <v>35</v>
      </c>
      <c r="I9598" t="s">
        <v>36</v>
      </c>
      <c r="J9598">
        <v>239.98400000000001</v>
      </c>
      <c r="K9598">
        <v>2</v>
      </c>
      <c r="L9598">
        <v>0.2</v>
      </c>
      <c r="M9598">
        <v>23.9984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26</v>
      </c>
      <c r="I9599" t="s">
        <v>38</v>
      </c>
      <c r="J9599">
        <v>22.98</v>
      </c>
      <c r="K9599">
        <v>1</v>
      </c>
      <c r="L9599">
        <v>0</v>
      </c>
      <c r="M9599">
        <v>6.8940000000000001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35</v>
      </c>
      <c r="I9600" t="s">
        <v>59</v>
      </c>
      <c r="J9600">
        <v>102.13</v>
      </c>
      <c r="K9600">
        <v>7</v>
      </c>
      <c r="L9600">
        <v>0</v>
      </c>
      <c r="M9600">
        <v>15.3195</v>
      </c>
    </row>
    <row r="9601" spans="1:13" x14ac:dyDescent="0.3">
      <c r="A9601" t="s">
        <v>62</v>
      </c>
      <c r="B9601" t="s">
        <v>22</v>
      </c>
      <c r="C9601" t="s">
        <v>15</v>
      </c>
      <c r="D9601" t="s">
        <v>42</v>
      </c>
      <c r="E9601" t="s">
        <v>43</v>
      </c>
      <c r="F9601">
        <v>98115</v>
      </c>
      <c r="G9601" t="s">
        <v>25</v>
      </c>
      <c r="H9601" t="s">
        <v>26</v>
      </c>
      <c r="I9601" t="s">
        <v>37</v>
      </c>
      <c r="J9601">
        <v>2033.5840000000001</v>
      </c>
      <c r="K9601">
        <v>2</v>
      </c>
      <c r="L9601">
        <v>0.2</v>
      </c>
      <c r="M9601">
        <v>762.59400000000005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23</v>
      </c>
      <c r="E9602" t="s">
        <v>24</v>
      </c>
      <c r="F9602">
        <v>90049</v>
      </c>
      <c r="G9602" t="s">
        <v>25</v>
      </c>
      <c r="H9602" t="s">
        <v>26</v>
      </c>
      <c r="I9602" t="s">
        <v>34</v>
      </c>
      <c r="J9602">
        <v>5.76</v>
      </c>
      <c r="K9602">
        <v>2</v>
      </c>
      <c r="L9602">
        <v>0</v>
      </c>
      <c r="M9602">
        <v>1.6704000000000001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35</v>
      </c>
      <c r="I9603" t="s">
        <v>162</v>
      </c>
      <c r="J9603">
        <v>899.98199999999997</v>
      </c>
      <c r="K9603">
        <v>3</v>
      </c>
      <c r="L9603">
        <v>0.4</v>
      </c>
      <c r="M9603">
        <v>74.998500000000007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26</v>
      </c>
      <c r="I9604" t="s">
        <v>34</v>
      </c>
      <c r="J9604">
        <v>86.352000000000004</v>
      </c>
      <c r="K9604">
        <v>3</v>
      </c>
      <c r="L9604">
        <v>0.2</v>
      </c>
      <c r="M9604">
        <v>5.3970000000000002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342</v>
      </c>
      <c r="E9605" t="s">
        <v>104</v>
      </c>
      <c r="F9605">
        <v>43402</v>
      </c>
      <c r="G9605" t="s">
        <v>57</v>
      </c>
      <c r="H9605" t="s">
        <v>35</v>
      </c>
      <c r="I9605" t="s">
        <v>59</v>
      </c>
      <c r="J9605">
        <v>139.96</v>
      </c>
      <c r="K9605">
        <v>5</v>
      </c>
      <c r="L9605">
        <v>0.2</v>
      </c>
      <c r="M9605">
        <v>-1.7495000000000001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26</v>
      </c>
      <c r="I9606" t="s">
        <v>38</v>
      </c>
      <c r="J9606">
        <v>16.704000000000001</v>
      </c>
      <c r="K9606">
        <v>6</v>
      </c>
      <c r="L9606">
        <v>0.2</v>
      </c>
      <c r="M9606">
        <v>1.2527999999999999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3.1520000000000001</v>
      </c>
      <c r="K9607">
        <v>2</v>
      </c>
      <c r="L9607">
        <v>0.2</v>
      </c>
      <c r="M9607">
        <v>0.4728</v>
      </c>
    </row>
    <row r="9608" spans="1:13" x14ac:dyDescent="0.3">
      <c r="A9608" t="s">
        <v>28</v>
      </c>
      <c r="B9608" t="s">
        <v>44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41</v>
      </c>
      <c r="J9608">
        <v>32.896000000000001</v>
      </c>
      <c r="K9608">
        <v>4</v>
      </c>
      <c r="L9608">
        <v>0.2</v>
      </c>
      <c r="M9608">
        <v>11.102399999999999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26</v>
      </c>
      <c r="I9609" t="s">
        <v>38</v>
      </c>
      <c r="J9609">
        <v>21.391999999999999</v>
      </c>
      <c r="K9609">
        <v>2</v>
      </c>
      <c r="L9609">
        <v>0.8</v>
      </c>
      <c r="M9609">
        <v>-54.549599999999998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31</v>
      </c>
      <c r="J9610">
        <v>307.31400000000002</v>
      </c>
      <c r="K9610">
        <v>3</v>
      </c>
      <c r="L9610">
        <v>0.3</v>
      </c>
      <c r="M9610">
        <v>-39.511800000000001</v>
      </c>
    </row>
    <row r="9611" spans="1:13" x14ac:dyDescent="0.3">
      <c r="A9611" t="s">
        <v>62</v>
      </c>
      <c r="B9611" t="s">
        <v>14</v>
      </c>
      <c r="C9611" t="s">
        <v>15</v>
      </c>
      <c r="D9611" t="s">
        <v>135</v>
      </c>
      <c r="E9611" t="s">
        <v>46</v>
      </c>
      <c r="F9611">
        <v>75220</v>
      </c>
      <c r="G9611" t="s">
        <v>47</v>
      </c>
      <c r="H9611" t="s">
        <v>19</v>
      </c>
      <c r="I9611" t="s">
        <v>20</v>
      </c>
      <c r="J9611">
        <v>409.99919999999997</v>
      </c>
      <c r="K9611">
        <v>3</v>
      </c>
      <c r="L9611">
        <v>0.32</v>
      </c>
      <c r="M9611">
        <v>-96.470399999999998</v>
      </c>
    </row>
    <row r="9612" spans="1:13" x14ac:dyDescent="0.3">
      <c r="A9612" t="s">
        <v>62</v>
      </c>
      <c r="B9612" t="s">
        <v>22</v>
      </c>
      <c r="C9612" t="s">
        <v>15</v>
      </c>
      <c r="D9612" t="s">
        <v>356</v>
      </c>
      <c r="E9612" t="s">
        <v>46</v>
      </c>
      <c r="F9612">
        <v>79424</v>
      </c>
      <c r="G9612" t="s">
        <v>47</v>
      </c>
      <c r="H9612" t="s">
        <v>26</v>
      </c>
      <c r="I9612" t="s">
        <v>41</v>
      </c>
      <c r="J9612">
        <v>9.2479999999999993</v>
      </c>
      <c r="K9612">
        <v>2</v>
      </c>
      <c r="L9612">
        <v>0.2</v>
      </c>
      <c r="M9612">
        <v>3.3523999999999998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140</v>
      </c>
      <c r="E9613" t="s">
        <v>70</v>
      </c>
      <c r="F9613">
        <v>48227</v>
      </c>
      <c r="G9613" t="s">
        <v>47</v>
      </c>
      <c r="H9613" t="s">
        <v>26</v>
      </c>
      <c r="I9613" t="s">
        <v>37</v>
      </c>
      <c r="J9613">
        <v>14.67</v>
      </c>
      <c r="K9613">
        <v>3</v>
      </c>
      <c r="L9613">
        <v>0</v>
      </c>
      <c r="M9613">
        <v>6.7481999999999998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41</v>
      </c>
      <c r="J9614">
        <v>37.408000000000001</v>
      </c>
      <c r="K9614">
        <v>7</v>
      </c>
      <c r="L9614">
        <v>0.2</v>
      </c>
      <c r="M9614">
        <v>13.0928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114</v>
      </c>
      <c r="E9615" t="s">
        <v>104</v>
      </c>
      <c r="F9615">
        <v>43055</v>
      </c>
      <c r="G9615" t="s">
        <v>57</v>
      </c>
      <c r="H9615" t="s">
        <v>26</v>
      </c>
      <c r="I9615" t="s">
        <v>37</v>
      </c>
      <c r="J9615">
        <v>3.4380000000000002</v>
      </c>
      <c r="K9615">
        <v>2</v>
      </c>
      <c r="L9615">
        <v>0.7</v>
      </c>
      <c r="M9615">
        <v>-2.5211999999999999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26</v>
      </c>
      <c r="I9616" t="s">
        <v>37</v>
      </c>
      <c r="J9616">
        <v>7.1520000000000001</v>
      </c>
      <c r="K9616">
        <v>3</v>
      </c>
      <c r="L9616">
        <v>0.2</v>
      </c>
      <c r="M9616">
        <v>2.3243999999999998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75</v>
      </c>
      <c r="E9617" t="s">
        <v>76</v>
      </c>
      <c r="F9617">
        <v>10011</v>
      </c>
      <c r="G9617" t="s">
        <v>57</v>
      </c>
      <c r="H9617" t="s">
        <v>35</v>
      </c>
      <c r="I9617" t="s">
        <v>36</v>
      </c>
      <c r="J9617">
        <v>179.7</v>
      </c>
      <c r="K9617">
        <v>6</v>
      </c>
      <c r="L9617">
        <v>0</v>
      </c>
      <c r="M9617">
        <v>88.052999999999997</v>
      </c>
    </row>
    <row r="9618" spans="1:13" x14ac:dyDescent="0.3">
      <c r="A9618" t="s">
        <v>28</v>
      </c>
      <c r="B9618" t="s">
        <v>14</v>
      </c>
      <c r="C9618" t="s">
        <v>15</v>
      </c>
      <c r="D9618" t="s">
        <v>93</v>
      </c>
      <c r="E9618" t="s">
        <v>68</v>
      </c>
      <c r="F9618">
        <v>55407</v>
      </c>
      <c r="G9618" t="s">
        <v>47</v>
      </c>
      <c r="H9618" t="s">
        <v>26</v>
      </c>
      <c r="I9618" t="s">
        <v>38</v>
      </c>
      <c r="J9618">
        <v>90.64</v>
      </c>
      <c r="K9618">
        <v>8</v>
      </c>
      <c r="L9618">
        <v>0</v>
      </c>
      <c r="M9618">
        <v>38.975200000000001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35</v>
      </c>
      <c r="I9619" t="s">
        <v>59</v>
      </c>
      <c r="J9619">
        <v>177</v>
      </c>
      <c r="K9619">
        <v>3</v>
      </c>
      <c r="L9619">
        <v>0</v>
      </c>
      <c r="M9619">
        <v>30.09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26</v>
      </c>
      <c r="I9620" t="s">
        <v>32</v>
      </c>
      <c r="J9620">
        <v>79.45</v>
      </c>
      <c r="K9620">
        <v>7</v>
      </c>
      <c r="L9620">
        <v>0</v>
      </c>
      <c r="M9620">
        <v>22.245999999999999</v>
      </c>
    </row>
    <row r="9621" spans="1:13" x14ac:dyDescent="0.3">
      <c r="A9621" t="s">
        <v>62</v>
      </c>
      <c r="B9621" t="s">
        <v>14</v>
      </c>
      <c r="C9621" t="s">
        <v>15</v>
      </c>
      <c r="D9621" t="s">
        <v>316</v>
      </c>
      <c r="E9621" t="s">
        <v>166</v>
      </c>
      <c r="F9621">
        <v>2149</v>
      </c>
      <c r="G9621" t="s">
        <v>57</v>
      </c>
      <c r="H9621" t="s">
        <v>19</v>
      </c>
      <c r="I9621" t="s">
        <v>21</v>
      </c>
      <c r="J9621">
        <v>1628.82</v>
      </c>
      <c r="K9621">
        <v>9</v>
      </c>
      <c r="L9621">
        <v>0</v>
      </c>
      <c r="M9621">
        <v>260.6112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33</v>
      </c>
      <c r="J9622">
        <v>137.54</v>
      </c>
      <c r="K9622">
        <v>2</v>
      </c>
      <c r="L9622">
        <v>0</v>
      </c>
      <c r="M9622">
        <v>55.015999999999998</v>
      </c>
    </row>
    <row r="9623" spans="1:13" x14ac:dyDescent="0.3">
      <c r="A9623" t="s">
        <v>28</v>
      </c>
      <c r="B9623" t="s">
        <v>22</v>
      </c>
      <c r="C9623" t="s">
        <v>15</v>
      </c>
      <c r="D9623" t="s">
        <v>42</v>
      </c>
      <c r="E9623" t="s">
        <v>43</v>
      </c>
      <c r="F9623">
        <v>98105</v>
      </c>
      <c r="G9623" t="s">
        <v>25</v>
      </c>
      <c r="H9623" t="s">
        <v>19</v>
      </c>
      <c r="I9623" t="s">
        <v>31</v>
      </c>
      <c r="J9623">
        <v>730.2</v>
      </c>
      <c r="K9623">
        <v>4</v>
      </c>
      <c r="L9623">
        <v>0</v>
      </c>
      <c r="M9623">
        <v>94.926000000000002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23</v>
      </c>
      <c r="E9624" t="s">
        <v>24</v>
      </c>
      <c r="F9624">
        <v>90032</v>
      </c>
      <c r="G9624" t="s">
        <v>25</v>
      </c>
      <c r="H9624" t="s">
        <v>26</v>
      </c>
      <c r="I9624" t="s">
        <v>41</v>
      </c>
      <c r="J9624">
        <v>11.56</v>
      </c>
      <c r="K9624">
        <v>2</v>
      </c>
      <c r="L9624">
        <v>0</v>
      </c>
      <c r="M9624">
        <v>5.6643999999999997</v>
      </c>
    </row>
    <row r="9625" spans="1:13" x14ac:dyDescent="0.3">
      <c r="A9625" t="s">
        <v>13</v>
      </c>
      <c r="B9625" t="s">
        <v>14</v>
      </c>
      <c r="C9625" t="s">
        <v>15</v>
      </c>
      <c r="D9625" t="s">
        <v>39</v>
      </c>
      <c r="E9625" t="s">
        <v>40</v>
      </c>
      <c r="F9625">
        <v>28027</v>
      </c>
      <c r="G9625" t="s">
        <v>18</v>
      </c>
      <c r="H9625" t="s">
        <v>19</v>
      </c>
      <c r="I9625" t="s">
        <v>31</v>
      </c>
      <c r="J9625">
        <v>4297.6440000000002</v>
      </c>
      <c r="K9625">
        <v>13</v>
      </c>
      <c r="L9625">
        <v>0.4</v>
      </c>
      <c r="M9625">
        <v>-1862.3124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34</v>
      </c>
      <c r="J9626">
        <v>20.65</v>
      </c>
      <c r="K9626">
        <v>5</v>
      </c>
      <c r="L9626">
        <v>0</v>
      </c>
      <c r="M9626">
        <v>9.4990000000000006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26</v>
      </c>
      <c r="I9627" t="s">
        <v>32</v>
      </c>
      <c r="J9627">
        <v>204.9</v>
      </c>
      <c r="K9627">
        <v>5</v>
      </c>
      <c r="L9627">
        <v>0</v>
      </c>
      <c r="M9627">
        <v>0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436.70400000000001</v>
      </c>
      <c r="K9628">
        <v>6</v>
      </c>
      <c r="L9628">
        <v>0.2</v>
      </c>
      <c r="M9628">
        <v>21.8352</v>
      </c>
    </row>
    <row r="9629" spans="1:13" x14ac:dyDescent="0.3">
      <c r="A9629" t="s">
        <v>28</v>
      </c>
      <c r="B9629" t="s">
        <v>22</v>
      </c>
      <c r="C9629" t="s">
        <v>15</v>
      </c>
      <c r="D9629" t="s">
        <v>42</v>
      </c>
      <c r="E9629" t="s">
        <v>43</v>
      </c>
      <c r="F9629">
        <v>98103</v>
      </c>
      <c r="G9629" t="s">
        <v>25</v>
      </c>
      <c r="H9629" t="s">
        <v>19</v>
      </c>
      <c r="I9629" t="s">
        <v>21</v>
      </c>
      <c r="J9629">
        <v>481.56799999999998</v>
      </c>
      <c r="K9629">
        <v>2</v>
      </c>
      <c r="L9629">
        <v>0.2</v>
      </c>
      <c r="M9629">
        <v>54.176400000000001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35</v>
      </c>
      <c r="I9630" t="s">
        <v>59</v>
      </c>
      <c r="J9630">
        <v>89.543999999999997</v>
      </c>
      <c r="K9630">
        <v>7</v>
      </c>
      <c r="L9630">
        <v>0.2</v>
      </c>
      <c r="M9630">
        <v>12.3123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32</v>
      </c>
      <c r="J9631">
        <v>35.167999999999999</v>
      </c>
      <c r="K9631">
        <v>2</v>
      </c>
      <c r="L9631">
        <v>0.2</v>
      </c>
      <c r="M9631">
        <v>-8.3523999999999994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305</v>
      </c>
      <c r="E9632" t="s">
        <v>81</v>
      </c>
      <c r="F9632">
        <v>85301</v>
      </c>
      <c r="G9632" t="s">
        <v>25</v>
      </c>
      <c r="H9632" t="s">
        <v>26</v>
      </c>
      <c r="I9632" t="s">
        <v>37</v>
      </c>
      <c r="J9632">
        <v>72.587999999999994</v>
      </c>
      <c r="K9632">
        <v>2</v>
      </c>
      <c r="L9632">
        <v>0.7</v>
      </c>
      <c r="M9632">
        <v>-48.392000000000003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26</v>
      </c>
      <c r="I9633" t="s">
        <v>32</v>
      </c>
      <c r="J9633">
        <v>221.16</v>
      </c>
      <c r="K9633">
        <v>4</v>
      </c>
      <c r="L9633">
        <v>0</v>
      </c>
      <c r="M9633">
        <v>57.501600000000003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618</v>
      </c>
      <c r="E9634" t="s">
        <v>68</v>
      </c>
      <c r="F9634">
        <v>55433</v>
      </c>
      <c r="G9634" t="s">
        <v>47</v>
      </c>
      <c r="H9634" t="s">
        <v>35</v>
      </c>
      <c r="I9634" t="s">
        <v>36</v>
      </c>
      <c r="J9634">
        <v>281.97000000000003</v>
      </c>
      <c r="K9634">
        <v>3</v>
      </c>
      <c r="L9634">
        <v>0</v>
      </c>
      <c r="M9634">
        <v>78.951599999999999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19</v>
      </c>
      <c r="I9635" t="s">
        <v>20</v>
      </c>
      <c r="J9635">
        <v>3406.6640000000002</v>
      </c>
      <c r="K9635">
        <v>8</v>
      </c>
      <c r="L9635">
        <v>0.15</v>
      </c>
      <c r="M9635">
        <v>160.31360000000001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34</v>
      </c>
      <c r="J9636">
        <v>37.17</v>
      </c>
      <c r="K9636">
        <v>9</v>
      </c>
      <c r="L9636">
        <v>0</v>
      </c>
      <c r="M9636">
        <v>10.4076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26</v>
      </c>
      <c r="I9637" t="s">
        <v>38</v>
      </c>
      <c r="J9637">
        <v>64.959999999999994</v>
      </c>
      <c r="K9637">
        <v>2</v>
      </c>
      <c r="L9637">
        <v>0</v>
      </c>
      <c r="M9637">
        <v>19.488</v>
      </c>
    </row>
    <row r="9638" spans="1:13" x14ac:dyDescent="0.3">
      <c r="A9638" t="s">
        <v>28</v>
      </c>
      <c r="B9638" t="s">
        <v>14</v>
      </c>
      <c r="C9638" t="s">
        <v>15</v>
      </c>
      <c r="D9638" t="s">
        <v>23</v>
      </c>
      <c r="E9638" t="s">
        <v>24</v>
      </c>
      <c r="F9638">
        <v>90045</v>
      </c>
      <c r="G9638" t="s">
        <v>25</v>
      </c>
      <c r="H9638" t="s">
        <v>19</v>
      </c>
      <c r="I9638" t="s">
        <v>33</v>
      </c>
      <c r="J9638">
        <v>595.38</v>
      </c>
      <c r="K9638">
        <v>6</v>
      </c>
      <c r="L9638">
        <v>0</v>
      </c>
      <c r="M9638">
        <v>297.69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35</v>
      </c>
      <c r="I9639" t="s">
        <v>59</v>
      </c>
      <c r="J9639">
        <v>95.983999999999995</v>
      </c>
      <c r="K9639">
        <v>2</v>
      </c>
      <c r="L9639">
        <v>0.2</v>
      </c>
      <c r="M9639">
        <v>11.997999999999999</v>
      </c>
    </row>
    <row r="9640" spans="1:13" x14ac:dyDescent="0.3">
      <c r="A9640" t="s">
        <v>28</v>
      </c>
      <c r="B9640" t="s">
        <v>44</v>
      </c>
      <c r="C9640" t="s">
        <v>15</v>
      </c>
      <c r="D9640" t="s">
        <v>171</v>
      </c>
      <c r="E9640" t="s">
        <v>81</v>
      </c>
      <c r="F9640">
        <v>85705</v>
      </c>
      <c r="G9640" t="s">
        <v>25</v>
      </c>
      <c r="H9640" t="s">
        <v>26</v>
      </c>
      <c r="I9640" t="s">
        <v>37</v>
      </c>
      <c r="J9640">
        <v>4.9379999999999997</v>
      </c>
      <c r="K9640">
        <v>2</v>
      </c>
      <c r="L9640">
        <v>0.7</v>
      </c>
      <c r="M9640">
        <v>-3.6212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19</v>
      </c>
      <c r="I9641" t="s">
        <v>33</v>
      </c>
      <c r="J9641">
        <v>97.44</v>
      </c>
      <c r="K9641">
        <v>3</v>
      </c>
      <c r="L9641">
        <v>0</v>
      </c>
      <c r="M9641">
        <v>35.078400000000002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37</v>
      </c>
      <c r="J9642">
        <v>3.984</v>
      </c>
      <c r="K9642">
        <v>1</v>
      </c>
      <c r="L9642">
        <v>0.2</v>
      </c>
      <c r="M9642">
        <v>1.3944000000000001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26</v>
      </c>
      <c r="I9643" t="s">
        <v>34</v>
      </c>
      <c r="J9643">
        <v>13.04</v>
      </c>
      <c r="K9643">
        <v>4</v>
      </c>
      <c r="L9643">
        <v>0</v>
      </c>
      <c r="M9643">
        <v>5.7375999999999996</v>
      </c>
    </row>
    <row r="9644" spans="1:13" x14ac:dyDescent="0.3">
      <c r="A9644" t="s">
        <v>28</v>
      </c>
      <c r="B9644" t="s">
        <v>14</v>
      </c>
      <c r="C9644" t="s">
        <v>15</v>
      </c>
      <c r="D9644" t="s">
        <v>75</v>
      </c>
      <c r="E9644" t="s">
        <v>76</v>
      </c>
      <c r="F9644">
        <v>10035</v>
      </c>
      <c r="G9644" t="s">
        <v>57</v>
      </c>
      <c r="H9644" t="s">
        <v>19</v>
      </c>
      <c r="I9644" t="s">
        <v>21</v>
      </c>
      <c r="J9644">
        <v>579.52800000000002</v>
      </c>
      <c r="K9644">
        <v>4</v>
      </c>
      <c r="L9644">
        <v>0.1</v>
      </c>
      <c r="M9644">
        <v>83.709599999999995</v>
      </c>
    </row>
    <row r="9645" spans="1:13" x14ac:dyDescent="0.3">
      <c r="A9645" t="s">
        <v>13</v>
      </c>
      <c r="B9645" t="s">
        <v>14</v>
      </c>
      <c r="C9645" t="s">
        <v>15</v>
      </c>
      <c r="D9645" t="s">
        <v>310</v>
      </c>
      <c r="E9645" t="s">
        <v>24</v>
      </c>
      <c r="F9645">
        <v>91767</v>
      </c>
      <c r="G9645" t="s">
        <v>25</v>
      </c>
      <c r="H9645" t="s">
        <v>26</v>
      </c>
      <c r="I9645" t="s">
        <v>27</v>
      </c>
      <c r="J9645">
        <v>18.75</v>
      </c>
      <c r="K9645">
        <v>5</v>
      </c>
      <c r="L9645">
        <v>0</v>
      </c>
      <c r="M9645">
        <v>9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36</v>
      </c>
      <c r="J9646">
        <v>3023.9279999999999</v>
      </c>
      <c r="K9646">
        <v>9</v>
      </c>
      <c r="L9646">
        <v>0.2</v>
      </c>
      <c r="M9646">
        <v>226.7946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59</v>
      </c>
      <c r="J9647">
        <v>26.96</v>
      </c>
      <c r="K9647">
        <v>2</v>
      </c>
      <c r="L9647">
        <v>0</v>
      </c>
      <c r="M9647">
        <v>3.7744</v>
      </c>
    </row>
    <row r="9648" spans="1:13" x14ac:dyDescent="0.3">
      <c r="A9648" t="s">
        <v>28</v>
      </c>
      <c r="B9648" t="s">
        <v>44</v>
      </c>
      <c r="C9648" t="s">
        <v>15</v>
      </c>
      <c r="D9648" t="s">
        <v>534</v>
      </c>
      <c r="E9648" t="s">
        <v>24</v>
      </c>
      <c r="F9648">
        <v>93101</v>
      </c>
      <c r="G9648" t="s">
        <v>25</v>
      </c>
      <c r="H9648" t="s">
        <v>35</v>
      </c>
      <c r="I9648" t="s">
        <v>36</v>
      </c>
      <c r="J9648">
        <v>477.6</v>
      </c>
      <c r="K9648">
        <v>3</v>
      </c>
      <c r="L9648">
        <v>0.2</v>
      </c>
      <c r="M9648">
        <v>161.19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52</v>
      </c>
      <c r="E9649" t="s">
        <v>24</v>
      </c>
      <c r="F9649">
        <v>94109</v>
      </c>
      <c r="G9649" t="s">
        <v>25</v>
      </c>
      <c r="H9649" t="s">
        <v>26</v>
      </c>
      <c r="I9649" t="s">
        <v>32</v>
      </c>
      <c r="J9649">
        <v>193.95</v>
      </c>
      <c r="K9649">
        <v>3</v>
      </c>
      <c r="L9649">
        <v>0</v>
      </c>
      <c r="M9649">
        <v>9.6974999999999998</v>
      </c>
    </row>
    <row r="9650" spans="1:13" x14ac:dyDescent="0.3">
      <c r="A9650" t="s">
        <v>168</v>
      </c>
      <c r="B9650" t="s">
        <v>22</v>
      </c>
      <c r="C9650" t="s">
        <v>15</v>
      </c>
      <c r="D9650" t="s">
        <v>254</v>
      </c>
      <c r="E9650" t="s">
        <v>24</v>
      </c>
      <c r="F9650">
        <v>92503</v>
      </c>
      <c r="G9650" t="s">
        <v>25</v>
      </c>
      <c r="H9650" t="s">
        <v>26</v>
      </c>
      <c r="I9650" t="s">
        <v>41</v>
      </c>
      <c r="J9650">
        <v>12.96</v>
      </c>
      <c r="K9650">
        <v>2</v>
      </c>
      <c r="L9650">
        <v>0</v>
      </c>
      <c r="M9650">
        <v>6.2207999999999997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119.94</v>
      </c>
      <c r="K9651">
        <v>3</v>
      </c>
      <c r="L9651">
        <v>0</v>
      </c>
      <c r="M9651">
        <v>23.988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90049</v>
      </c>
      <c r="G9652" t="s">
        <v>25</v>
      </c>
      <c r="H9652" t="s">
        <v>19</v>
      </c>
      <c r="I9652" t="s">
        <v>33</v>
      </c>
      <c r="J9652">
        <v>12.42</v>
      </c>
      <c r="K9652">
        <v>3</v>
      </c>
      <c r="L9652">
        <v>0</v>
      </c>
      <c r="M9652">
        <v>4.4711999999999996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37</v>
      </c>
      <c r="J9653">
        <v>18.088000000000001</v>
      </c>
      <c r="K9653">
        <v>7</v>
      </c>
      <c r="L9653">
        <v>0.2</v>
      </c>
      <c r="M9653">
        <v>6.5568999999999997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619</v>
      </c>
      <c r="E9654" t="s">
        <v>24</v>
      </c>
      <c r="F9654">
        <v>92672</v>
      </c>
      <c r="G9654" t="s">
        <v>25</v>
      </c>
      <c r="H9654" t="s">
        <v>26</v>
      </c>
      <c r="I9654" t="s">
        <v>60</v>
      </c>
      <c r="J9654">
        <v>71.97</v>
      </c>
      <c r="K9654">
        <v>3</v>
      </c>
      <c r="L9654">
        <v>0</v>
      </c>
      <c r="M9654">
        <v>35.984999999999999</v>
      </c>
    </row>
    <row r="9655" spans="1:13" x14ac:dyDescent="0.3">
      <c r="A9655" t="s">
        <v>28</v>
      </c>
      <c r="B9655" t="s">
        <v>14</v>
      </c>
      <c r="C9655" t="s">
        <v>15</v>
      </c>
      <c r="D9655" t="s">
        <v>87</v>
      </c>
      <c r="E9655" t="s">
        <v>88</v>
      </c>
      <c r="F9655">
        <v>35601</v>
      </c>
      <c r="G9655" t="s">
        <v>18</v>
      </c>
      <c r="H9655" t="s">
        <v>26</v>
      </c>
      <c r="I9655" t="s">
        <v>27</v>
      </c>
      <c r="J9655">
        <v>14.94</v>
      </c>
      <c r="K9655">
        <v>3</v>
      </c>
      <c r="L9655">
        <v>0</v>
      </c>
      <c r="M9655">
        <v>6.8723999999999998</v>
      </c>
    </row>
    <row r="9656" spans="1:13" x14ac:dyDescent="0.3">
      <c r="A9656" t="s">
        <v>62</v>
      </c>
      <c r="B9656" t="s">
        <v>22</v>
      </c>
      <c r="C9656" t="s">
        <v>15</v>
      </c>
      <c r="D9656" t="s">
        <v>332</v>
      </c>
      <c r="E9656" t="s">
        <v>40</v>
      </c>
      <c r="F9656">
        <v>27405</v>
      </c>
      <c r="G9656" t="s">
        <v>18</v>
      </c>
      <c r="H9656" t="s">
        <v>26</v>
      </c>
      <c r="I9656" t="s">
        <v>34</v>
      </c>
      <c r="J9656">
        <v>64.680000000000007</v>
      </c>
      <c r="K9656">
        <v>7</v>
      </c>
      <c r="L9656">
        <v>0.2</v>
      </c>
      <c r="M9656">
        <v>8.0850000000000009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139</v>
      </c>
      <c r="E9657" t="s">
        <v>24</v>
      </c>
      <c r="F9657">
        <v>94568</v>
      </c>
      <c r="G9657" t="s">
        <v>25</v>
      </c>
      <c r="H9657" t="s">
        <v>35</v>
      </c>
      <c r="I9657" t="s">
        <v>36</v>
      </c>
      <c r="J9657">
        <v>22</v>
      </c>
      <c r="K9657">
        <v>5</v>
      </c>
      <c r="L9657">
        <v>0.2</v>
      </c>
      <c r="M9657">
        <v>1.375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26</v>
      </c>
      <c r="I9658" t="s">
        <v>41</v>
      </c>
      <c r="J9658">
        <v>7.968</v>
      </c>
      <c r="K9658">
        <v>2</v>
      </c>
      <c r="L9658">
        <v>0.2</v>
      </c>
      <c r="M9658">
        <v>2.6892</v>
      </c>
    </row>
    <row r="9659" spans="1:13" x14ac:dyDescent="0.3">
      <c r="A9659" t="s">
        <v>28</v>
      </c>
      <c r="B9659" t="s">
        <v>44</v>
      </c>
      <c r="C9659" t="s">
        <v>15</v>
      </c>
      <c r="D9659" t="s">
        <v>55</v>
      </c>
      <c r="E9659" t="s">
        <v>56</v>
      </c>
      <c r="F9659">
        <v>19143</v>
      </c>
      <c r="G9659" t="s">
        <v>57</v>
      </c>
      <c r="H9659" t="s">
        <v>35</v>
      </c>
      <c r="I9659" t="s">
        <v>36</v>
      </c>
      <c r="J9659">
        <v>1499.97</v>
      </c>
      <c r="K9659">
        <v>5</v>
      </c>
      <c r="L9659">
        <v>0.4</v>
      </c>
      <c r="M9659">
        <v>-374.99250000000001</v>
      </c>
    </row>
    <row r="9660" spans="1:13" x14ac:dyDescent="0.3">
      <c r="A9660" t="s">
        <v>13</v>
      </c>
      <c r="B9660" t="s">
        <v>14</v>
      </c>
      <c r="C9660" t="s">
        <v>15</v>
      </c>
      <c r="D9660" t="s">
        <v>61</v>
      </c>
      <c r="E9660" t="s">
        <v>46</v>
      </c>
      <c r="F9660">
        <v>77095</v>
      </c>
      <c r="G9660" t="s">
        <v>47</v>
      </c>
      <c r="H9660" t="s">
        <v>26</v>
      </c>
      <c r="I9660" t="s">
        <v>32</v>
      </c>
      <c r="J9660">
        <v>26.632000000000001</v>
      </c>
      <c r="K9660">
        <v>1</v>
      </c>
      <c r="L9660">
        <v>0.2</v>
      </c>
      <c r="M9660">
        <v>1.3315999999999999</v>
      </c>
    </row>
    <row r="9661" spans="1:13" x14ac:dyDescent="0.3">
      <c r="A9661" t="s">
        <v>28</v>
      </c>
      <c r="B9661" t="s">
        <v>14</v>
      </c>
      <c r="C9661" t="s">
        <v>15</v>
      </c>
      <c r="D9661" t="s">
        <v>418</v>
      </c>
      <c r="E9661" t="s">
        <v>24</v>
      </c>
      <c r="F9661">
        <v>93309</v>
      </c>
      <c r="G9661" t="s">
        <v>25</v>
      </c>
      <c r="H9661" t="s">
        <v>19</v>
      </c>
      <c r="I9661" t="s">
        <v>33</v>
      </c>
      <c r="J9661">
        <v>41.6</v>
      </c>
      <c r="K9661">
        <v>4</v>
      </c>
      <c r="L9661">
        <v>0</v>
      </c>
      <c r="M9661">
        <v>14.144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182</v>
      </c>
      <c r="E9662" t="s">
        <v>74</v>
      </c>
      <c r="F9662">
        <v>47374</v>
      </c>
      <c r="G9662" t="s">
        <v>47</v>
      </c>
      <c r="H9662" t="s">
        <v>26</v>
      </c>
      <c r="I9662" t="s">
        <v>60</v>
      </c>
      <c r="J9662">
        <v>64.02</v>
      </c>
      <c r="K9662">
        <v>6</v>
      </c>
      <c r="L9662">
        <v>0</v>
      </c>
      <c r="M9662">
        <v>29.449200000000001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34</v>
      </c>
      <c r="J9663">
        <v>6.99</v>
      </c>
      <c r="K9663">
        <v>3</v>
      </c>
      <c r="L9663">
        <v>0</v>
      </c>
      <c r="M9663">
        <v>2.0270999999999999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75</v>
      </c>
      <c r="E9664" t="s">
        <v>76</v>
      </c>
      <c r="F9664">
        <v>10009</v>
      </c>
      <c r="G9664" t="s">
        <v>57</v>
      </c>
      <c r="H9664" t="s">
        <v>26</v>
      </c>
      <c r="I9664" t="s">
        <v>110</v>
      </c>
      <c r="J9664">
        <v>6.84</v>
      </c>
      <c r="K9664">
        <v>1</v>
      </c>
      <c r="L9664">
        <v>0</v>
      </c>
      <c r="M9664">
        <v>1.8468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26</v>
      </c>
      <c r="I9665" t="s">
        <v>32</v>
      </c>
      <c r="J9665">
        <v>323.10000000000002</v>
      </c>
      <c r="K9665">
        <v>2</v>
      </c>
      <c r="L9665">
        <v>0</v>
      </c>
      <c r="M9665">
        <v>61.389000000000003</v>
      </c>
    </row>
    <row r="9666" spans="1:13" x14ac:dyDescent="0.3">
      <c r="A9666" t="s">
        <v>28</v>
      </c>
      <c r="B9666" t="s">
        <v>22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35</v>
      </c>
      <c r="I9666" t="s">
        <v>36</v>
      </c>
      <c r="J9666">
        <v>668.16</v>
      </c>
      <c r="K9666">
        <v>9</v>
      </c>
      <c r="L9666">
        <v>0.2</v>
      </c>
      <c r="M9666">
        <v>75.168000000000006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27</v>
      </c>
      <c r="J9667">
        <v>8.64</v>
      </c>
      <c r="K9667">
        <v>3</v>
      </c>
      <c r="L9667">
        <v>0</v>
      </c>
      <c r="M9667">
        <v>4.2336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26</v>
      </c>
      <c r="I9668" t="s">
        <v>41</v>
      </c>
      <c r="J9668">
        <v>38.880000000000003</v>
      </c>
      <c r="K9668">
        <v>6</v>
      </c>
      <c r="L9668">
        <v>0</v>
      </c>
      <c r="M9668">
        <v>18.662400000000002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19</v>
      </c>
      <c r="I9669" t="s">
        <v>33</v>
      </c>
      <c r="J9669">
        <v>201.04</v>
      </c>
      <c r="K9669">
        <v>8</v>
      </c>
      <c r="L9669">
        <v>0</v>
      </c>
      <c r="M9669">
        <v>54.280799999999999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52</v>
      </c>
      <c r="E9670" t="s">
        <v>24</v>
      </c>
      <c r="F9670">
        <v>94122</v>
      </c>
      <c r="G9670" t="s">
        <v>25</v>
      </c>
      <c r="H9670" t="s">
        <v>26</v>
      </c>
      <c r="I9670" t="s">
        <v>41</v>
      </c>
      <c r="J9670">
        <v>12.96</v>
      </c>
      <c r="K9670">
        <v>2</v>
      </c>
      <c r="L9670">
        <v>0</v>
      </c>
      <c r="M9670">
        <v>6.3503999999999996</v>
      </c>
    </row>
    <row r="9671" spans="1:13" x14ac:dyDescent="0.3">
      <c r="A9671" t="s">
        <v>13</v>
      </c>
      <c r="B9671" t="s">
        <v>22</v>
      </c>
      <c r="C9671" t="s">
        <v>15</v>
      </c>
      <c r="D9671" t="s">
        <v>23</v>
      </c>
      <c r="E9671" t="s">
        <v>24</v>
      </c>
      <c r="F9671">
        <v>90032</v>
      </c>
      <c r="G9671" t="s">
        <v>25</v>
      </c>
      <c r="H9671" t="s">
        <v>35</v>
      </c>
      <c r="I9671" t="s">
        <v>59</v>
      </c>
      <c r="J9671">
        <v>16.59</v>
      </c>
      <c r="K9671">
        <v>1</v>
      </c>
      <c r="L9671">
        <v>0</v>
      </c>
      <c r="M9671">
        <v>5.8064999999999998</v>
      </c>
    </row>
    <row r="9672" spans="1:13" x14ac:dyDescent="0.3">
      <c r="A9672" t="s">
        <v>28</v>
      </c>
      <c r="B9672" t="s">
        <v>14</v>
      </c>
      <c r="C9672" t="s">
        <v>15</v>
      </c>
      <c r="D9672" t="s">
        <v>144</v>
      </c>
      <c r="E9672" t="s">
        <v>24</v>
      </c>
      <c r="F9672">
        <v>92037</v>
      </c>
      <c r="G9672" t="s">
        <v>25</v>
      </c>
      <c r="H9672" t="s">
        <v>26</v>
      </c>
      <c r="I9672" t="s">
        <v>34</v>
      </c>
      <c r="J9672">
        <v>35.1</v>
      </c>
      <c r="K9672">
        <v>6</v>
      </c>
      <c r="L9672">
        <v>0</v>
      </c>
      <c r="M9672">
        <v>10.179</v>
      </c>
    </row>
    <row r="9673" spans="1:13" x14ac:dyDescent="0.3">
      <c r="A9673" t="s">
        <v>28</v>
      </c>
      <c r="B9673" t="s">
        <v>44</v>
      </c>
      <c r="C9673" t="s">
        <v>15</v>
      </c>
      <c r="D9673" t="s">
        <v>155</v>
      </c>
      <c r="E9673" t="s">
        <v>46</v>
      </c>
      <c r="F9673">
        <v>76017</v>
      </c>
      <c r="G9673" t="s">
        <v>47</v>
      </c>
      <c r="H9673" t="s">
        <v>26</v>
      </c>
      <c r="I9673" t="s">
        <v>37</v>
      </c>
      <c r="J9673">
        <v>11.646000000000001</v>
      </c>
      <c r="K9673">
        <v>9</v>
      </c>
      <c r="L9673">
        <v>0.8</v>
      </c>
      <c r="M9673">
        <v>-17.469000000000001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26</v>
      </c>
      <c r="I9674" t="s">
        <v>41</v>
      </c>
      <c r="J9674">
        <v>32.4</v>
      </c>
      <c r="K9674">
        <v>5</v>
      </c>
      <c r="L9674">
        <v>0</v>
      </c>
      <c r="M9674">
        <v>15.552</v>
      </c>
    </row>
    <row r="9675" spans="1:13" x14ac:dyDescent="0.3">
      <c r="A9675" t="s">
        <v>28</v>
      </c>
      <c r="B9675" t="s">
        <v>14</v>
      </c>
      <c r="C9675" t="s">
        <v>15</v>
      </c>
      <c r="D9675" t="s">
        <v>182</v>
      </c>
      <c r="E9675" t="s">
        <v>83</v>
      </c>
      <c r="F9675">
        <v>23223</v>
      </c>
      <c r="G9675" t="s">
        <v>18</v>
      </c>
      <c r="H9675" t="s">
        <v>35</v>
      </c>
      <c r="I9675" t="s">
        <v>36</v>
      </c>
      <c r="J9675">
        <v>503.96</v>
      </c>
      <c r="K9675">
        <v>4</v>
      </c>
      <c r="L9675">
        <v>0</v>
      </c>
      <c r="M9675">
        <v>125.99</v>
      </c>
    </row>
    <row r="9676" spans="1:13" x14ac:dyDescent="0.3">
      <c r="A9676" t="s">
        <v>62</v>
      </c>
      <c r="B9676" t="s">
        <v>44</v>
      </c>
      <c r="C9676" t="s">
        <v>15</v>
      </c>
      <c r="D9676" t="s">
        <v>75</v>
      </c>
      <c r="E9676" t="s">
        <v>76</v>
      </c>
      <c r="F9676">
        <v>10035</v>
      </c>
      <c r="G9676" t="s">
        <v>57</v>
      </c>
      <c r="H9676" t="s">
        <v>26</v>
      </c>
      <c r="I9676" t="s">
        <v>34</v>
      </c>
      <c r="J9676">
        <v>7.04</v>
      </c>
      <c r="K9676">
        <v>4</v>
      </c>
      <c r="L9676">
        <v>0</v>
      </c>
      <c r="M9676">
        <v>2.0415999999999999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61</v>
      </c>
      <c r="E9677" t="s">
        <v>46</v>
      </c>
      <c r="F9677">
        <v>77041</v>
      </c>
      <c r="G9677" t="s">
        <v>47</v>
      </c>
      <c r="H9677" t="s">
        <v>19</v>
      </c>
      <c r="I9677" t="s">
        <v>20</v>
      </c>
      <c r="J9677">
        <v>613.99919999999997</v>
      </c>
      <c r="K9677">
        <v>3</v>
      </c>
      <c r="L9677">
        <v>0.32</v>
      </c>
      <c r="M9677">
        <v>-18.058800000000002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126</v>
      </c>
      <c r="E9678" t="s">
        <v>127</v>
      </c>
      <c r="F9678">
        <v>6824</v>
      </c>
      <c r="G9678" t="s">
        <v>57</v>
      </c>
      <c r="H9678" t="s">
        <v>26</v>
      </c>
      <c r="I9678" t="s">
        <v>32</v>
      </c>
      <c r="J9678">
        <v>470.36</v>
      </c>
      <c r="K9678">
        <v>11</v>
      </c>
      <c r="L9678">
        <v>0</v>
      </c>
      <c r="M9678">
        <v>122.2936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41</v>
      </c>
      <c r="J9679">
        <v>31.08</v>
      </c>
      <c r="K9679">
        <v>6</v>
      </c>
      <c r="L9679">
        <v>0</v>
      </c>
      <c r="M9679">
        <v>15.229200000000001</v>
      </c>
    </row>
    <row r="9680" spans="1:13" x14ac:dyDescent="0.3">
      <c r="A9680" t="s">
        <v>13</v>
      </c>
      <c r="B9680" t="s">
        <v>44</v>
      </c>
      <c r="C9680" t="s">
        <v>15</v>
      </c>
      <c r="D9680" t="s">
        <v>52</v>
      </c>
      <c r="E9680" t="s">
        <v>24</v>
      </c>
      <c r="F9680">
        <v>94110</v>
      </c>
      <c r="G9680" t="s">
        <v>25</v>
      </c>
      <c r="H9680" t="s">
        <v>26</v>
      </c>
      <c r="I9680" t="s">
        <v>110</v>
      </c>
      <c r="J9680">
        <v>7.3</v>
      </c>
      <c r="K9680">
        <v>2</v>
      </c>
      <c r="L9680">
        <v>0</v>
      </c>
      <c r="M9680">
        <v>2.19</v>
      </c>
    </row>
    <row r="9681" spans="1:13" x14ac:dyDescent="0.3">
      <c r="A9681" t="s">
        <v>62</v>
      </c>
      <c r="B9681" t="s">
        <v>22</v>
      </c>
      <c r="C9681" t="s">
        <v>15</v>
      </c>
      <c r="D9681" t="s">
        <v>82</v>
      </c>
      <c r="E9681" t="s">
        <v>104</v>
      </c>
      <c r="F9681">
        <v>45503</v>
      </c>
      <c r="G9681" t="s">
        <v>57</v>
      </c>
      <c r="H9681" t="s">
        <v>26</v>
      </c>
      <c r="I9681" t="s">
        <v>38</v>
      </c>
      <c r="J9681">
        <v>73.536000000000001</v>
      </c>
      <c r="K9681">
        <v>4</v>
      </c>
      <c r="L9681">
        <v>0.2</v>
      </c>
      <c r="M9681">
        <v>9.1920000000000002</v>
      </c>
    </row>
    <row r="9682" spans="1:13" x14ac:dyDescent="0.3">
      <c r="A9682" t="s">
        <v>13</v>
      </c>
      <c r="B9682" t="s">
        <v>22</v>
      </c>
      <c r="C9682" t="s">
        <v>15</v>
      </c>
      <c r="D9682" t="s">
        <v>140</v>
      </c>
      <c r="E9682" t="s">
        <v>70</v>
      </c>
      <c r="F9682">
        <v>48234</v>
      </c>
      <c r="G9682" t="s">
        <v>47</v>
      </c>
      <c r="H9682" t="s">
        <v>26</v>
      </c>
      <c r="I9682" t="s">
        <v>27</v>
      </c>
      <c r="J9682">
        <v>491.55</v>
      </c>
      <c r="K9682">
        <v>5</v>
      </c>
      <c r="L9682">
        <v>0</v>
      </c>
      <c r="M9682">
        <v>240.8595</v>
      </c>
    </row>
    <row r="9683" spans="1:13" x14ac:dyDescent="0.3">
      <c r="A9683" t="s">
        <v>168</v>
      </c>
      <c r="B9683" t="s">
        <v>44</v>
      </c>
      <c r="C9683" t="s">
        <v>15</v>
      </c>
      <c r="D9683" t="s">
        <v>55</v>
      </c>
      <c r="E9683" t="s">
        <v>56</v>
      </c>
      <c r="F9683">
        <v>19140</v>
      </c>
      <c r="G9683" t="s">
        <v>57</v>
      </c>
      <c r="H9683" t="s">
        <v>19</v>
      </c>
      <c r="I9683" t="s">
        <v>33</v>
      </c>
      <c r="J9683">
        <v>30.335999999999999</v>
      </c>
      <c r="K9683">
        <v>4</v>
      </c>
      <c r="L9683">
        <v>0.2</v>
      </c>
      <c r="M9683">
        <v>9.48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41</v>
      </c>
      <c r="J9684">
        <v>22.83</v>
      </c>
      <c r="K9684">
        <v>3</v>
      </c>
      <c r="L9684">
        <v>0</v>
      </c>
      <c r="M9684">
        <v>10.7301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26</v>
      </c>
      <c r="I9685" t="s">
        <v>38</v>
      </c>
      <c r="J9685">
        <v>54.32</v>
      </c>
      <c r="K9685">
        <v>4</v>
      </c>
      <c r="L9685">
        <v>0</v>
      </c>
      <c r="M9685">
        <v>16.295999999999999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149</v>
      </c>
      <c r="E9686" t="s">
        <v>24</v>
      </c>
      <c r="F9686">
        <v>90301</v>
      </c>
      <c r="G9686" t="s">
        <v>25</v>
      </c>
      <c r="H9686" t="s">
        <v>35</v>
      </c>
      <c r="I9686" t="s">
        <v>36</v>
      </c>
      <c r="J9686">
        <v>196.77600000000001</v>
      </c>
      <c r="K9686">
        <v>3</v>
      </c>
      <c r="L9686">
        <v>0.2</v>
      </c>
      <c r="M9686">
        <v>14.7582</v>
      </c>
    </row>
    <row r="9687" spans="1:13" x14ac:dyDescent="0.3">
      <c r="A9687" t="s">
        <v>28</v>
      </c>
      <c r="B9687" t="s">
        <v>14</v>
      </c>
      <c r="C9687" t="s">
        <v>15</v>
      </c>
      <c r="D9687" t="s">
        <v>620</v>
      </c>
      <c r="E9687" t="s">
        <v>24</v>
      </c>
      <c r="F9687">
        <v>93405</v>
      </c>
      <c r="G9687" t="s">
        <v>25</v>
      </c>
      <c r="H9687" t="s">
        <v>26</v>
      </c>
      <c r="I9687" t="s">
        <v>77</v>
      </c>
      <c r="J9687">
        <v>3.62</v>
      </c>
      <c r="K9687">
        <v>2</v>
      </c>
      <c r="L9687">
        <v>0</v>
      </c>
      <c r="M9687">
        <v>1.1946000000000001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41</v>
      </c>
      <c r="J9688">
        <v>11.54</v>
      </c>
      <c r="K9688">
        <v>1</v>
      </c>
      <c r="L9688">
        <v>0</v>
      </c>
      <c r="M9688">
        <v>5.5392000000000001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849.95</v>
      </c>
      <c r="K9689">
        <v>5</v>
      </c>
      <c r="L9689">
        <v>0</v>
      </c>
      <c r="M9689">
        <v>390.97699999999998</v>
      </c>
    </row>
    <row r="9690" spans="1:13" x14ac:dyDescent="0.3">
      <c r="A9690" t="s">
        <v>28</v>
      </c>
      <c r="B9690" t="s">
        <v>44</v>
      </c>
      <c r="C9690" t="s">
        <v>15</v>
      </c>
      <c r="D9690" t="s">
        <v>106</v>
      </c>
      <c r="E9690" t="s">
        <v>72</v>
      </c>
      <c r="F9690">
        <v>19805</v>
      </c>
      <c r="G9690" t="s">
        <v>57</v>
      </c>
      <c r="H9690" t="s">
        <v>26</v>
      </c>
      <c r="I9690" t="s">
        <v>37</v>
      </c>
      <c r="J9690">
        <v>11.01</v>
      </c>
      <c r="K9690">
        <v>3</v>
      </c>
      <c r="L9690">
        <v>0</v>
      </c>
      <c r="M9690">
        <v>5.3948999999999998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52</v>
      </c>
      <c r="E9691" t="s">
        <v>24</v>
      </c>
      <c r="F9691">
        <v>94122</v>
      </c>
      <c r="G9691" t="s">
        <v>25</v>
      </c>
      <c r="H9691" t="s">
        <v>26</v>
      </c>
      <c r="I9691" t="s">
        <v>37</v>
      </c>
      <c r="J9691">
        <v>39.624000000000002</v>
      </c>
      <c r="K9691">
        <v>3</v>
      </c>
      <c r="L9691">
        <v>0.2</v>
      </c>
      <c r="M9691">
        <v>13.868399999999999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19</v>
      </c>
      <c r="I9692" t="s">
        <v>21</v>
      </c>
      <c r="J9692">
        <v>242.136</v>
      </c>
      <c r="K9692">
        <v>3</v>
      </c>
      <c r="L9692">
        <v>0.2</v>
      </c>
      <c r="M9692">
        <v>12.1068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26</v>
      </c>
      <c r="I9693" t="s">
        <v>34</v>
      </c>
      <c r="J9693">
        <v>12.39</v>
      </c>
      <c r="K9693">
        <v>3</v>
      </c>
      <c r="L9693">
        <v>0</v>
      </c>
      <c r="M9693">
        <v>5.6993999999999998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19</v>
      </c>
      <c r="I9694" t="s">
        <v>33</v>
      </c>
      <c r="J9694">
        <v>19.96</v>
      </c>
      <c r="K9694">
        <v>2</v>
      </c>
      <c r="L9694">
        <v>0</v>
      </c>
      <c r="M9694">
        <v>5.5888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23</v>
      </c>
      <c r="E9695" t="s">
        <v>24</v>
      </c>
      <c r="F9695">
        <v>90045</v>
      </c>
      <c r="G9695" t="s">
        <v>25</v>
      </c>
      <c r="H9695" t="s">
        <v>26</v>
      </c>
      <c r="I9695" t="s">
        <v>32</v>
      </c>
      <c r="J9695">
        <v>340.92</v>
      </c>
      <c r="K9695">
        <v>3</v>
      </c>
      <c r="L9695">
        <v>0</v>
      </c>
      <c r="M9695">
        <v>3.4091999999999998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19</v>
      </c>
      <c r="I9696" t="s">
        <v>33</v>
      </c>
      <c r="J9696">
        <v>273.56799999999998</v>
      </c>
      <c r="K9696">
        <v>2</v>
      </c>
      <c r="L9696">
        <v>0.2</v>
      </c>
      <c r="M9696">
        <v>-34.195999999999998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37</v>
      </c>
      <c r="J9697">
        <v>13.194000000000001</v>
      </c>
      <c r="K9697">
        <v>2</v>
      </c>
      <c r="L9697">
        <v>0.7</v>
      </c>
      <c r="M9697">
        <v>-8.7959999999999994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26</v>
      </c>
      <c r="I9698" t="s">
        <v>32</v>
      </c>
      <c r="J9698">
        <v>1080.096</v>
      </c>
      <c r="K9698">
        <v>6</v>
      </c>
      <c r="L9698">
        <v>0.2</v>
      </c>
      <c r="M9698">
        <v>-94.508399999999995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51.56</v>
      </c>
      <c r="K9699">
        <v>5</v>
      </c>
      <c r="L9699">
        <v>0.2</v>
      </c>
      <c r="M9699">
        <v>-6.4450000000000003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55</v>
      </c>
      <c r="E9700" t="s">
        <v>56</v>
      </c>
      <c r="F9700">
        <v>19143</v>
      </c>
      <c r="G9700" t="s">
        <v>57</v>
      </c>
      <c r="H9700" t="s">
        <v>35</v>
      </c>
      <c r="I9700" t="s">
        <v>59</v>
      </c>
      <c r="J9700">
        <v>58.415999999999997</v>
      </c>
      <c r="K9700">
        <v>2</v>
      </c>
      <c r="L9700">
        <v>0.2</v>
      </c>
      <c r="M9700">
        <v>16.794599999999999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52</v>
      </c>
      <c r="E9701" t="s">
        <v>24</v>
      </c>
      <c r="F9701">
        <v>94122</v>
      </c>
      <c r="G9701" t="s">
        <v>25</v>
      </c>
      <c r="H9701" t="s">
        <v>26</v>
      </c>
      <c r="I9701" t="s">
        <v>37</v>
      </c>
      <c r="J9701">
        <v>57.584000000000003</v>
      </c>
      <c r="K9701">
        <v>2</v>
      </c>
      <c r="L9701">
        <v>0.2</v>
      </c>
      <c r="M9701">
        <v>20.154399999999999</v>
      </c>
    </row>
    <row r="9702" spans="1:13" x14ac:dyDescent="0.3">
      <c r="A9702" t="s">
        <v>13</v>
      </c>
      <c r="B9702" t="s">
        <v>44</v>
      </c>
      <c r="C9702" t="s">
        <v>15</v>
      </c>
      <c r="D9702" t="s">
        <v>55</v>
      </c>
      <c r="E9702" t="s">
        <v>56</v>
      </c>
      <c r="F9702">
        <v>19134</v>
      </c>
      <c r="G9702" t="s">
        <v>57</v>
      </c>
      <c r="H9702" t="s">
        <v>26</v>
      </c>
      <c r="I9702" t="s">
        <v>34</v>
      </c>
      <c r="J9702">
        <v>37.311999999999998</v>
      </c>
      <c r="K9702">
        <v>4</v>
      </c>
      <c r="L9702">
        <v>0.2</v>
      </c>
      <c r="M9702">
        <v>2.7984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36</v>
      </c>
      <c r="J9703">
        <v>79.959999999999994</v>
      </c>
      <c r="K9703">
        <v>5</v>
      </c>
      <c r="L9703">
        <v>0.2</v>
      </c>
      <c r="M9703">
        <v>7.9960000000000004</v>
      </c>
    </row>
    <row r="9704" spans="1:13" x14ac:dyDescent="0.3">
      <c r="A9704" t="s">
        <v>168</v>
      </c>
      <c r="B9704" t="s">
        <v>14</v>
      </c>
      <c r="C9704" t="s">
        <v>15</v>
      </c>
      <c r="D9704" t="s">
        <v>61</v>
      </c>
      <c r="E9704" t="s">
        <v>46</v>
      </c>
      <c r="F9704">
        <v>77041</v>
      </c>
      <c r="G9704" t="s">
        <v>47</v>
      </c>
      <c r="H9704" t="s">
        <v>35</v>
      </c>
      <c r="I9704" t="s">
        <v>59</v>
      </c>
      <c r="J9704">
        <v>223.96</v>
      </c>
      <c r="K9704">
        <v>5</v>
      </c>
      <c r="L9704">
        <v>0.2</v>
      </c>
      <c r="M9704">
        <v>11.198</v>
      </c>
    </row>
    <row r="9705" spans="1:13" x14ac:dyDescent="0.3">
      <c r="A9705" t="s">
        <v>13</v>
      </c>
      <c r="B9705" t="s">
        <v>14</v>
      </c>
      <c r="C9705" t="s">
        <v>15</v>
      </c>
      <c r="D9705" t="s">
        <v>235</v>
      </c>
      <c r="E9705" t="s">
        <v>56</v>
      </c>
      <c r="F9705">
        <v>17602</v>
      </c>
      <c r="G9705" t="s">
        <v>57</v>
      </c>
      <c r="H9705" t="s">
        <v>26</v>
      </c>
      <c r="I9705" t="s">
        <v>32</v>
      </c>
      <c r="J9705">
        <v>221.024</v>
      </c>
      <c r="K9705">
        <v>2</v>
      </c>
      <c r="L9705">
        <v>0.2</v>
      </c>
      <c r="M9705">
        <v>-55.256</v>
      </c>
    </row>
    <row r="9706" spans="1:13" x14ac:dyDescent="0.3">
      <c r="A9706" t="s">
        <v>28</v>
      </c>
      <c r="B9706" t="s">
        <v>22</v>
      </c>
      <c r="C9706" t="s">
        <v>15</v>
      </c>
      <c r="D9706" t="s">
        <v>207</v>
      </c>
      <c r="E9706" t="s">
        <v>49</v>
      </c>
      <c r="F9706">
        <v>54302</v>
      </c>
      <c r="G9706" t="s">
        <v>47</v>
      </c>
      <c r="H9706" t="s">
        <v>19</v>
      </c>
      <c r="I9706" t="s">
        <v>33</v>
      </c>
      <c r="J9706">
        <v>18.96</v>
      </c>
      <c r="K9706">
        <v>2</v>
      </c>
      <c r="L9706">
        <v>0</v>
      </c>
      <c r="M9706">
        <v>7.5839999999999996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19</v>
      </c>
      <c r="I9707" t="s">
        <v>21</v>
      </c>
      <c r="J9707">
        <v>326.64600000000002</v>
      </c>
      <c r="K9707">
        <v>3</v>
      </c>
      <c r="L9707">
        <v>0.1</v>
      </c>
      <c r="M9707">
        <v>39.923400000000001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75</v>
      </c>
      <c r="E9708" t="s">
        <v>76</v>
      </c>
      <c r="F9708">
        <v>10024</v>
      </c>
      <c r="G9708" t="s">
        <v>57</v>
      </c>
      <c r="H9708" t="s">
        <v>35</v>
      </c>
      <c r="I9708" t="s">
        <v>59</v>
      </c>
      <c r="J9708">
        <v>89.97</v>
      </c>
      <c r="K9708">
        <v>3</v>
      </c>
      <c r="L9708">
        <v>0</v>
      </c>
      <c r="M9708">
        <v>39.586799999999997</v>
      </c>
    </row>
    <row r="9709" spans="1:13" x14ac:dyDescent="0.3">
      <c r="A9709" t="s">
        <v>28</v>
      </c>
      <c r="B9709" t="s">
        <v>44</v>
      </c>
      <c r="C9709" t="s">
        <v>15</v>
      </c>
      <c r="D9709" t="s">
        <v>75</v>
      </c>
      <c r="E9709" t="s">
        <v>76</v>
      </c>
      <c r="F9709">
        <v>10011</v>
      </c>
      <c r="G9709" t="s">
        <v>57</v>
      </c>
      <c r="H9709" t="s">
        <v>26</v>
      </c>
      <c r="I9709" t="s">
        <v>37</v>
      </c>
      <c r="J9709">
        <v>296.71199999999999</v>
      </c>
      <c r="K9709">
        <v>13</v>
      </c>
      <c r="L9709">
        <v>0.2</v>
      </c>
      <c r="M9709">
        <v>100.1403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107</v>
      </c>
      <c r="E9710" t="s">
        <v>65</v>
      </c>
      <c r="F9710">
        <v>61701</v>
      </c>
      <c r="G9710" t="s">
        <v>47</v>
      </c>
      <c r="H9710" t="s">
        <v>26</v>
      </c>
      <c r="I9710" t="s">
        <v>60</v>
      </c>
      <c r="J9710">
        <v>12.224</v>
      </c>
      <c r="K9710">
        <v>2</v>
      </c>
      <c r="L9710">
        <v>0.2</v>
      </c>
      <c r="M9710">
        <v>4.4311999999999996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484</v>
      </c>
      <c r="E9711" t="s">
        <v>437</v>
      </c>
      <c r="F9711">
        <v>83704</v>
      </c>
      <c r="G9711" t="s">
        <v>25</v>
      </c>
      <c r="H9711" t="s">
        <v>35</v>
      </c>
      <c r="I9711" t="s">
        <v>59</v>
      </c>
      <c r="J9711">
        <v>89.97</v>
      </c>
      <c r="K9711">
        <v>3</v>
      </c>
      <c r="L9711">
        <v>0</v>
      </c>
      <c r="M9711">
        <v>37.787399999999998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26</v>
      </c>
      <c r="I9712" t="s">
        <v>38</v>
      </c>
      <c r="J9712">
        <v>286.86</v>
      </c>
      <c r="K9712">
        <v>7</v>
      </c>
      <c r="L9712">
        <v>0</v>
      </c>
      <c r="M9712">
        <v>80.320800000000006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35</v>
      </c>
      <c r="I9713" t="s">
        <v>36</v>
      </c>
      <c r="J9713">
        <v>979.95</v>
      </c>
      <c r="K9713">
        <v>5</v>
      </c>
      <c r="L9713">
        <v>0</v>
      </c>
      <c r="M9713">
        <v>284.18549999999999</v>
      </c>
    </row>
    <row r="9714" spans="1:13" x14ac:dyDescent="0.3">
      <c r="A9714" t="s">
        <v>62</v>
      </c>
      <c r="B9714" t="s">
        <v>14</v>
      </c>
      <c r="C9714" t="s">
        <v>15</v>
      </c>
      <c r="D9714" t="s">
        <v>165</v>
      </c>
      <c r="E9714" t="s">
        <v>166</v>
      </c>
      <c r="F9714">
        <v>1852</v>
      </c>
      <c r="G9714" t="s">
        <v>57</v>
      </c>
      <c r="H9714" t="s">
        <v>26</v>
      </c>
      <c r="I9714" t="s">
        <v>110</v>
      </c>
      <c r="J9714">
        <v>4.3600000000000003</v>
      </c>
      <c r="K9714">
        <v>2</v>
      </c>
      <c r="L9714">
        <v>0</v>
      </c>
      <c r="M9714">
        <v>0.1744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37</v>
      </c>
      <c r="J9715">
        <v>10.048</v>
      </c>
      <c r="K9715">
        <v>2</v>
      </c>
      <c r="L9715">
        <v>0.2</v>
      </c>
      <c r="M9715">
        <v>3.14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42</v>
      </c>
      <c r="E9716" t="s">
        <v>43</v>
      </c>
      <c r="F9716">
        <v>98115</v>
      </c>
      <c r="G9716" t="s">
        <v>25</v>
      </c>
      <c r="H9716" t="s">
        <v>26</v>
      </c>
      <c r="I9716" t="s">
        <v>32</v>
      </c>
      <c r="J9716">
        <v>807.75</v>
      </c>
      <c r="K9716">
        <v>5</v>
      </c>
      <c r="L9716">
        <v>0</v>
      </c>
      <c r="M9716">
        <v>153.4725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23</v>
      </c>
      <c r="E9717" t="s">
        <v>24</v>
      </c>
      <c r="F9717">
        <v>90049</v>
      </c>
      <c r="G9717" t="s">
        <v>25</v>
      </c>
      <c r="H9717" t="s">
        <v>26</v>
      </c>
      <c r="I9717" t="s">
        <v>34</v>
      </c>
      <c r="J9717">
        <v>34.24</v>
      </c>
      <c r="K9717">
        <v>8</v>
      </c>
      <c r="L9717">
        <v>0</v>
      </c>
      <c r="M9717">
        <v>9.9296000000000006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19</v>
      </c>
      <c r="I9718" t="s">
        <v>21</v>
      </c>
      <c r="J9718">
        <v>500.24</v>
      </c>
      <c r="K9718">
        <v>13</v>
      </c>
      <c r="L9718">
        <v>0</v>
      </c>
      <c r="M9718">
        <v>145.06960000000001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41</v>
      </c>
      <c r="J9719">
        <v>20.12</v>
      </c>
      <c r="K9719">
        <v>2</v>
      </c>
      <c r="L9719">
        <v>0</v>
      </c>
      <c r="M9719">
        <v>9.2552000000000003</v>
      </c>
    </row>
    <row r="9720" spans="1:13" x14ac:dyDescent="0.3">
      <c r="A9720" t="s">
        <v>28</v>
      </c>
      <c r="B9720" t="s">
        <v>22</v>
      </c>
      <c r="C9720" t="s">
        <v>15</v>
      </c>
      <c r="D9720" t="s">
        <v>500</v>
      </c>
      <c r="E9720" t="s">
        <v>83</v>
      </c>
      <c r="F9720">
        <v>23666</v>
      </c>
      <c r="G9720" t="s">
        <v>18</v>
      </c>
      <c r="H9720" t="s">
        <v>26</v>
      </c>
      <c r="I9720" t="s">
        <v>37</v>
      </c>
      <c r="J9720">
        <v>896.99</v>
      </c>
      <c r="K9720">
        <v>1</v>
      </c>
      <c r="L9720">
        <v>0</v>
      </c>
      <c r="M9720">
        <v>421.58530000000002</v>
      </c>
    </row>
    <row r="9721" spans="1:13" x14ac:dyDescent="0.3">
      <c r="A9721" t="s">
        <v>13</v>
      </c>
      <c r="B9721" t="s">
        <v>44</v>
      </c>
      <c r="C9721" t="s">
        <v>15</v>
      </c>
      <c r="D9721" t="s">
        <v>55</v>
      </c>
      <c r="E9721" t="s">
        <v>56</v>
      </c>
      <c r="F9721">
        <v>19134</v>
      </c>
      <c r="G9721" t="s">
        <v>57</v>
      </c>
      <c r="H9721" t="s">
        <v>26</v>
      </c>
      <c r="I9721" t="s">
        <v>41</v>
      </c>
      <c r="J9721">
        <v>5.88</v>
      </c>
      <c r="K9721">
        <v>1</v>
      </c>
      <c r="L9721">
        <v>0.2</v>
      </c>
      <c r="M9721">
        <v>1.9844999999999999</v>
      </c>
    </row>
    <row r="9722" spans="1:13" x14ac:dyDescent="0.3">
      <c r="A9722" t="s">
        <v>28</v>
      </c>
      <c r="B9722" t="s">
        <v>44</v>
      </c>
      <c r="C9722" t="s">
        <v>15</v>
      </c>
      <c r="D9722" t="s">
        <v>238</v>
      </c>
      <c r="E9722" t="s">
        <v>54</v>
      </c>
      <c r="F9722">
        <v>68104</v>
      </c>
      <c r="G9722" t="s">
        <v>47</v>
      </c>
      <c r="H9722" t="s">
        <v>35</v>
      </c>
      <c r="I9722" t="s">
        <v>36</v>
      </c>
      <c r="J9722">
        <v>269.98</v>
      </c>
      <c r="K9722">
        <v>2</v>
      </c>
      <c r="L9722">
        <v>0</v>
      </c>
      <c r="M9722">
        <v>72.894599999999997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32</v>
      </c>
      <c r="J9723">
        <v>310.12</v>
      </c>
      <c r="K9723">
        <v>2</v>
      </c>
      <c r="L9723">
        <v>0</v>
      </c>
      <c r="M9723">
        <v>80.631200000000007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70.463999999999999</v>
      </c>
      <c r="K9724">
        <v>6</v>
      </c>
      <c r="L9724">
        <v>0.2</v>
      </c>
      <c r="M9724">
        <v>22.9008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37</v>
      </c>
      <c r="J9725">
        <v>19.68</v>
      </c>
      <c r="K9725">
        <v>5</v>
      </c>
      <c r="L9725">
        <v>0.2</v>
      </c>
      <c r="M9725">
        <v>6.8879999999999999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23</v>
      </c>
      <c r="E9726" t="s">
        <v>24</v>
      </c>
      <c r="F9726">
        <v>90032</v>
      </c>
      <c r="G9726" t="s">
        <v>25</v>
      </c>
      <c r="H9726" t="s">
        <v>26</v>
      </c>
      <c r="I9726" t="s">
        <v>38</v>
      </c>
      <c r="J9726">
        <v>140.66999999999999</v>
      </c>
      <c r="K9726">
        <v>3</v>
      </c>
      <c r="L9726">
        <v>0</v>
      </c>
      <c r="M9726">
        <v>54.8613</v>
      </c>
    </row>
    <row r="9727" spans="1:13" x14ac:dyDescent="0.3">
      <c r="A9727" t="s">
        <v>28</v>
      </c>
      <c r="B9727" t="s">
        <v>22</v>
      </c>
      <c r="C9727" t="s">
        <v>15</v>
      </c>
      <c r="D9727" t="s">
        <v>223</v>
      </c>
      <c r="E9727" t="s">
        <v>380</v>
      </c>
      <c r="F9727">
        <v>5408</v>
      </c>
      <c r="G9727" t="s">
        <v>57</v>
      </c>
      <c r="H9727" t="s">
        <v>19</v>
      </c>
      <c r="I9727" t="s">
        <v>20</v>
      </c>
      <c r="J9727">
        <v>4404.8999999999996</v>
      </c>
      <c r="K9727">
        <v>5</v>
      </c>
      <c r="L9727">
        <v>0</v>
      </c>
      <c r="M9727">
        <v>1013.127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144</v>
      </c>
      <c r="E9728" t="s">
        <v>24</v>
      </c>
      <c r="F9728">
        <v>92037</v>
      </c>
      <c r="G9728" t="s">
        <v>25</v>
      </c>
      <c r="H9728" t="s">
        <v>26</v>
      </c>
      <c r="I9728" t="s">
        <v>27</v>
      </c>
      <c r="J9728">
        <v>62.65</v>
      </c>
      <c r="K9728">
        <v>5</v>
      </c>
      <c r="L9728">
        <v>0</v>
      </c>
      <c r="M9728">
        <v>29.445499999999999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114</v>
      </c>
      <c r="E9729" t="s">
        <v>72</v>
      </c>
      <c r="F9729">
        <v>19711</v>
      </c>
      <c r="G9729" t="s">
        <v>57</v>
      </c>
      <c r="H9729" t="s">
        <v>26</v>
      </c>
      <c r="I9729" t="s">
        <v>27</v>
      </c>
      <c r="J9729">
        <v>9.4499999999999993</v>
      </c>
      <c r="K9729">
        <v>3</v>
      </c>
      <c r="L9729">
        <v>0</v>
      </c>
      <c r="M9729">
        <v>4.5359999999999996</v>
      </c>
    </row>
    <row r="9730" spans="1:13" x14ac:dyDescent="0.3">
      <c r="A9730" t="s">
        <v>28</v>
      </c>
      <c r="B9730" t="s">
        <v>14</v>
      </c>
      <c r="C9730" t="s">
        <v>15</v>
      </c>
      <c r="D9730" t="s">
        <v>97</v>
      </c>
      <c r="E9730" t="s">
        <v>65</v>
      </c>
      <c r="F9730">
        <v>60505</v>
      </c>
      <c r="G9730" t="s">
        <v>47</v>
      </c>
      <c r="H9730" t="s">
        <v>26</v>
      </c>
      <c r="I9730" t="s">
        <v>60</v>
      </c>
      <c r="J9730">
        <v>268.57600000000002</v>
      </c>
      <c r="K9730">
        <v>4</v>
      </c>
      <c r="L9730">
        <v>0.2</v>
      </c>
      <c r="M9730">
        <v>90.644400000000005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364.08</v>
      </c>
      <c r="K9731">
        <v>2</v>
      </c>
      <c r="L9731">
        <v>0.2</v>
      </c>
      <c r="M9731">
        <v>9.1020000000000003</v>
      </c>
    </row>
    <row r="9732" spans="1:13" x14ac:dyDescent="0.3">
      <c r="A9732" t="s">
        <v>168</v>
      </c>
      <c r="B9732" t="s">
        <v>14</v>
      </c>
      <c r="C9732" t="s">
        <v>15</v>
      </c>
      <c r="D9732" t="s">
        <v>23</v>
      </c>
      <c r="E9732" t="s">
        <v>24</v>
      </c>
      <c r="F9732">
        <v>90008</v>
      </c>
      <c r="G9732" t="s">
        <v>25</v>
      </c>
      <c r="H9732" t="s">
        <v>19</v>
      </c>
      <c r="I9732" t="s">
        <v>31</v>
      </c>
      <c r="J9732">
        <v>71.087999999999994</v>
      </c>
      <c r="K9732">
        <v>2</v>
      </c>
      <c r="L9732">
        <v>0.2</v>
      </c>
      <c r="M9732">
        <v>-1.7771999999999999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33</v>
      </c>
      <c r="J9733">
        <v>10.984</v>
      </c>
      <c r="K9733">
        <v>2</v>
      </c>
      <c r="L9733">
        <v>0.6</v>
      </c>
      <c r="M9733">
        <v>-7.9634</v>
      </c>
    </row>
    <row r="9734" spans="1:13" x14ac:dyDescent="0.3">
      <c r="A9734" t="s">
        <v>28</v>
      </c>
      <c r="B9734" t="s">
        <v>14</v>
      </c>
      <c r="C9734" t="s">
        <v>15</v>
      </c>
      <c r="D9734" t="s">
        <v>79</v>
      </c>
      <c r="E9734" t="s">
        <v>65</v>
      </c>
      <c r="F9734">
        <v>60653</v>
      </c>
      <c r="G9734" t="s">
        <v>47</v>
      </c>
      <c r="H9734" t="s">
        <v>19</v>
      </c>
      <c r="I9734" t="s">
        <v>21</v>
      </c>
      <c r="J9734">
        <v>797.94399999999996</v>
      </c>
      <c r="K9734">
        <v>4</v>
      </c>
      <c r="L9734">
        <v>0.3</v>
      </c>
      <c r="M9734">
        <v>-56.996000000000002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71</v>
      </c>
      <c r="E9735" t="s">
        <v>247</v>
      </c>
      <c r="F9735">
        <v>3820</v>
      </c>
      <c r="G9735" t="s">
        <v>57</v>
      </c>
      <c r="H9735" t="s">
        <v>35</v>
      </c>
      <c r="I9735" t="s">
        <v>59</v>
      </c>
      <c r="J9735">
        <v>159.97999999999999</v>
      </c>
      <c r="K9735">
        <v>2</v>
      </c>
      <c r="L9735">
        <v>0</v>
      </c>
      <c r="M9735">
        <v>57.592799999999997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5.3440000000000003</v>
      </c>
      <c r="K9736">
        <v>2</v>
      </c>
      <c r="L9736">
        <v>0.2</v>
      </c>
      <c r="M9736">
        <v>0.66800000000000004</v>
      </c>
    </row>
    <row r="9737" spans="1:13" x14ac:dyDescent="0.3">
      <c r="A9737" t="s">
        <v>28</v>
      </c>
      <c r="B9737" t="s">
        <v>14</v>
      </c>
      <c r="C9737" t="s">
        <v>15</v>
      </c>
      <c r="D9737" t="s">
        <v>79</v>
      </c>
      <c r="E9737" t="s">
        <v>65</v>
      </c>
      <c r="F9737">
        <v>60610</v>
      </c>
      <c r="G9737" t="s">
        <v>47</v>
      </c>
      <c r="H9737" t="s">
        <v>26</v>
      </c>
      <c r="I9737" t="s">
        <v>34</v>
      </c>
      <c r="J9737">
        <v>27.72</v>
      </c>
      <c r="K9737">
        <v>3</v>
      </c>
      <c r="L9737">
        <v>0.2</v>
      </c>
      <c r="M9737">
        <v>3.4649999999999999</v>
      </c>
    </row>
    <row r="9738" spans="1:13" x14ac:dyDescent="0.3">
      <c r="A9738" t="s">
        <v>62</v>
      </c>
      <c r="B9738" t="s">
        <v>44</v>
      </c>
      <c r="C9738" t="s">
        <v>15</v>
      </c>
      <c r="D9738" t="s">
        <v>42</v>
      </c>
      <c r="E9738" t="s">
        <v>43</v>
      </c>
      <c r="F9738">
        <v>98115</v>
      </c>
      <c r="G9738" t="s">
        <v>25</v>
      </c>
      <c r="H9738" t="s">
        <v>26</v>
      </c>
      <c r="I9738" t="s">
        <v>37</v>
      </c>
      <c r="J9738">
        <v>2.496</v>
      </c>
      <c r="K9738">
        <v>1</v>
      </c>
      <c r="L9738">
        <v>0.2</v>
      </c>
      <c r="M9738">
        <v>0.90480000000000005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27</v>
      </c>
      <c r="J9739">
        <v>8.26</v>
      </c>
      <c r="K9739">
        <v>2</v>
      </c>
      <c r="L9739">
        <v>0</v>
      </c>
      <c r="M9739">
        <v>3.7995999999999999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37</v>
      </c>
      <c r="J9740">
        <v>17.760000000000002</v>
      </c>
      <c r="K9740">
        <v>2</v>
      </c>
      <c r="L9740">
        <v>0</v>
      </c>
      <c r="M9740">
        <v>8.8800000000000008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26</v>
      </c>
      <c r="I9741" t="s">
        <v>32</v>
      </c>
      <c r="J9741">
        <v>332.94</v>
      </c>
      <c r="K9741">
        <v>3</v>
      </c>
      <c r="L9741">
        <v>0</v>
      </c>
      <c r="M9741">
        <v>9.9882000000000009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19</v>
      </c>
      <c r="I9742" t="s">
        <v>31</v>
      </c>
      <c r="J9742">
        <v>292.10000000000002</v>
      </c>
      <c r="K9742">
        <v>2</v>
      </c>
      <c r="L9742">
        <v>0</v>
      </c>
      <c r="M9742">
        <v>58.42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35</v>
      </c>
      <c r="I9743" t="s">
        <v>36</v>
      </c>
      <c r="J9743">
        <v>206.1</v>
      </c>
      <c r="K9743">
        <v>5</v>
      </c>
      <c r="L9743">
        <v>0</v>
      </c>
      <c r="M9743">
        <v>55.646999999999998</v>
      </c>
    </row>
    <row r="9744" spans="1:13" x14ac:dyDescent="0.3">
      <c r="A9744" t="s">
        <v>13</v>
      </c>
      <c r="B9744" t="s">
        <v>14</v>
      </c>
      <c r="C9744" t="s">
        <v>15</v>
      </c>
      <c r="D9744" t="s">
        <v>182</v>
      </c>
      <c r="E9744" t="s">
        <v>83</v>
      </c>
      <c r="F9744">
        <v>23223</v>
      </c>
      <c r="G9744" t="s">
        <v>18</v>
      </c>
      <c r="H9744" t="s">
        <v>26</v>
      </c>
      <c r="I9744" t="s">
        <v>41</v>
      </c>
      <c r="J9744">
        <v>17.64</v>
      </c>
      <c r="K9744">
        <v>4</v>
      </c>
      <c r="L9744">
        <v>0</v>
      </c>
      <c r="M9744">
        <v>8.1143999999999998</v>
      </c>
    </row>
    <row r="9745" spans="1:13" x14ac:dyDescent="0.3">
      <c r="A9745" t="s">
        <v>28</v>
      </c>
      <c r="B9745" t="s">
        <v>22</v>
      </c>
      <c r="C9745" t="s">
        <v>15</v>
      </c>
      <c r="D9745" t="s">
        <v>52</v>
      </c>
      <c r="E9745" t="s">
        <v>24</v>
      </c>
      <c r="F9745">
        <v>94109</v>
      </c>
      <c r="G9745" t="s">
        <v>25</v>
      </c>
      <c r="H9745" t="s">
        <v>19</v>
      </c>
      <c r="I9745" t="s">
        <v>21</v>
      </c>
      <c r="J9745">
        <v>1403.92</v>
      </c>
      <c r="K9745">
        <v>5</v>
      </c>
      <c r="L9745">
        <v>0.2</v>
      </c>
      <c r="M9745">
        <v>70.195999999999998</v>
      </c>
    </row>
    <row r="9746" spans="1:13" x14ac:dyDescent="0.3">
      <c r="A9746" t="s">
        <v>28</v>
      </c>
      <c r="B9746" t="s">
        <v>44</v>
      </c>
      <c r="C9746" t="s">
        <v>15</v>
      </c>
      <c r="D9746" t="s">
        <v>621</v>
      </c>
      <c r="E9746" t="s">
        <v>197</v>
      </c>
      <c r="F9746">
        <v>72762</v>
      </c>
      <c r="G9746" t="s">
        <v>18</v>
      </c>
      <c r="H9746" t="s">
        <v>26</v>
      </c>
      <c r="I9746" t="s">
        <v>34</v>
      </c>
      <c r="J9746">
        <v>4.3</v>
      </c>
      <c r="K9746">
        <v>2</v>
      </c>
      <c r="L9746">
        <v>0</v>
      </c>
      <c r="M9746">
        <v>1.419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35</v>
      </c>
      <c r="I9747" t="s">
        <v>59</v>
      </c>
      <c r="J9747">
        <v>239.97</v>
      </c>
      <c r="K9747">
        <v>3</v>
      </c>
      <c r="L9747">
        <v>0</v>
      </c>
      <c r="M9747">
        <v>86.389200000000002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38</v>
      </c>
      <c r="J9748">
        <v>81.96</v>
      </c>
      <c r="K9748">
        <v>2</v>
      </c>
      <c r="L9748">
        <v>0</v>
      </c>
      <c r="M9748">
        <v>22.948799999999999</v>
      </c>
    </row>
    <row r="9749" spans="1:13" x14ac:dyDescent="0.3">
      <c r="A9749" t="s">
        <v>28</v>
      </c>
      <c r="B9749" t="s">
        <v>22</v>
      </c>
      <c r="C9749" t="s">
        <v>15</v>
      </c>
      <c r="D9749" t="s">
        <v>42</v>
      </c>
      <c r="E9749" t="s">
        <v>43</v>
      </c>
      <c r="F9749">
        <v>98103</v>
      </c>
      <c r="G9749" t="s">
        <v>25</v>
      </c>
      <c r="H9749" t="s">
        <v>26</v>
      </c>
      <c r="I9749" t="s">
        <v>110</v>
      </c>
      <c r="J9749">
        <v>238.62</v>
      </c>
      <c r="K9749">
        <v>2</v>
      </c>
      <c r="L9749">
        <v>0</v>
      </c>
      <c r="M9749">
        <v>4.7724000000000002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23</v>
      </c>
      <c r="E9750" t="s">
        <v>24</v>
      </c>
      <c r="F9750">
        <v>90036</v>
      </c>
      <c r="G9750" t="s">
        <v>25</v>
      </c>
      <c r="H9750" t="s">
        <v>35</v>
      </c>
      <c r="I9750" t="s">
        <v>36</v>
      </c>
      <c r="J9750">
        <v>139.80000000000001</v>
      </c>
      <c r="K9750">
        <v>5</v>
      </c>
      <c r="L9750">
        <v>0.2</v>
      </c>
      <c r="M9750">
        <v>12.2325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37</v>
      </c>
      <c r="J9751">
        <v>9.84</v>
      </c>
      <c r="K9751">
        <v>2</v>
      </c>
      <c r="L9751">
        <v>0</v>
      </c>
      <c r="M9751">
        <v>4.7232000000000003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294</v>
      </c>
      <c r="E9752" t="s">
        <v>127</v>
      </c>
      <c r="F9752">
        <v>6457</v>
      </c>
      <c r="G9752" t="s">
        <v>57</v>
      </c>
      <c r="H9752" t="s">
        <v>26</v>
      </c>
      <c r="I9752" t="s">
        <v>41</v>
      </c>
      <c r="J9752">
        <v>7.78</v>
      </c>
      <c r="K9752">
        <v>1</v>
      </c>
      <c r="L9752">
        <v>0</v>
      </c>
      <c r="M9752">
        <v>3.5009999999999999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444</v>
      </c>
      <c r="E9753" t="s">
        <v>70</v>
      </c>
      <c r="F9753">
        <v>49505</v>
      </c>
      <c r="G9753" t="s">
        <v>47</v>
      </c>
      <c r="H9753" t="s">
        <v>26</v>
      </c>
      <c r="I9753" t="s">
        <v>37</v>
      </c>
      <c r="J9753">
        <v>54.9</v>
      </c>
      <c r="K9753">
        <v>5</v>
      </c>
      <c r="L9753">
        <v>0</v>
      </c>
      <c r="M9753">
        <v>26.901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52</v>
      </c>
      <c r="E9754" t="s">
        <v>24</v>
      </c>
      <c r="F9754">
        <v>94122</v>
      </c>
      <c r="G9754" t="s">
        <v>25</v>
      </c>
      <c r="H9754" t="s">
        <v>26</v>
      </c>
      <c r="I9754" t="s">
        <v>41</v>
      </c>
      <c r="J9754">
        <v>50.04</v>
      </c>
      <c r="K9754">
        <v>6</v>
      </c>
      <c r="L9754">
        <v>0</v>
      </c>
      <c r="M9754">
        <v>25.02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19</v>
      </c>
      <c r="I9755" t="s">
        <v>20</v>
      </c>
      <c r="J9755">
        <v>339.92</v>
      </c>
      <c r="K9755">
        <v>5</v>
      </c>
      <c r="L9755">
        <v>0.2</v>
      </c>
      <c r="M9755">
        <v>8.4979999999999993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41</v>
      </c>
      <c r="J9756">
        <v>10.528</v>
      </c>
      <c r="K9756">
        <v>4</v>
      </c>
      <c r="L9756">
        <v>0.2</v>
      </c>
      <c r="M9756">
        <v>3.4216000000000002</v>
      </c>
    </row>
    <row r="9757" spans="1:13" x14ac:dyDescent="0.3">
      <c r="A9757" t="s">
        <v>28</v>
      </c>
      <c r="B9757" t="s">
        <v>44</v>
      </c>
      <c r="C9757" t="s">
        <v>15</v>
      </c>
      <c r="D9757" t="s">
        <v>229</v>
      </c>
      <c r="E9757" t="s">
        <v>30</v>
      </c>
      <c r="F9757">
        <v>33012</v>
      </c>
      <c r="G9757" t="s">
        <v>18</v>
      </c>
      <c r="H9757" t="s">
        <v>26</v>
      </c>
      <c r="I9757" t="s">
        <v>38</v>
      </c>
      <c r="J9757">
        <v>42.384</v>
      </c>
      <c r="K9757">
        <v>2</v>
      </c>
      <c r="L9757">
        <v>0.2</v>
      </c>
      <c r="M9757">
        <v>4.2384000000000004</v>
      </c>
    </row>
    <row r="9758" spans="1:13" x14ac:dyDescent="0.3">
      <c r="A9758" t="s">
        <v>168</v>
      </c>
      <c r="B9758" t="s">
        <v>22</v>
      </c>
      <c r="C9758" t="s">
        <v>15</v>
      </c>
      <c r="D9758" t="s">
        <v>55</v>
      </c>
      <c r="E9758" t="s">
        <v>56</v>
      </c>
      <c r="F9758">
        <v>19143</v>
      </c>
      <c r="G9758" t="s">
        <v>57</v>
      </c>
      <c r="H9758" t="s">
        <v>26</v>
      </c>
      <c r="I9758" t="s">
        <v>41</v>
      </c>
      <c r="J9758">
        <v>123.92</v>
      </c>
      <c r="K9758">
        <v>5</v>
      </c>
      <c r="L9758">
        <v>0.2</v>
      </c>
      <c r="M9758">
        <v>38.725000000000001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200</v>
      </c>
      <c r="E9759" t="s">
        <v>167</v>
      </c>
      <c r="F9759">
        <v>30318</v>
      </c>
      <c r="G9759" t="s">
        <v>18</v>
      </c>
      <c r="H9759" t="s">
        <v>35</v>
      </c>
      <c r="I9759" t="s">
        <v>36</v>
      </c>
      <c r="J9759">
        <v>135.94999999999999</v>
      </c>
      <c r="K9759">
        <v>1</v>
      </c>
      <c r="L9759">
        <v>0</v>
      </c>
      <c r="M9759">
        <v>39.4255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26</v>
      </c>
      <c r="I9760" t="s">
        <v>37</v>
      </c>
      <c r="J9760">
        <v>2177.5839999999998</v>
      </c>
      <c r="K9760">
        <v>8</v>
      </c>
      <c r="L9760">
        <v>0.8</v>
      </c>
      <c r="M9760">
        <v>-3701.8928000000001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19</v>
      </c>
      <c r="I9761" t="s">
        <v>33</v>
      </c>
      <c r="J9761">
        <v>17.495999999999999</v>
      </c>
      <c r="K9761">
        <v>3</v>
      </c>
      <c r="L9761">
        <v>0.6</v>
      </c>
      <c r="M9761">
        <v>-10.0602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26</v>
      </c>
      <c r="I9762" t="s">
        <v>37</v>
      </c>
      <c r="J9762">
        <v>16.783999999999999</v>
      </c>
      <c r="K9762">
        <v>4</v>
      </c>
      <c r="L9762">
        <v>0.8</v>
      </c>
      <c r="M9762">
        <v>-26.854399999999998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35</v>
      </c>
      <c r="I9763" t="s">
        <v>59</v>
      </c>
      <c r="J9763">
        <v>431.13600000000002</v>
      </c>
      <c r="K9763">
        <v>9</v>
      </c>
      <c r="L9763">
        <v>0.2</v>
      </c>
      <c r="M9763">
        <v>-26.946000000000002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37</v>
      </c>
      <c r="J9764">
        <v>8.8800000000000008</v>
      </c>
      <c r="K9764">
        <v>5</v>
      </c>
      <c r="L9764">
        <v>0.8</v>
      </c>
      <c r="M9764">
        <v>-13.32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122</v>
      </c>
      <c r="E9765" t="s">
        <v>46</v>
      </c>
      <c r="F9765">
        <v>78207</v>
      </c>
      <c r="G9765" t="s">
        <v>47</v>
      </c>
      <c r="H9765" t="s">
        <v>26</v>
      </c>
      <c r="I9765" t="s">
        <v>38</v>
      </c>
      <c r="J9765">
        <v>4.8360000000000003</v>
      </c>
      <c r="K9765">
        <v>2</v>
      </c>
      <c r="L9765">
        <v>0.8</v>
      </c>
      <c r="M9765">
        <v>-12.09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35</v>
      </c>
      <c r="I9766" t="s">
        <v>36</v>
      </c>
      <c r="J9766">
        <v>437.85</v>
      </c>
      <c r="K9766">
        <v>3</v>
      </c>
      <c r="L9766">
        <v>0</v>
      </c>
      <c r="M9766">
        <v>131.35499999999999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159</v>
      </c>
      <c r="E9767" t="s">
        <v>76</v>
      </c>
      <c r="F9767">
        <v>11561</v>
      </c>
      <c r="G9767" t="s">
        <v>57</v>
      </c>
      <c r="H9767" t="s">
        <v>26</v>
      </c>
      <c r="I9767" t="s">
        <v>37</v>
      </c>
      <c r="J9767">
        <v>673.56799999999998</v>
      </c>
      <c r="K9767">
        <v>2</v>
      </c>
      <c r="L9767">
        <v>0.2</v>
      </c>
      <c r="M9767">
        <v>252.58799999999999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41</v>
      </c>
      <c r="J9768">
        <v>274.8</v>
      </c>
      <c r="K9768">
        <v>5</v>
      </c>
      <c r="L9768">
        <v>0</v>
      </c>
      <c r="M9768">
        <v>134.65199999999999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26</v>
      </c>
      <c r="I9769" t="s">
        <v>32</v>
      </c>
      <c r="J9769">
        <v>62.18</v>
      </c>
      <c r="K9769">
        <v>1</v>
      </c>
      <c r="L9769">
        <v>0</v>
      </c>
      <c r="M9769">
        <v>16.788599999999999</v>
      </c>
    </row>
    <row r="9770" spans="1:13" x14ac:dyDescent="0.3">
      <c r="A9770" t="s">
        <v>13</v>
      </c>
      <c r="B9770" t="s">
        <v>22</v>
      </c>
      <c r="C9770" t="s">
        <v>15</v>
      </c>
      <c r="D9770" t="s">
        <v>353</v>
      </c>
      <c r="E9770" t="s">
        <v>132</v>
      </c>
      <c r="F9770">
        <v>7501</v>
      </c>
      <c r="G9770" t="s">
        <v>57</v>
      </c>
      <c r="H9770" t="s">
        <v>19</v>
      </c>
      <c r="I9770" t="s">
        <v>33</v>
      </c>
      <c r="J9770">
        <v>8.2799999999999994</v>
      </c>
      <c r="K9770">
        <v>2</v>
      </c>
      <c r="L9770">
        <v>0</v>
      </c>
      <c r="M9770">
        <v>2.9807999999999999</v>
      </c>
    </row>
    <row r="9771" spans="1:13" x14ac:dyDescent="0.3">
      <c r="A9771" t="s">
        <v>28</v>
      </c>
      <c r="B9771" t="s">
        <v>14</v>
      </c>
      <c r="C9771" t="s">
        <v>15</v>
      </c>
      <c r="D9771" t="s">
        <v>183</v>
      </c>
      <c r="E9771" t="s">
        <v>17</v>
      </c>
      <c r="F9771">
        <v>40214</v>
      </c>
      <c r="G9771" t="s">
        <v>18</v>
      </c>
      <c r="H9771" t="s">
        <v>26</v>
      </c>
      <c r="I9771" t="s">
        <v>37</v>
      </c>
      <c r="J9771">
        <v>48.81</v>
      </c>
      <c r="K9771">
        <v>3</v>
      </c>
      <c r="L9771">
        <v>0</v>
      </c>
      <c r="M9771">
        <v>23.916899999999998</v>
      </c>
    </row>
    <row r="9772" spans="1:13" x14ac:dyDescent="0.3">
      <c r="A9772" t="s">
        <v>168</v>
      </c>
      <c r="B9772" t="s">
        <v>14</v>
      </c>
      <c r="C9772" t="s">
        <v>15</v>
      </c>
      <c r="D9772" t="s">
        <v>500</v>
      </c>
      <c r="E9772" t="s">
        <v>83</v>
      </c>
      <c r="F9772">
        <v>23666</v>
      </c>
      <c r="G9772" t="s">
        <v>18</v>
      </c>
      <c r="H9772" t="s">
        <v>19</v>
      </c>
      <c r="I9772" t="s">
        <v>21</v>
      </c>
      <c r="J9772">
        <v>149.9</v>
      </c>
      <c r="K9772">
        <v>5</v>
      </c>
      <c r="L9772">
        <v>0</v>
      </c>
      <c r="M9772">
        <v>40.472999999999999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20</v>
      </c>
      <c r="J9773">
        <v>1023.332</v>
      </c>
      <c r="K9773">
        <v>5</v>
      </c>
      <c r="L9773">
        <v>0.32</v>
      </c>
      <c r="M9773">
        <v>-30.097999999999999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19</v>
      </c>
      <c r="I9774" t="s">
        <v>21</v>
      </c>
      <c r="J9774">
        <v>600.55799999999999</v>
      </c>
      <c r="K9774">
        <v>3</v>
      </c>
      <c r="L9774">
        <v>0.3</v>
      </c>
      <c r="M9774">
        <v>-8.5793999999999997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35</v>
      </c>
      <c r="I9775" t="s">
        <v>59</v>
      </c>
      <c r="J9775">
        <v>39.991999999999997</v>
      </c>
      <c r="K9775">
        <v>1</v>
      </c>
      <c r="L9775">
        <v>0.2</v>
      </c>
      <c r="M9775">
        <v>6.9985999999999997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19</v>
      </c>
      <c r="I9776" t="s">
        <v>21</v>
      </c>
      <c r="J9776">
        <v>211.24600000000001</v>
      </c>
      <c r="K9776">
        <v>2</v>
      </c>
      <c r="L9776">
        <v>0.3</v>
      </c>
      <c r="M9776">
        <v>-66.391599999999997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26</v>
      </c>
      <c r="I9777" t="s">
        <v>60</v>
      </c>
      <c r="J9777">
        <v>56.064</v>
      </c>
      <c r="K9777">
        <v>6</v>
      </c>
      <c r="L9777">
        <v>0.2</v>
      </c>
      <c r="M9777">
        <v>21.024000000000001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19</v>
      </c>
      <c r="I9778" t="s">
        <v>21</v>
      </c>
      <c r="J9778">
        <v>107.77200000000001</v>
      </c>
      <c r="K9778">
        <v>2</v>
      </c>
      <c r="L9778">
        <v>0.3</v>
      </c>
      <c r="M9778">
        <v>-29.252400000000002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41</v>
      </c>
      <c r="J9779">
        <v>4.8319999999999999</v>
      </c>
      <c r="K9779">
        <v>1</v>
      </c>
      <c r="L9779">
        <v>0.2</v>
      </c>
      <c r="M9779">
        <v>1.6308</v>
      </c>
    </row>
    <row r="9780" spans="1:13" x14ac:dyDescent="0.3">
      <c r="A9780" t="s">
        <v>13</v>
      </c>
      <c r="B9780" t="s">
        <v>14</v>
      </c>
      <c r="C9780" t="s">
        <v>15</v>
      </c>
      <c r="D9780" t="s">
        <v>61</v>
      </c>
      <c r="E9780" t="s">
        <v>46</v>
      </c>
      <c r="F9780">
        <v>77070</v>
      </c>
      <c r="G9780" t="s">
        <v>47</v>
      </c>
      <c r="H9780" t="s">
        <v>26</v>
      </c>
      <c r="I9780" t="s">
        <v>37</v>
      </c>
      <c r="J9780">
        <v>18.239999999999998</v>
      </c>
      <c r="K9780">
        <v>3</v>
      </c>
      <c r="L9780">
        <v>0.8</v>
      </c>
      <c r="M9780">
        <v>-31.007999999999999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79</v>
      </c>
      <c r="E9781" t="s">
        <v>65</v>
      </c>
      <c r="F9781">
        <v>60610</v>
      </c>
      <c r="G9781" t="s">
        <v>47</v>
      </c>
      <c r="H9781" t="s">
        <v>26</v>
      </c>
      <c r="I9781" t="s">
        <v>37</v>
      </c>
      <c r="J9781">
        <v>3.798</v>
      </c>
      <c r="K9781">
        <v>3</v>
      </c>
      <c r="L9781">
        <v>0.8</v>
      </c>
      <c r="M9781">
        <v>-5.8868999999999998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26</v>
      </c>
      <c r="I9782" t="s">
        <v>34</v>
      </c>
      <c r="J9782">
        <v>10.368</v>
      </c>
      <c r="K9782">
        <v>2</v>
      </c>
      <c r="L9782">
        <v>0.2</v>
      </c>
      <c r="M9782">
        <v>1.5551999999999999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235.18799999999999</v>
      </c>
      <c r="K9783">
        <v>2</v>
      </c>
      <c r="L9783">
        <v>0.4</v>
      </c>
      <c r="M9783">
        <v>-43.117800000000003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36</v>
      </c>
      <c r="J9784">
        <v>26.376000000000001</v>
      </c>
      <c r="K9784">
        <v>4</v>
      </c>
      <c r="L9784">
        <v>0.4</v>
      </c>
      <c r="M9784">
        <v>2.6375999999999999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59</v>
      </c>
      <c r="J9785">
        <v>10.384</v>
      </c>
      <c r="K9785">
        <v>2</v>
      </c>
      <c r="L9785">
        <v>0.2</v>
      </c>
      <c r="M9785">
        <v>2.2065999999999999</v>
      </c>
    </row>
    <row r="9786" spans="1:13" x14ac:dyDescent="0.3">
      <c r="A9786" t="s">
        <v>28</v>
      </c>
      <c r="B9786" t="s">
        <v>22</v>
      </c>
      <c r="C9786" t="s">
        <v>15</v>
      </c>
      <c r="D9786" t="s">
        <v>252</v>
      </c>
      <c r="E9786" t="s">
        <v>104</v>
      </c>
      <c r="F9786">
        <v>43615</v>
      </c>
      <c r="G9786" t="s">
        <v>57</v>
      </c>
      <c r="H9786" t="s">
        <v>35</v>
      </c>
      <c r="I9786" t="s">
        <v>36</v>
      </c>
      <c r="J9786">
        <v>107.11799999999999</v>
      </c>
      <c r="K9786">
        <v>3</v>
      </c>
      <c r="L9786">
        <v>0.4</v>
      </c>
      <c r="M9786">
        <v>-21.4236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622</v>
      </c>
      <c r="E9787" t="s">
        <v>24</v>
      </c>
      <c r="F9787">
        <v>95240</v>
      </c>
      <c r="G9787" t="s">
        <v>25</v>
      </c>
      <c r="H9787" t="s">
        <v>26</v>
      </c>
      <c r="I9787" t="s">
        <v>110</v>
      </c>
      <c r="J9787">
        <v>97.3</v>
      </c>
      <c r="K9787">
        <v>7</v>
      </c>
      <c r="L9787">
        <v>0</v>
      </c>
      <c r="M9787">
        <v>28.216999999999999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26</v>
      </c>
      <c r="I9788" t="s">
        <v>37</v>
      </c>
      <c r="J9788">
        <v>3.3279999999999998</v>
      </c>
      <c r="K9788">
        <v>2</v>
      </c>
      <c r="L9788">
        <v>0.2</v>
      </c>
      <c r="M9788">
        <v>1.2063999999999999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35</v>
      </c>
      <c r="I9789" t="s">
        <v>36</v>
      </c>
      <c r="J9789">
        <v>135.99</v>
      </c>
      <c r="K9789">
        <v>1</v>
      </c>
      <c r="L9789">
        <v>0</v>
      </c>
      <c r="M9789">
        <v>36.717300000000002</v>
      </c>
    </row>
    <row r="9790" spans="1:13" x14ac:dyDescent="0.3">
      <c r="A9790" t="s">
        <v>13</v>
      </c>
      <c r="B9790" t="s">
        <v>14</v>
      </c>
      <c r="C9790" t="s">
        <v>15</v>
      </c>
      <c r="D9790" t="s">
        <v>75</v>
      </c>
      <c r="E9790" t="s">
        <v>76</v>
      </c>
      <c r="F9790">
        <v>10024</v>
      </c>
      <c r="G9790" t="s">
        <v>57</v>
      </c>
      <c r="H9790" t="s">
        <v>19</v>
      </c>
      <c r="I9790" t="s">
        <v>33</v>
      </c>
      <c r="J9790">
        <v>7.38</v>
      </c>
      <c r="K9790">
        <v>1</v>
      </c>
      <c r="L9790">
        <v>0</v>
      </c>
      <c r="M9790">
        <v>2.1402000000000001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19</v>
      </c>
      <c r="I9791" t="s">
        <v>33</v>
      </c>
      <c r="J9791">
        <v>45.567999999999998</v>
      </c>
      <c r="K9791">
        <v>2</v>
      </c>
      <c r="L9791">
        <v>0.2</v>
      </c>
      <c r="M9791">
        <v>9.6831999999999994</v>
      </c>
    </row>
    <row r="9792" spans="1:13" x14ac:dyDescent="0.3">
      <c r="A9792" t="s">
        <v>28</v>
      </c>
      <c r="B9792" t="s">
        <v>44</v>
      </c>
      <c r="C9792" t="s">
        <v>15</v>
      </c>
      <c r="D9792" t="s">
        <v>29</v>
      </c>
      <c r="E9792" t="s">
        <v>30</v>
      </c>
      <c r="F9792">
        <v>33311</v>
      </c>
      <c r="G9792" t="s">
        <v>18</v>
      </c>
      <c r="H9792" t="s">
        <v>26</v>
      </c>
      <c r="I9792" t="s">
        <v>37</v>
      </c>
      <c r="J9792">
        <v>28.751999999999999</v>
      </c>
      <c r="K9792">
        <v>8</v>
      </c>
      <c r="L9792">
        <v>0.7</v>
      </c>
      <c r="M9792">
        <v>-21.084800000000001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339</v>
      </c>
      <c r="E9793" t="s">
        <v>40</v>
      </c>
      <c r="F9793">
        <v>27604</v>
      </c>
      <c r="G9793" t="s">
        <v>18</v>
      </c>
      <c r="H9793" t="s">
        <v>19</v>
      </c>
      <c r="I9793" t="s">
        <v>21</v>
      </c>
      <c r="J9793">
        <v>194.84800000000001</v>
      </c>
      <c r="K9793">
        <v>4</v>
      </c>
      <c r="L9793">
        <v>0.2</v>
      </c>
      <c r="M9793">
        <v>12.178000000000001</v>
      </c>
    </row>
    <row r="9794" spans="1:13" x14ac:dyDescent="0.3">
      <c r="A9794" t="s">
        <v>28</v>
      </c>
      <c r="B9794" t="s">
        <v>14</v>
      </c>
      <c r="C9794" t="s">
        <v>15</v>
      </c>
      <c r="D9794" t="s">
        <v>79</v>
      </c>
      <c r="E9794" t="s">
        <v>65</v>
      </c>
      <c r="F9794">
        <v>60623</v>
      </c>
      <c r="G9794" t="s">
        <v>47</v>
      </c>
      <c r="H9794" t="s">
        <v>26</v>
      </c>
      <c r="I9794" t="s">
        <v>37</v>
      </c>
      <c r="J9794">
        <v>2.1120000000000001</v>
      </c>
      <c r="K9794">
        <v>2</v>
      </c>
      <c r="L9794">
        <v>0.8</v>
      </c>
      <c r="M9794">
        <v>-3.3792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41</v>
      </c>
      <c r="J9795">
        <v>25.92</v>
      </c>
      <c r="K9795">
        <v>5</v>
      </c>
      <c r="L9795">
        <v>0.2</v>
      </c>
      <c r="M9795">
        <v>9.0719999999999992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94</v>
      </c>
      <c r="E9796" t="s">
        <v>95</v>
      </c>
      <c r="F9796">
        <v>97206</v>
      </c>
      <c r="G9796" t="s">
        <v>25</v>
      </c>
      <c r="H9796" t="s">
        <v>26</v>
      </c>
      <c r="I9796" t="s">
        <v>34</v>
      </c>
      <c r="J9796">
        <v>120.768</v>
      </c>
      <c r="K9796">
        <v>4</v>
      </c>
      <c r="L9796">
        <v>0.2</v>
      </c>
      <c r="M9796">
        <v>9.0576000000000008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41</v>
      </c>
      <c r="J9797">
        <v>25.92</v>
      </c>
      <c r="K9797">
        <v>4</v>
      </c>
      <c r="L9797">
        <v>0</v>
      </c>
      <c r="M9797">
        <v>12.441599999999999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34</v>
      </c>
      <c r="J9798">
        <v>34.65</v>
      </c>
      <c r="K9798">
        <v>3</v>
      </c>
      <c r="L9798">
        <v>0</v>
      </c>
      <c r="M9798">
        <v>9.702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41</v>
      </c>
      <c r="J9799">
        <v>204.95</v>
      </c>
      <c r="K9799">
        <v>5</v>
      </c>
      <c r="L9799">
        <v>0</v>
      </c>
      <c r="M9799">
        <v>100.4255</v>
      </c>
    </row>
    <row r="9800" spans="1:13" x14ac:dyDescent="0.3">
      <c r="A9800" t="s">
        <v>62</v>
      </c>
      <c r="B9800" t="s">
        <v>14</v>
      </c>
      <c r="C9800" t="s">
        <v>15</v>
      </c>
      <c r="D9800" t="s">
        <v>615</v>
      </c>
      <c r="E9800" t="s">
        <v>132</v>
      </c>
      <c r="F9800">
        <v>7017</v>
      </c>
      <c r="G9800" t="s">
        <v>57</v>
      </c>
      <c r="H9800" t="s">
        <v>26</v>
      </c>
      <c r="I9800" t="s">
        <v>37</v>
      </c>
      <c r="J9800">
        <v>79.95</v>
      </c>
      <c r="K9800">
        <v>5</v>
      </c>
      <c r="L9800">
        <v>0</v>
      </c>
      <c r="M9800">
        <v>38.375999999999998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41</v>
      </c>
      <c r="J9801">
        <v>173.488</v>
      </c>
      <c r="K9801">
        <v>7</v>
      </c>
      <c r="L9801">
        <v>0.2</v>
      </c>
      <c r="M9801">
        <v>54.215000000000003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26</v>
      </c>
      <c r="I9802" t="s">
        <v>32</v>
      </c>
      <c r="J9802">
        <v>516.96</v>
      </c>
      <c r="K9802">
        <v>4</v>
      </c>
      <c r="L9802">
        <v>0.2</v>
      </c>
      <c r="M9802">
        <v>-6.4619999999999997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19</v>
      </c>
      <c r="I9803" t="s">
        <v>33</v>
      </c>
      <c r="J9803">
        <v>173.208</v>
      </c>
      <c r="K9803">
        <v>7</v>
      </c>
      <c r="L9803">
        <v>0.2</v>
      </c>
      <c r="M9803">
        <v>45.467100000000002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34</v>
      </c>
      <c r="J9804">
        <v>4.4480000000000004</v>
      </c>
      <c r="K9804">
        <v>2</v>
      </c>
      <c r="L9804">
        <v>0.2</v>
      </c>
      <c r="M9804">
        <v>0.33360000000000001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27</v>
      </c>
      <c r="J9805">
        <v>9</v>
      </c>
      <c r="K9805">
        <v>3</v>
      </c>
      <c r="L9805">
        <v>0.2</v>
      </c>
      <c r="M9805">
        <v>3.15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41</v>
      </c>
      <c r="J9806">
        <v>42.24</v>
      </c>
      <c r="K9806">
        <v>10</v>
      </c>
      <c r="L9806">
        <v>0.2</v>
      </c>
      <c r="M9806">
        <v>13.2</v>
      </c>
    </row>
    <row r="9807" spans="1:13" x14ac:dyDescent="0.3">
      <c r="A9807" t="s">
        <v>28</v>
      </c>
      <c r="B9807" t="s">
        <v>22</v>
      </c>
      <c r="C9807" t="s">
        <v>15</v>
      </c>
      <c r="D9807" t="s">
        <v>158</v>
      </c>
      <c r="E9807" t="s">
        <v>30</v>
      </c>
      <c r="F9807">
        <v>33710</v>
      </c>
      <c r="G9807" t="s">
        <v>18</v>
      </c>
      <c r="H9807" t="s">
        <v>26</v>
      </c>
      <c r="I9807" t="s">
        <v>37</v>
      </c>
      <c r="J9807">
        <v>18.263999999999999</v>
      </c>
      <c r="K9807">
        <v>2</v>
      </c>
      <c r="L9807">
        <v>0.7</v>
      </c>
      <c r="M9807">
        <v>-13.393599999999999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38</v>
      </c>
      <c r="J9808">
        <v>152.91</v>
      </c>
      <c r="K9808">
        <v>3</v>
      </c>
      <c r="L9808">
        <v>0</v>
      </c>
      <c r="M9808">
        <v>42.814799999999998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41</v>
      </c>
      <c r="J9809">
        <v>92.94</v>
      </c>
      <c r="K9809">
        <v>3</v>
      </c>
      <c r="L9809">
        <v>0</v>
      </c>
      <c r="M9809">
        <v>41.823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17.856000000000002</v>
      </c>
      <c r="K9810">
        <v>4</v>
      </c>
      <c r="L9810">
        <v>0.2</v>
      </c>
      <c r="M9810">
        <v>6.2496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26</v>
      </c>
      <c r="I9811" t="s">
        <v>37</v>
      </c>
      <c r="J9811">
        <v>46.44</v>
      </c>
      <c r="K9811">
        <v>3</v>
      </c>
      <c r="L9811">
        <v>0.2</v>
      </c>
      <c r="M9811">
        <v>15.093</v>
      </c>
    </row>
    <row r="9812" spans="1:13" x14ac:dyDescent="0.3">
      <c r="A9812" t="s">
        <v>28</v>
      </c>
      <c r="B9812" t="s">
        <v>14</v>
      </c>
      <c r="C9812" t="s">
        <v>15</v>
      </c>
      <c r="D9812" t="s">
        <v>52</v>
      </c>
      <c r="E9812" t="s">
        <v>24</v>
      </c>
      <c r="F9812">
        <v>94122</v>
      </c>
      <c r="G9812" t="s">
        <v>25</v>
      </c>
      <c r="H9812" t="s">
        <v>19</v>
      </c>
      <c r="I9812" t="s">
        <v>21</v>
      </c>
      <c r="J9812">
        <v>195.136</v>
      </c>
      <c r="K9812">
        <v>4</v>
      </c>
      <c r="L9812">
        <v>0.2</v>
      </c>
      <c r="M9812">
        <v>-12.196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32</v>
      </c>
      <c r="J9813">
        <v>129.30000000000001</v>
      </c>
      <c r="K9813">
        <v>2</v>
      </c>
      <c r="L9813">
        <v>0</v>
      </c>
      <c r="M9813">
        <v>6.4649999999999999</v>
      </c>
    </row>
    <row r="9814" spans="1:13" x14ac:dyDescent="0.3">
      <c r="A9814" t="s">
        <v>28</v>
      </c>
      <c r="B9814" t="s">
        <v>22</v>
      </c>
      <c r="C9814" t="s">
        <v>15</v>
      </c>
      <c r="D9814" t="s">
        <v>75</v>
      </c>
      <c r="E9814" t="s">
        <v>76</v>
      </c>
      <c r="F9814">
        <v>10035</v>
      </c>
      <c r="G9814" t="s">
        <v>57</v>
      </c>
      <c r="H9814" t="s">
        <v>26</v>
      </c>
      <c r="I9814" t="s">
        <v>37</v>
      </c>
      <c r="J9814">
        <v>11.568</v>
      </c>
      <c r="K9814">
        <v>3</v>
      </c>
      <c r="L9814">
        <v>0.2</v>
      </c>
      <c r="M9814">
        <v>3.7595999999999998</v>
      </c>
    </row>
    <row r="9815" spans="1:13" x14ac:dyDescent="0.3">
      <c r="A9815" t="s">
        <v>28</v>
      </c>
      <c r="B9815" t="s">
        <v>14</v>
      </c>
      <c r="C9815" t="s">
        <v>15</v>
      </c>
      <c r="D9815" t="s">
        <v>99</v>
      </c>
      <c r="E9815" t="s">
        <v>40</v>
      </c>
      <c r="F9815">
        <v>28205</v>
      </c>
      <c r="G9815" t="s">
        <v>18</v>
      </c>
      <c r="H9815" t="s">
        <v>19</v>
      </c>
      <c r="I9815" t="s">
        <v>21</v>
      </c>
      <c r="J9815">
        <v>242.352</v>
      </c>
      <c r="K9815">
        <v>3</v>
      </c>
      <c r="L9815">
        <v>0.2</v>
      </c>
      <c r="M9815">
        <v>15.147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35</v>
      </c>
      <c r="I9816" t="s">
        <v>59</v>
      </c>
      <c r="J9816">
        <v>319.96800000000002</v>
      </c>
      <c r="K9816">
        <v>4</v>
      </c>
      <c r="L9816">
        <v>0.2</v>
      </c>
      <c r="M9816">
        <v>95.990399999999994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578</v>
      </c>
      <c r="E9817" t="s">
        <v>46</v>
      </c>
      <c r="F9817">
        <v>77705</v>
      </c>
      <c r="G9817" t="s">
        <v>47</v>
      </c>
      <c r="H9817" t="s">
        <v>19</v>
      </c>
      <c r="I9817" t="s">
        <v>33</v>
      </c>
      <c r="J9817">
        <v>8.6240000000000006</v>
      </c>
      <c r="K9817">
        <v>7</v>
      </c>
      <c r="L9817">
        <v>0.6</v>
      </c>
      <c r="M9817">
        <v>-2.5872000000000002</v>
      </c>
    </row>
    <row r="9818" spans="1:13" x14ac:dyDescent="0.3">
      <c r="A9818" t="s">
        <v>13</v>
      </c>
      <c r="B9818" t="s">
        <v>14</v>
      </c>
      <c r="C9818" t="s">
        <v>15</v>
      </c>
      <c r="D9818" t="s">
        <v>135</v>
      </c>
      <c r="E9818" t="s">
        <v>46</v>
      </c>
      <c r="F9818">
        <v>75220</v>
      </c>
      <c r="G9818" t="s">
        <v>47</v>
      </c>
      <c r="H9818" t="s">
        <v>26</v>
      </c>
      <c r="I9818" t="s">
        <v>41</v>
      </c>
      <c r="J9818">
        <v>3.984</v>
      </c>
      <c r="K9818">
        <v>1</v>
      </c>
      <c r="L9818">
        <v>0.2</v>
      </c>
      <c r="M9818">
        <v>1.4441999999999999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82</v>
      </c>
      <c r="E9819" t="s">
        <v>104</v>
      </c>
      <c r="F9819">
        <v>45503</v>
      </c>
      <c r="G9819" t="s">
        <v>57</v>
      </c>
      <c r="H9819" t="s">
        <v>35</v>
      </c>
      <c r="I9819" t="s">
        <v>59</v>
      </c>
      <c r="J9819">
        <v>895.94399999999996</v>
      </c>
      <c r="K9819">
        <v>7</v>
      </c>
      <c r="L9819">
        <v>0.2</v>
      </c>
      <c r="M9819">
        <v>190.38810000000001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19</v>
      </c>
      <c r="I9820" t="s">
        <v>33</v>
      </c>
      <c r="J9820">
        <v>14</v>
      </c>
      <c r="K9820">
        <v>4</v>
      </c>
      <c r="L9820">
        <v>0.6</v>
      </c>
      <c r="M9820">
        <v>-6.3</v>
      </c>
    </row>
    <row r="9821" spans="1:13" x14ac:dyDescent="0.3">
      <c r="A9821" t="s">
        <v>62</v>
      </c>
      <c r="B9821" t="s">
        <v>14</v>
      </c>
      <c r="C9821" t="s">
        <v>15</v>
      </c>
      <c r="D9821" t="s">
        <v>274</v>
      </c>
      <c r="E9821" t="s">
        <v>46</v>
      </c>
      <c r="F9821">
        <v>77571</v>
      </c>
      <c r="G9821" t="s">
        <v>47</v>
      </c>
      <c r="H9821" t="s">
        <v>26</v>
      </c>
      <c r="I9821" t="s">
        <v>37</v>
      </c>
      <c r="J9821">
        <v>16.391999999999999</v>
      </c>
      <c r="K9821">
        <v>2</v>
      </c>
      <c r="L9821">
        <v>0.8</v>
      </c>
      <c r="M9821">
        <v>-26.2272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41</v>
      </c>
      <c r="J9822">
        <v>10.9</v>
      </c>
      <c r="K9822">
        <v>5</v>
      </c>
      <c r="L9822">
        <v>0</v>
      </c>
      <c r="M9822">
        <v>5.1230000000000002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29.6</v>
      </c>
      <c r="K9823">
        <v>2</v>
      </c>
      <c r="L9823">
        <v>0</v>
      </c>
      <c r="M9823">
        <v>14.8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26</v>
      </c>
      <c r="I9824" t="s">
        <v>27</v>
      </c>
      <c r="J9824">
        <v>4.9800000000000004</v>
      </c>
      <c r="K9824">
        <v>1</v>
      </c>
      <c r="L9824">
        <v>0</v>
      </c>
      <c r="M9824">
        <v>2.2907999999999999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162</v>
      </c>
      <c r="J9825">
        <v>479.976</v>
      </c>
      <c r="K9825">
        <v>3</v>
      </c>
      <c r="L9825">
        <v>0.2</v>
      </c>
      <c r="M9825">
        <v>161.99189999999999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35</v>
      </c>
      <c r="I9826" t="s">
        <v>36</v>
      </c>
      <c r="J9826">
        <v>44.735999999999997</v>
      </c>
      <c r="K9826">
        <v>8</v>
      </c>
      <c r="L9826">
        <v>0.2</v>
      </c>
      <c r="M9826">
        <v>4.4736000000000002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26</v>
      </c>
      <c r="I9827" t="s">
        <v>34</v>
      </c>
      <c r="J9827">
        <v>5.76</v>
      </c>
      <c r="K9827">
        <v>2</v>
      </c>
      <c r="L9827">
        <v>0</v>
      </c>
      <c r="M9827">
        <v>1.6704000000000001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159</v>
      </c>
      <c r="E9828" t="s">
        <v>24</v>
      </c>
      <c r="F9828">
        <v>90805</v>
      </c>
      <c r="G9828" t="s">
        <v>25</v>
      </c>
      <c r="H9828" t="s">
        <v>19</v>
      </c>
      <c r="I9828" t="s">
        <v>21</v>
      </c>
      <c r="J9828">
        <v>483.13600000000002</v>
      </c>
      <c r="K9828">
        <v>4</v>
      </c>
      <c r="L9828">
        <v>0.2</v>
      </c>
      <c r="M9828">
        <v>60.392000000000003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26</v>
      </c>
      <c r="I9829" t="s">
        <v>27</v>
      </c>
      <c r="J9829">
        <v>15.936</v>
      </c>
      <c r="K9829">
        <v>4</v>
      </c>
      <c r="L9829">
        <v>0.2</v>
      </c>
      <c r="M9829">
        <v>5.1791999999999998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19</v>
      </c>
      <c r="I9830" t="s">
        <v>33</v>
      </c>
      <c r="J9830">
        <v>61.543999999999997</v>
      </c>
      <c r="K9830">
        <v>7</v>
      </c>
      <c r="L9830">
        <v>0.6</v>
      </c>
      <c r="M9830">
        <v>-40.003599999999999</v>
      </c>
    </row>
    <row r="9831" spans="1:13" x14ac:dyDescent="0.3">
      <c r="A9831" t="s">
        <v>62</v>
      </c>
      <c r="B9831" t="s">
        <v>14</v>
      </c>
      <c r="C9831" t="s">
        <v>15</v>
      </c>
      <c r="D9831" t="s">
        <v>87</v>
      </c>
      <c r="E9831" t="s">
        <v>65</v>
      </c>
      <c r="F9831">
        <v>62521</v>
      </c>
      <c r="G9831" t="s">
        <v>47</v>
      </c>
      <c r="H9831" t="s">
        <v>26</v>
      </c>
      <c r="I9831" t="s">
        <v>32</v>
      </c>
      <c r="J9831">
        <v>132.696</v>
      </c>
      <c r="K9831">
        <v>3</v>
      </c>
      <c r="L9831">
        <v>0.2</v>
      </c>
      <c r="M9831">
        <v>9.9521999999999995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26</v>
      </c>
      <c r="I9832" t="s">
        <v>38</v>
      </c>
      <c r="J9832">
        <v>43.1</v>
      </c>
      <c r="K9832">
        <v>5</v>
      </c>
      <c r="L9832">
        <v>0</v>
      </c>
      <c r="M9832">
        <v>11.206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19</v>
      </c>
      <c r="I9833" t="s">
        <v>33</v>
      </c>
      <c r="J9833">
        <v>511.5</v>
      </c>
      <c r="K9833">
        <v>5</v>
      </c>
      <c r="L9833">
        <v>0</v>
      </c>
      <c r="M9833">
        <v>132.99</v>
      </c>
    </row>
    <row r="9834" spans="1:13" x14ac:dyDescent="0.3">
      <c r="A9834" t="s">
        <v>13</v>
      </c>
      <c r="B9834" t="s">
        <v>44</v>
      </c>
      <c r="C9834" t="s">
        <v>15</v>
      </c>
      <c r="D9834" t="s">
        <v>23</v>
      </c>
      <c r="E9834" t="s">
        <v>24</v>
      </c>
      <c r="F9834">
        <v>90008</v>
      </c>
      <c r="G9834" t="s">
        <v>25</v>
      </c>
      <c r="H9834" t="s">
        <v>26</v>
      </c>
      <c r="I9834" t="s">
        <v>37</v>
      </c>
      <c r="J9834">
        <v>147.91999999999999</v>
      </c>
      <c r="K9834">
        <v>5</v>
      </c>
      <c r="L9834">
        <v>0.2</v>
      </c>
      <c r="M9834">
        <v>46.225000000000001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622</v>
      </c>
      <c r="E9835" t="s">
        <v>24</v>
      </c>
      <c r="F9835">
        <v>95240</v>
      </c>
      <c r="G9835" t="s">
        <v>25</v>
      </c>
      <c r="H9835" t="s">
        <v>26</v>
      </c>
      <c r="I9835" t="s">
        <v>34</v>
      </c>
      <c r="J9835">
        <v>39.68</v>
      </c>
      <c r="K9835">
        <v>2</v>
      </c>
      <c r="L9835">
        <v>0</v>
      </c>
      <c r="M9835">
        <v>16.268799999999999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19</v>
      </c>
      <c r="I9836" t="s">
        <v>33</v>
      </c>
      <c r="J9836">
        <v>12.56</v>
      </c>
      <c r="K9836">
        <v>2</v>
      </c>
      <c r="L9836">
        <v>0</v>
      </c>
      <c r="M9836">
        <v>4.0191999999999997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37</v>
      </c>
      <c r="J9837">
        <v>90.48</v>
      </c>
      <c r="K9837">
        <v>3</v>
      </c>
      <c r="L9837">
        <v>0.2</v>
      </c>
      <c r="M9837">
        <v>33.93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26</v>
      </c>
      <c r="I9838" t="s">
        <v>41</v>
      </c>
      <c r="J9838">
        <v>13.08</v>
      </c>
      <c r="K9838">
        <v>2</v>
      </c>
      <c r="L9838">
        <v>0</v>
      </c>
      <c r="M9838">
        <v>6.0167999999999999</v>
      </c>
    </row>
    <row r="9839" spans="1:13" x14ac:dyDescent="0.3">
      <c r="A9839" t="s">
        <v>28</v>
      </c>
      <c r="B9839" t="s">
        <v>22</v>
      </c>
      <c r="C9839" t="s">
        <v>15</v>
      </c>
      <c r="D9839" t="s">
        <v>75</v>
      </c>
      <c r="E9839" t="s">
        <v>76</v>
      </c>
      <c r="F9839">
        <v>10009</v>
      </c>
      <c r="G9839" t="s">
        <v>57</v>
      </c>
      <c r="H9839" t="s">
        <v>19</v>
      </c>
      <c r="I9839" t="s">
        <v>33</v>
      </c>
      <c r="J9839">
        <v>214.7</v>
      </c>
      <c r="K9839">
        <v>5</v>
      </c>
      <c r="L9839">
        <v>0</v>
      </c>
      <c r="M9839">
        <v>83.733000000000004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19</v>
      </c>
      <c r="I9840" t="s">
        <v>33</v>
      </c>
      <c r="J9840">
        <v>50.32</v>
      </c>
      <c r="K9840">
        <v>4</v>
      </c>
      <c r="L9840">
        <v>0</v>
      </c>
      <c r="M9840">
        <v>21.134399999999999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52</v>
      </c>
      <c r="E9841" t="s">
        <v>24</v>
      </c>
      <c r="F9841">
        <v>94109</v>
      </c>
      <c r="G9841" t="s">
        <v>25</v>
      </c>
      <c r="H9841" t="s">
        <v>26</v>
      </c>
      <c r="I9841" t="s">
        <v>41</v>
      </c>
      <c r="J9841">
        <v>24.56</v>
      </c>
      <c r="K9841">
        <v>2</v>
      </c>
      <c r="L9841">
        <v>0</v>
      </c>
      <c r="M9841">
        <v>11.543200000000001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103</v>
      </c>
      <c r="E9842" t="s">
        <v>167</v>
      </c>
      <c r="F9842">
        <v>31907</v>
      </c>
      <c r="G9842" t="s">
        <v>18</v>
      </c>
      <c r="H9842" t="s">
        <v>26</v>
      </c>
      <c r="I9842" t="s">
        <v>41</v>
      </c>
      <c r="J9842">
        <v>43.68</v>
      </c>
      <c r="K9842">
        <v>6</v>
      </c>
      <c r="L9842">
        <v>0</v>
      </c>
      <c r="M9842">
        <v>20.9664</v>
      </c>
    </row>
    <row r="9843" spans="1:13" x14ac:dyDescent="0.3">
      <c r="A9843" t="s">
        <v>28</v>
      </c>
      <c r="B9843" t="s">
        <v>22</v>
      </c>
      <c r="C9843" t="s">
        <v>15</v>
      </c>
      <c r="D9843" t="s">
        <v>42</v>
      </c>
      <c r="E9843" t="s">
        <v>43</v>
      </c>
      <c r="F9843">
        <v>98103</v>
      </c>
      <c r="G9843" t="s">
        <v>25</v>
      </c>
      <c r="H9843" t="s">
        <v>19</v>
      </c>
      <c r="I9843" t="s">
        <v>31</v>
      </c>
      <c r="J9843">
        <v>3393.68</v>
      </c>
      <c r="K9843">
        <v>8</v>
      </c>
      <c r="L9843">
        <v>0</v>
      </c>
      <c r="M9843">
        <v>610.86239999999998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32</v>
      </c>
      <c r="J9844">
        <v>67.400000000000006</v>
      </c>
      <c r="K9844">
        <v>5</v>
      </c>
      <c r="L9844">
        <v>0</v>
      </c>
      <c r="M9844">
        <v>17.524000000000001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26</v>
      </c>
      <c r="I9845" t="s">
        <v>77</v>
      </c>
      <c r="J9845">
        <v>2.52</v>
      </c>
      <c r="K9845">
        <v>2</v>
      </c>
      <c r="L9845">
        <v>0</v>
      </c>
      <c r="M9845">
        <v>0.1008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35</v>
      </c>
      <c r="I9846" t="s">
        <v>36</v>
      </c>
      <c r="J9846">
        <v>67.8</v>
      </c>
      <c r="K9846">
        <v>4</v>
      </c>
      <c r="L9846">
        <v>0</v>
      </c>
      <c r="M9846">
        <v>1.3560000000000001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26</v>
      </c>
      <c r="I9847" t="s">
        <v>32</v>
      </c>
      <c r="J9847">
        <v>18.760000000000002</v>
      </c>
      <c r="K9847">
        <v>2</v>
      </c>
      <c r="L9847">
        <v>0</v>
      </c>
      <c r="M9847">
        <v>5.2527999999999997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35</v>
      </c>
      <c r="I9848" t="s">
        <v>59</v>
      </c>
      <c r="J9848">
        <v>12.12</v>
      </c>
      <c r="K9848">
        <v>4</v>
      </c>
      <c r="L9848">
        <v>0</v>
      </c>
      <c r="M9848">
        <v>2.5451999999999999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26</v>
      </c>
      <c r="I9849" t="s">
        <v>41</v>
      </c>
      <c r="J9849">
        <v>11.34</v>
      </c>
      <c r="K9849">
        <v>1</v>
      </c>
      <c r="L9849">
        <v>0</v>
      </c>
      <c r="M9849">
        <v>5.5566000000000004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35</v>
      </c>
      <c r="I9850" t="s">
        <v>59</v>
      </c>
      <c r="J9850">
        <v>159.80000000000001</v>
      </c>
      <c r="K9850">
        <v>4</v>
      </c>
      <c r="L9850">
        <v>0</v>
      </c>
      <c r="M9850">
        <v>70.311999999999998</v>
      </c>
    </row>
    <row r="9851" spans="1:13" x14ac:dyDescent="0.3">
      <c r="A9851" t="s">
        <v>28</v>
      </c>
      <c r="B9851" t="s">
        <v>44</v>
      </c>
      <c r="C9851" t="s">
        <v>15</v>
      </c>
      <c r="D9851" t="s">
        <v>182</v>
      </c>
      <c r="E9851" t="s">
        <v>74</v>
      </c>
      <c r="F9851">
        <v>47374</v>
      </c>
      <c r="G9851" t="s">
        <v>47</v>
      </c>
      <c r="H9851" t="s">
        <v>19</v>
      </c>
      <c r="I9851" t="s">
        <v>33</v>
      </c>
      <c r="J9851">
        <v>18.96</v>
      </c>
      <c r="K9851">
        <v>2</v>
      </c>
      <c r="L9851">
        <v>0</v>
      </c>
      <c r="M9851">
        <v>8.532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32</v>
      </c>
      <c r="J9852">
        <v>1085.42</v>
      </c>
      <c r="K9852">
        <v>7</v>
      </c>
      <c r="L9852">
        <v>0</v>
      </c>
      <c r="M9852">
        <v>282.20920000000001</v>
      </c>
    </row>
    <row r="9853" spans="1:13" x14ac:dyDescent="0.3">
      <c r="A9853" t="s">
        <v>13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38</v>
      </c>
      <c r="J9853">
        <v>13.11</v>
      </c>
      <c r="K9853">
        <v>3</v>
      </c>
      <c r="L9853">
        <v>0</v>
      </c>
      <c r="M9853">
        <v>3.4085999999999999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19</v>
      </c>
      <c r="I9854" t="s">
        <v>33</v>
      </c>
      <c r="J9854">
        <v>68.703999999999994</v>
      </c>
      <c r="K9854">
        <v>2</v>
      </c>
      <c r="L9854">
        <v>0.2</v>
      </c>
      <c r="M9854">
        <v>16.3172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3.1320000000000001</v>
      </c>
      <c r="K9855">
        <v>2</v>
      </c>
      <c r="L9855">
        <v>0.7</v>
      </c>
      <c r="M9855">
        <v>-2.61</v>
      </c>
    </row>
    <row r="9856" spans="1:13" x14ac:dyDescent="0.3">
      <c r="A9856" t="s">
        <v>62</v>
      </c>
      <c r="B9856" t="s">
        <v>22</v>
      </c>
      <c r="C9856" t="s">
        <v>15</v>
      </c>
      <c r="D9856" t="s">
        <v>623</v>
      </c>
      <c r="E9856" t="s">
        <v>104</v>
      </c>
      <c r="F9856">
        <v>45040</v>
      </c>
      <c r="G9856" t="s">
        <v>57</v>
      </c>
      <c r="H9856" t="s">
        <v>26</v>
      </c>
      <c r="I9856" t="s">
        <v>37</v>
      </c>
      <c r="J9856">
        <v>22.428000000000001</v>
      </c>
      <c r="K9856">
        <v>3</v>
      </c>
      <c r="L9856">
        <v>0.7</v>
      </c>
      <c r="M9856">
        <v>-17.942399999999999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32</v>
      </c>
      <c r="J9857">
        <v>290.33600000000001</v>
      </c>
      <c r="K9857">
        <v>2</v>
      </c>
      <c r="L9857">
        <v>0.2</v>
      </c>
      <c r="M9857">
        <v>32.662799999999997</v>
      </c>
    </row>
    <row r="9858" spans="1:13" x14ac:dyDescent="0.3">
      <c r="A9858" t="s">
        <v>168</v>
      </c>
      <c r="B9858" t="s">
        <v>14</v>
      </c>
      <c r="C9858" t="s">
        <v>15</v>
      </c>
      <c r="D9858" t="s">
        <v>79</v>
      </c>
      <c r="E9858" t="s">
        <v>65</v>
      </c>
      <c r="F9858">
        <v>60623</v>
      </c>
      <c r="G9858" t="s">
        <v>47</v>
      </c>
      <c r="H9858" t="s">
        <v>26</v>
      </c>
      <c r="I9858" t="s">
        <v>34</v>
      </c>
      <c r="J9858">
        <v>19.152000000000001</v>
      </c>
      <c r="K9858">
        <v>2</v>
      </c>
      <c r="L9858">
        <v>0.2</v>
      </c>
      <c r="M9858">
        <v>1.1970000000000001</v>
      </c>
    </row>
    <row r="9859" spans="1:13" x14ac:dyDescent="0.3">
      <c r="A9859" t="s">
        <v>28</v>
      </c>
      <c r="B9859" t="s">
        <v>44</v>
      </c>
      <c r="C9859" t="s">
        <v>15</v>
      </c>
      <c r="D9859" t="s">
        <v>75</v>
      </c>
      <c r="E9859" t="s">
        <v>76</v>
      </c>
      <c r="F9859">
        <v>10024</v>
      </c>
      <c r="G9859" t="s">
        <v>57</v>
      </c>
      <c r="H9859" t="s">
        <v>26</v>
      </c>
      <c r="I9859" t="s">
        <v>41</v>
      </c>
      <c r="J9859">
        <v>6.48</v>
      </c>
      <c r="K9859">
        <v>1</v>
      </c>
      <c r="L9859">
        <v>0</v>
      </c>
      <c r="M9859">
        <v>3.1103999999999998</v>
      </c>
    </row>
    <row r="9860" spans="1:13" x14ac:dyDescent="0.3">
      <c r="A9860" t="s">
        <v>13</v>
      </c>
      <c r="B9860" t="s">
        <v>44</v>
      </c>
      <c r="C9860" t="s">
        <v>15</v>
      </c>
      <c r="D9860" t="s">
        <v>300</v>
      </c>
      <c r="E9860" t="s">
        <v>104</v>
      </c>
      <c r="F9860">
        <v>44134</v>
      </c>
      <c r="G9860" t="s">
        <v>57</v>
      </c>
      <c r="H9860" t="s">
        <v>26</v>
      </c>
      <c r="I9860" t="s">
        <v>60</v>
      </c>
      <c r="J9860">
        <v>63.968000000000004</v>
      </c>
      <c r="K9860">
        <v>2</v>
      </c>
      <c r="L9860">
        <v>0.2</v>
      </c>
      <c r="M9860">
        <v>19.989999999999998</v>
      </c>
    </row>
    <row r="9861" spans="1:13" x14ac:dyDescent="0.3">
      <c r="A9861" t="s">
        <v>28</v>
      </c>
      <c r="B9861" t="s">
        <v>14</v>
      </c>
      <c r="C9861" t="s">
        <v>15</v>
      </c>
      <c r="D9861" t="s">
        <v>75</v>
      </c>
      <c r="E9861" t="s">
        <v>76</v>
      </c>
      <c r="F9861">
        <v>10035</v>
      </c>
      <c r="G9861" t="s">
        <v>57</v>
      </c>
      <c r="H9861" t="s">
        <v>26</v>
      </c>
      <c r="I9861" t="s">
        <v>110</v>
      </c>
      <c r="J9861">
        <v>6.36</v>
      </c>
      <c r="K9861">
        <v>2</v>
      </c>
      <c r="L9861">
        <v>0</v>
      </c>
      <c r="M9861">
        <v>6.3600000000000004E-2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32</v>
      </c>
      <c r="J9862">
        <v>848.54399999999998</v>
      </c>
      <c r="K9862">
        <v>4</v>
      </c>
      <c r="L9862">
        <v>0.2</v>
      </c>
      <c r="M9862">
        <v>-21.2136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26</v>
      </c>
      <c r="I9863" t="s">
        <v>37</v>
      </c>
      <c r="J9863">
        <v>8.6999999999999993</v>
      </c>
      <c r="K9863">
        <v>5</v>
      </c>
      <c r="L9863">
        <v>0.7</v>
      </c>
      <c r="M9863">
        <v>-6.38</v>
      </c>
    </row>
    <row r="9864" spans="1:13" x14ac:dyDescent="0.3">
      <c r="A9864" t="s">
        <v>62</v>
      </c>
      <c r="B9864" t="s">
        <v>44</v>
      </c>
      <c r="C9864" t="s">
        <v>15</v>
      </c>
      <c r="D9864" t="s">
        <v>221</v>
      </c>
      <c r="E9864" t="s">
        <v>104</v>
      </c>
      <c r="F9864">
        <v>44105</v>
      </c>
      <c r="G9864" t="s">
        <v>57</v>
      </c>
      <c r="H9864" t="s">
        <v>35</v>
      </c>
      <c r="I9864" t="s">
        <v>36</v>
      </c>
      <c r="J9864">
        <v>122.38200000000001</v>
      </c>
      <c r="K9864">
        <v>3</v>
      </c>
      <c r="L9864">
        <v>0.4</v>
      </c>
      <c r="M9864">
        <v>-24.476400000000002</v>
      </c>
    </row>
    <row r="9865" spans="1:13" x14ac:dyDescent="0.3">
      <c r="A9865" t="s">
        <v>28</v>
      </c>
      <c r="B9865" t="s">
        <v>14</v>
      </c>
      <c r="C9865" t="s">
        <v>15</v>
      </c>
      <c r="D9865" t="s">
        <v>75</v>
      </c>
      <c r="E9865" t="s">
        <v>76</v>
      </c>
      <c r="F9865">
        <v>10035</v>
      </c>
      <c r="G9865" t="s">
        <v>57</v>
      </c>
      <c r="H9865" t="s">
        <v>19</v>
      </c>
      <c r="I9865" t="s">
        <v>21</v>
      </c>
      <c r="J9865">
        <v>573.17399999999998</v>
      </c>
      <c r="K9865">
        <v>7</v>
      </c>
      <c r="L9865">
        <v>0.1</v>
      </c>
      <c r="M9865">
        <v>63.686</v>
      </c>
    </row>
    <row r="9866" spans="1:13" x14ac:dyDescent="0.3">
      <c r="A9866" t="s">
        <v>62</v>
      </c>
      <c r="B9866" t="s">
        <v>44</v>
      </c>
      <c r="C9866" t="s">
        <v>15</v>
      </c>
      <c r="D9866" t="s">
        <v>221</v>
      </c>
      <c r="E9866" t="s">
        <v>104</v>
      </c>
      <c r="F9866">
        <v>44105</v>
      </c>
      <c r="G9866" t="s">
        <v>57</v>
      </c>
      <c r="H9866" t="s">
        <v>26</v>
      </c>
      <c r="I9866" t="s">
        <v>41</v>
      </c>
      <c r="J9866">
        <v>85.055999999999997</v>
      </c>
      <c r="K9866">
        <v>3</v>
      </c>
      <c r="L9866">
        <v>0.2</v>
      </c>
      <c r="M9866">
        <v>28.706399999999999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26</v>
      </c>
      <c r="I9867" t="s">
        <v>37</v>
      </c>
      <c r="J9867">
        <v>14.04</v>
      </c>
      <c r="K9867">
        <v>3</v>
      </c>
      <c r="L9867">
        <v>0</v>
      </c>
      <c r="M9867">
        <v>6.7392000000000003</v>
      </c>
    </row>
    <row r="9868" spans="1:13" x14ac:dyDescent="0.3">
      <c r="A9868" t="s">
        <v>62</v>
      </c>
      <c r="B9868" t="s">
        <v>14</v>
      </c>
      <c r="C9868" t="s">
        <v>15</v>
      </c>
      <c r="D9868" t="s">
        <v>407</v>
      </c>
      <c r="E9868" t="s">
        <v>167</v>
      </c>
      <c r="F9868">
        <v>30188</v>
      </c>
      <c r="G9868" t="s">
        <v>18</v>
      </c>
      <c r="H9868" t="s">
        <v>35</v>
      </c>
      <c r="I9868" t="s">
        <v>59</v>
      </c>
      <c r="J9868">
        <v>272.61</v>
      </c>
      <c r="K9868">
        <v>13</v>
      </c>
      <c r="L9868">
        <v>0</v>
      </c>
      <c r="M9868">
        <v>98.139600000000002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26</v>
      </c>
      <c r="I9869" t="s">
        <v>60</v>
      </c>
      <c r="J9869">
        <v>11.16</v>
      </c>
      <c r="K9869">
        <v>2</v>
      </c>
      <c r="L9869">
        <v>0</v>
      </c>
      <c r="M9869">
        <v>5.58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62.31</v>
      </c>
      <c r="K9870">
        <v>3</v>
      </c>
      <c r="L9870">
        <v>0</v>
      </c>
      <c r="M9870">
        <v>22.4316</v>
      </c>
    </row>
    <row r="9871" spans="1:13" x14ac:dyDescent="0.3">
      <c r="A9871" t="s">
        <v>28</v>
      </c>
      <c r="B9871" t="s">
        <v>22</v>
      </c>
      <c r="C9871" t="s">
        <v>15</v>
      </c>
      <c r="D9871" t="s">
        <v>23</v>
      </c>
      <c r="E9871" t="s">
        <v>24</v>
      </c>
      <c r="F9871">
        <v>90008</v>
      </c>
      <c r="G9871" t="s">
        <v>25</v>
      </c>
      <c r="H9871" t="s">
        <v>35</v>
      </c>
      <c r="I9871" t="s">
        <v>59</v>
      </c>
      <c r="J9871">
        <v>159.97999999999999</v>
      </c>
      <c r="K9871">
        <v>2</v>
      </c>
      <c r="L9871">
        <v>0</v>
      </c>
      <c r="M9871">
        <v>57.592799999999997</v>
      </c>
    </row>
    <row r="9872" spans="1:13" x14ac:dyDescent="0.3">
      <c r="A9872" t="s">
        <v>28</v>
      </c>
      <c r="B9872" t="s">
        <v>14</v>
      </c>
      <c r="C9872" t="s">
        <v>15</v>
      </c>
      <c r="D9872" t="s">
        <v>325</v>
      </c>
      <c r="E9872" t="s">
        <v>74</v>
      </c>
      <c r="F9872">
        <v>47905</v>
      </c>
      <c r="G9872" t="s">
        <v>47</v>
      </c>
      <c r="H9872" t="s">
        <v>26</v>
      </c>
      <c r="I9872" t="s">
        <v>77</v>
      </c>
      <c r="J9872">
        <v>5.94</v>
      </c>
      <c r="K9872">
        <v>3</v>
      </c>
      <c r="L9872">
        <v>0</v>
      </c>
      <c r="M9872">
        <v>0</v>
      </c>
    </row>
    <row r="9873" spans="1:13" x14ac:dyDescent="0.3">
      <c r="A9873" t="s">
        <v>62</v>
      </c>
      <c r="B9873" t="s">
        <v>14</v>
      </c>
      <c r="C9873" t="s">
        <v>15</v>
      </c>
      <c r="D9873" t="s">
        <v>75</v>
      </c>
      <c r="E9873" t="s">
        <v>76</v>
      </c>
      <c r="F9873">
        <v>10024</v>
      </c>
      <c r="G9873" t="s">
        <v>57</v>
      </c>
      <c r="H9873" t="s">
        <v>26</v>
      </c>
      <c r="I9873" t="s">
        <v>41</v>
      </c>
      <c r="J9873">
        <v>9.9600000000000009</v>
      </c>
      <c r="K9873">
        <v>2</v>
      </c>
      <c r="L9873">
        <v>0</v>
      </c>
      <c r="M9873">
        <v>4.6811999999999996</v>
      </c>
    </row>
    <row r="9874" spans="1:13" x14ac:dyDescent="0.3">
      <c r="A9874" t="s">
        <v>28</v>
      </c>
      <c r="B9874" t="s">
        <v>14</v>
      </c>
      <c r="C9874" t="s">
        <v>15</v>
      </c>
      <c r="D9874" t="s">
        <v>547</v>
      </c>
      <c r="E9874" t="s">
        <v>76</v>
      </c>
      <c r="F9874">
        <v>13501</v>
      </c>
      <c r="G9874" t="s">
        <v>57</v>
      </c>
      <c r="H9874" t="s">
        <v>35</v>
      </c>
      <c r="I9874" t="s">
        <v>59</v>
      </c>
      <c r="J9874">
        <v>79.989999999999995</v>
      </c>
      <c r="K9874">
        <v>1</v>
      </c>
      <c r="L9874">
        <v>0</v>
      </c>
      <c r="M9874">
        <v>28.796399999999998</v>
      </c>
    </row>
    <row r="9875" spans="1:13" x14ac:dyDescent="0.3">
      <c r="A9875" t="s">
        <v>62</v>
      </c>
      <c r="B9875" t="s">
        <v>22</v>
      </c>
      <c r="C9875" t="s">
        <v>15</v>
      </c>
      <c r="D9875" t="s">
        <v>154</v>
      </c>
      <c r="E9875" t="s">
        <v>132</v>
      </c>
      <c r="F9875">
        <v>8701</v>
      </c>
      <c r="G9875" t="s">
        <v>57</v>
      </c>
      <c r="H9875" t="s">
        <v>26</v>
      </c>
      <c r="I9875" t="s">
        <v>34</v>
      </c>
      <c r="J9875">
        <v>8.94</v>
      </c>
      <c r="K9875">
        <v>3</v>
      </c>
      <c r="L9875">
        <v>0</v>
      </c>
      <c r="M9875">
        <v>2.4138000000000002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26</v>
      </c>
      <c r="I9876" t="s">
        <v>41</v>
      </c>
      <c r="J9876">
        <v>20.62</v>
      </c>
      <c r="K9876">
        <v>2</v>
      </c>
      <c r="L9876">
        <v>0</v>
      </c>
      <c r="M9876">
        <v>9.6913999999999998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59</v>
      </c>
      <c r="J9877">
        <v>124.25</v>
      </c>
      <c r="K9877">
        <v>7</v>
      </c>
      <c r="L9877">
        <v>0</v>
      </c>
      <c r="M9877">
        <v>48.457500000000003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35</v>
      </c>
      <c r="I9878" t="s">
        <v>36</v>
      </c>
      <c r="J9878">
        <v>297.55</v>
      </c>
      <c r="K9878">
        <v>5</v>
      </c>
      <c r="L9878">
        <v>0</v>
      </c>
      <c r="M9878">
        <v>83.313999999999993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21</v>
      </c>
      <c r="J9879">
        <v>403.56</v>
      </c>
      <c r="K9879">
        <v>4</v>
      </c>
      <c r="L9879">
        <v>0</v>
      </c>
      <c r="M9879">
        <v>96.854399999999998</v>
      </c>
    </row>
    <row r="9880" spans="1:13" x14ac:dyDescent="0.3">
      <c r="A9880" t="s">
        <v>13</v>
      </c>
      <c r="B9880" t="s">
        <v>22</v>
      </c>
      <c r="C9880" t="s">
        <v>15</v>
      </c>
      <c r="D9880" t="s">
        <v>241</v>
      </c>
      <c r="E9880" t="s">
        <v>49</v>
      </c>
      <c r="F9880">
        <v>53209</v>
      </c>
      <c r="G9880" t="s">
        <v>47</v>
      </c>
      <c r="H9880" t="s">
        <v>19</v>
      </c>
      <c r="I9880" t="s">
        <v>33</v>
      </c>
      <c r="J9880">
        <v>95.2</v>
      </c>
      <c r="K9880">
        <v>5</v>
      </c>
      <c r="L9880">
        <v>0</v>
      </c>
      <c r="M9880">
        <v>27.608000000000001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79</v>
      </c>
      <c r="E9881" t="s">
        <v>65</v>
      </c>
      <c r="F9881">
        <v>60623</v>
      </c>
      <c r="G9881" t="s">
        <v>47</v>
      </c>
      <c r="H9881" t="s">
        <v>35</v>
      </c>
      <c r="I9881" t="s">
        <v>59</v>
      </c>
      <c r="J9881">
        <v>153.82400000000001</v>
      </c>
      <c r="K9881">
        <v>11</v>
      </c>
      <c r="L9881">
        <v>0.2</v>
      </c>
      <c r="M9881">
        <v>38.456000000000003</v>
      </c>
    </row>
    <row r="9882" spans="1:13" x14ac:dyDescent="0.3">
      <c r="A9882" t="s">
        <v>13</v>
      </c>
      <c r="B9882" t="s">
        <v>14</v>
      </c>
      <c r="C9882" t="s">
        <v>15</v>
      </c>
      <c r="D9882" t="s">
        <v>79</v>
      </c>
      <c r="E9882" t="s">
        <v>65</v>
      </c>
      <c r="F9882">
        <v>60653</v>
      </c>
      <c r="G9882" t="s">
        <v>47</v>
      </c>
      <c r="H9882" t="s">
        <v>26</v>
      </c>
      <c r="I9882" t="s">
        <v>41</v>
      </c>
      <c r="J9882">
        <v>62.015999999999998</v>
      </c>
      <c r="K9882">
        <v>2</v>
      </c>
      <c r="L9882">
        <v>0.2</v>
      </c>
      <c r="M9882">
        <v>22.480799999999999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466.32</v>
      </c>
      <c r="K9883">
        <v>3</v>
      </c>
      <c r="L9883">
        <v>0.2</v>
      </c>
      <c r="M9883">
        <v>34.973999999999997</v>
      </c>
    </row>
    <row r="9884" spans="1:13" x14ac:dyDescent="0.3">
      <c r="A9884" t="s">
        <v>28</v>
      </c>
      <c r="B9884" t="s">
        <v>14</v>
      </c>
      <c r="C9884" t="s">
        <v>15</v>
      </c>
      <c r="D9884" t="s">
        <v>126</v>
      </c>
      <c r="E9884" t="s">
        <v>104</v>
      </c>
      <c r="F9884">
        <v>45014</v>
      </c>
      <c r="G9884" t="s">
        <v>57</v>
      </c>
      <c r="H9884" t="s">
        <v>19</v>
      </c>
      <c r="I9884" t="s">
        <v>33</v>
      </c>
      <c r="J9884">
        <v>82.64</v>
      </c>
      <c r="K9884">
        <v>2</v>
      </c>
      <c r="L9884">
        <v>0.2</v>
      </c>
      <c r="M9884">
        <v>0</v>
      </c>
    </row>
    <row r="9885" spans="1:13" x14ac:dyDescent="0.3">
      <c r="A9885" t="s">
        <v>28</v>
      </c>
      <c r="B9885" t="s">
        <v>44</v>
      </c>
      <c r="C9885" t="s">
        <v>15</v>
      </c>
      <c r="D9885" t="s">
        <v>82</v>
      </c>
      <c r="E9885" t="s">
        <v>104</v>
      </c>
      <c r="F9885">
        <v>45503</v>
      </c>
      <c r="G9885" t="s">
        <v>57</v>
      </c>
      <c r="H9885" t="s">
        <v>19</v>
      </c>
      <c r="I9885" t="s">
        <v>31</v>
      </c>
      <c r="J9885">
        <v>330.58800000000002</v>
      </c>
      <c r="K9885">
        <v>1</v>
      </c>
      <c r="L9885">
        <v>0.4</v>
      </c>
      <c r="M9885">
        <v>-143.25479999999999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26</v>
      </c>
      <c r="I9886" t="s">
        <v>32</v>
      </c>
      <c r="J9886">
        <v>237.096</v>
      </c>
      <c r="K9886">
        <v>3</v>
      </c>
      <c r="L9886">
        <v>0.2</v>
      </c>
      <c r="M9886">
        <v>20.745899999999999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19</v>
      </c>
      <c r="I9887" t="s">
        <v>33</v>
      </c>
      <c r="J9887">
        <v>22.751999999999999</v>
      </c>
      <c r="K9887">
        <v>3</v>
      </c>
      <c r="L9887">
        <v>0.2</v>
      </c>
      <c r="M9887">
        <v>7.11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183</v>
      </c>
      <c r="E9888" t="s">
        <v>98</v>
      </c>
      <c r="F9888">
        <v>80027</v>
      </c>
      <c r="G9888" t="s">
        <v>25</v>
      </c>
      <c r="H9888" t="s">
        <v>26</v>
      </c>
      <c r="I9888" t="s">
        <v>41</v>
      </c>
      <c r="J9888">
        <v>6.6719999999999997</v>
      </c>
      <c r="K9888">
        <v>1</v>
      </c>
      <c r="L9888">
        <v>0.2</v>
      </c>
      <c r="M9888">
        <v>2.085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19</v>
      </c>
      <c r="I9889" t="s">
        <v>33</v>
      </c>
      <c r="J9889">
        <v>25.128</v>
      </c>
      <c r="K9889">
        <v>3</v>
      </c>
      <c r="L9889">
        <v>0.6</v>
      </c>
      <c r="M9889">
        <v>-6.9101999999999997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323</v>
      </c>
      <c r="E9890" t="s">
        <v>46</v>
      </c>
      <c r="F9890">
        <v>75007</v>
      </c>
      <c r="G9890" t="s">
        <v>47</v>
      </c>
      <c r="H9890" t="s">
        <v>35</v>
      </c>
      <c r="I9890" t="s">
        <v>59</v>
      </c>
      <c r="J9890">
        <v>127.98399999999999</v>
      </c>
      <c r="K9890">
        <v>2</v>
      </c>
      <c r="L9890">
        <v>0.2</v>
      </c>
      <c r="M9890">
        <v>25.596800000000002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19</v>
      </c>
      <c r="I9891" t="s">
        <v>33</v>
      </c>
      <c r="J9891">
        <v>131.88</v>
      </c>
      <c r="K9891">
        <v>7</v>
      </c>
      <c r="L9891">
        <v>0</v>
      </c>
      <c r="M9891">
        <v>55.389600000000002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26</v>
      </c>
      <c r="I9892" t="s">
        <v>37</v>
      </c>
      <c r="J9892">
        <v>25.032</v>
      </c>
      <c r="K9892">
        <v>3</v>
      </c>
      <c r="L9892">
        <v>0.2</v>
      </c>
      <c r="M9892">
        <v>7.8224999999999998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21</v>
      </c>
      <c r="J9893">
        <v>717.72</v>
      </c>
      <c r="K9893">
        <v>3</v>
      </c>
      <c r="L9893">
        <v>0.2</v>
      </c>
      <c r="M9893">
        <v>71.772000000000006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207.35</v>
      </c>
      <c r="K9894">
        <v>5</v>
      </c>
      <c r="L9894">
        <v>0</v>
      </c>
      <c r="M9894">
        <v>24.882000000000001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19</v>
      </c>
      <c r="I9895" t="s">
        <v>33</v>
      </c>
      <c r="J9895">
        <v>44.67</v>
      </c>
      <c r="K9895">
        <v>3</v>
      </c>
      <c r="L9895">
        <v>0</v>
      </c>
      <c r="M9895">
        <v>12.0609</v>
      </c>
    </row>
    <row r="9896" spans="1:13" x14ac:dyDescent="0.3">
      <c r="A9896" t="s">
        <v>62</v>
      </c>
      <c r="B9896" t="s">
        <v>22</v>
      </c>
      <c r="C9896" t="s">
        <v>15</v>
      </c>
      <c r="D9896" t="s">
        <v>208</v>
      </c>
      <c r="E9896" t="s">
        <v>24</v>
      </c>
      <c r="F9896">
        <v>92804</v>
      </c>
      <c r="G9896" t="s">
        <v>25</v>
      </c>
      <c r="H9896" t="s">
        <v>26</v>
      </c>
      <c r="I9896" t="s">
        <v>41</v>
      </c>
      <c r="J9896">
        <v>209.7</v>
      </c>
      <c r="K9896">
        <v>2</v>
      </c>
      <c r="L9896">
        <v>0</v>
      </c>
      <c r="M9896">
        <v>100.65600000000001</v>
      </c>
    </row>
    <row r="9897" spans="1:13" x14ac:dyDescent="0.3">
      <c r="A9897" t="s">
        <v>28</v>
      </c>
      <c r="B9897" t="s">
        <v>22</v>
      </c>
      <c r="C9897" t="s">
        <v>15</v>
      </c>
      <c r="D9897" t="s">
        <v>182</v>
      </c>
      <c r="E9897" t="s">
        <v>17</v>
      </c>
      <c r="F9897">
        <v>40475</v>
      </c>
      <c r="G9897" t="s">
        <v>18</v>
      </c>
      <c r="H9897" t="s">
        <v>26</v>
      </c>
      <c r="I9897" t="s">
        <v>37</v>
      </c>
      <c r="J9897">
        <v>115.36</v>
      </c>
      <c r="K9897">
        <v>7</v>
      </c>
      <c r="L9897">
        <v>0</v>
      </c>
      <c r="M9897">
        <v>56.526400000000002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19</v>
      </c>
      <c r="I9898" t="s">
        <v>21</v>
      </c>
      <c r="J9898">
        <v>362.13600000000002</v>
      </c>
      <c r="K9898">
        <v>3</v>
      </c>
      <c r="L9898">
        <v>0.2</v>
      </c>
      <c r="M9898">
        <v>-54.320399999999999</v>
      </c>
    </row>
    <row r="9899" spans="1:13" x14ac:dyDescent="0.3">
      <c r="A9899" t="s">
        <v>62</v>
      </c>
      <c r="B9899" t="s">
        <v>22</v>
      </c>
      <c r="C9899" t="s">
        <v>15</v>
      </c>
      <c r="D9899" t="s">
        <v>534</v>
      </c>
      <c r="E9899" t="s">
        <v>24</v>
      </c>
      <c r="F9899">
        <v>93101</v>
      </c>
      <c r="G9899" t="s">
        <v>25</v>
      </c>
      <c r="H9899" t="s">
        <v>26</v>
      </c>
      <c r="I9899" t="s">
        <v>27</v>
      </c>
      <c r="J9899">
        <v>31.05</v>
      </c>
      <c r="K9899">
        <v>3</v>
      </c>
      <c r="L9899">
        <v>0</v>
      </c>
      <c r="M9899">
        <v>14.904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12.96</v>
      </c>
      <c r="K9900">
        <v>2</v>
      </c>
      <c r="L9900">
        <v>0</v>
      </c>
      <c r="M9900">
        <v>6.2207999999999997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41</v>
      </c>
      <c r="J9901">
        <v>94.85</v>
      </c>
      <c r="K9901">
        <v>5</v>
      </c>
      <c r="L9901">
        <v>0</v>
      </c>
      <c r="M9901">
        <v>45.527999999999999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26</v>
      </c>
      <c r="I9902" t="s">
        <v>32</v>
      </c>
      <c r="J9902">
        <v>13.48</v>
      </c>
      <c r="K9902">
        <v>1</v>
      </c>
      <c r="L9902">
        <v>0</v>
      </c>
      <c r="M9902">
        <v>3.5047999999999999</v>
      </c>
    </row>
    <row r="9903" spans="1:13" x14ac:dyDescent="0.3">
      <c r="A9903" t="s">
        <v>13</v>
      </c>
      <c r="B9903" t="s">
        <v>14</v>
      </c>
      <c r="C9903" t="s">
        <v>15</v>
      </c>
      <c r="D9903" t="s">
        <v>378</v>
      </c>
      <c r="E9903" t="s">
        <v>102</v>
      </c>
      <c r="F9903">
        <v>52302</v>
      </c>
      <c r="G9903" t="s">
        <v>47</v>
      </c>
      <c r="H9903" t="s">
        <v>19</v>
      </c>
      <c r="I9903" t="s">
        <v>33</v>
      </c>
      <c r="J9903">
        <v>14.91</v>
      </c>
      <c r="K9903">
        <v>3</v>
      </c>
      <c r="L9903">
        <v>0</v>
      </c>
      <c r="M9903">
        <v>4.6220999999999997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75</v>
      </c>
      <c r="E9904" t="s">
        <v>76</v>
      </c>
      <c r="F9904">
        <v>10035</v>
      </c>
      <c r="G9904" t="s">
        <v>57</v>
      </c>
      <c r="H9904" t="s">
        <v>26</v>
      </c>
      <c r="I9904" t="s">
        <v>60</v>
      </c>
      <c r="J9904">
        <v>39.979999999999997</v>
      </c>
      <c r="K9904">
        <v>1</v>
      </c>
      <c r="L9904">
        <v>0</v>
      </c>
      <c r="M9904">
        <v>17.991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19</v>
      </c>
      <c r="I9905" t="s">
        <v>21</v>
      </c>
      <c r="J9905">
        <v>528.42999999999995</v>
      </c>
      <c r="K9905">
        <v>5</v>
      </c>
      <c r="L9905">
        <v>0.3</v>
      </c>
      <c r="M9905">
        <v>-143.43100000000001</v>
      </c>
    </row>
    <row r="9906" spans="1:13" x14ac:dyDescent="0.3">
      <c r="A9906" t="s">
        <v>28</v>
      </c>
      <c r="B9906" t="s">
        <v>22</v>
      </c>
      <c r="C9906" t="s">
        <v>15</v>
      </c>
      <c r="D9906" t="s">
        <v>611</v>
      </c>
      <c r="E9906" t="s">
        <v>46</v>
      </c>
      <c r="F9906">
        <v>77803</v>
      </c>
      <c r="G9906" t="s">
        <v>47</v>
      </c>
      <c r="H9906" t="s">
        <v>26</v>
      </c>
      <c r="I9906" t="s">
        <v>37</v>
      </c>
      <c r="J9906">
        <v>22.385999999999999</v>
      </c>
      <c r="K9906">
        <v>7</v>
      </c>
      <c r="L9906">
        <v>0.8</v>
      </c>
      <c r="M9906">
        <v>-35.817599999999999</v>
      </c>
    </row>
    <row r="9907" spans="1:13" x14ac:dyDescent="0.3">
      <c r="A9907" t="s">
        <v>28</v>
      </c>
      <c r="B9907" t="s">
        <v>44</v>
      </c>
      <c r="C9907" t="s">
        <v>15</v>
      </c>
      <c r="D9907" t="s">
        <v>133</v>
      </c>
      <c r="E9907" t="s">
        <v>104</v>
      </c>
      <c r="F9907">
        <v>44312</v>
      </c>
      <c r="G9907" t="s">
        <v>57</v>
      </c>
      <c r="H9907" t="s">
        <v>26</v>
      </c>
      <c r="I9907" t="s">
        <v>37</v>
      </c>
      <c r="J9907">
        <v>5.742</v>
      </c>
      <c r="K9907">
        <v>3</v>
      </c>
      <c r="L9907">
        <v>0.7</v>
      </c>
      <c r="M9907">
        <v>-4.5936000000000003</v>
      </c>
    </row>
    <row r="9908" spans="1:13" x14ac:dyDescent="0.3">
      <c r="A9908" t="s">
        <v>28</v>
      </c>
      <c r="B9908" t="s">
        <v>14</v>
      </c>
      <c r="C9908" t="s">
        <v>15</v>
      </c>
      <c r="D9908" t="s">
        <v>79</v>
      </c>
      <c r="E9908" t="s">
        <v>65</v>
      </c>
      <c r="F9908">
        <v>60653</v>
      </c>
      <c r="G9908" t="s">
        <v>47</v>
      </c>
      <c r="H9908" t="s">
        <v>35</v>
      </c>
      <c r="I9908" t="s">
        <v>59</v>
      </c>
      <c r="J9908">
        <v>191.96799999999999</v>
      </c>
      <c r="K9908">
        <v>4</v>
      </c>
      <c r="L9908">
        <v>0.2</v>
      </c>
      <c r="M9908">
        <v>28.795200000000001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37</v>
      </c>
      <c r="J9909">
        <v>49.847999999999999</v>
      </c>
      <c r="K9909">
        <v>3</v>
      </c>
      <c r="L9909">
        <v>0.2</v>
      </c>
      <c r="M9909">
        <v>16.823699999999999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60</v>
      </c>
      <c r="J9910">
        <v>23.99</v>
      </c>
      <c r="K9910">
        <v>1</v>
      </c>
      <c r="L9910">
        <v>0</v>
      </c>
      <c r="M9910">
        <v>11.994999999999999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26</v>
      </c>
      <c r="I9911" t="s">
        <v>37</v>
      </c>
      <c r="J9911">
        <v>1087.9359999999999</v>
      </c>
      <c r="K9911">
        <v>8</v>
      </c>
      <c r="L9911">
        <v>0.2</v>
      </c>
      <c r="M9911">
        <v>353.57920000000001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35</v>
      </c>
      <c r="I9912" t="s">
        <v>36</v>
      </c>
      <c r="J9912">
        <v>199.98</v>
      </c>
      <c r="K9912">
        <v>2</v>
      </c>
      <c r="L9912">
        <v>0</v>
      </c>
      <c r="M9912">
        <v>53.994599999999998</v>
      </c>
    </row>
    <row r="9913" spans="1:13" x14ac:dyDescent="0.3">
      <c r="A9913" t="s">
        <v>62</v>
      </c>
      <c r="B9913" t="s">
        <v>22</v>
      </c>
      <c r="C9913" t="s">
        <v>15</v>
      </c>
      <c r="D9913" t="s">
        <v>75</v>
      </c>
      <c r="E9913" t="s">
        <v>76</v>
      </c>
      <c r="F9913">
        <v>10035</v>
      </c>
      <c r="G9913" t="s">
        <v>57</v>
      </c>
      <c r="H9913" t="s">
        <v>26</v>
      </c>
      <c r="I9913" t="s">
        <v>32</v>
      </c>
      <c r="J9913">
        <v>83.92</v>
      </c>
      <c r="K9913">
        <v>4</v>
      </c>
      <c r="L9913">
        <v>0</v>
      </c>
      <c r="M9913">
        <v>20.140799999999999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19</v>
      </c>
      <c r="I9914" t="s">
        <v>33</v>
      </c>
      <c r="J9914">
        <v>24.27</v>
      </c>
      <c r="K9914">
        <v>3</v>
      </c>
      <c r="L9914">
        <v>0</v>
      </c>
      <c r="M9914">
        <v>8.7371999999999996</v>
      </c>
    </row>
    <row r="9915" spans="1:13" x14ac:dyDescent="0.3">
      <c r="A9915" t="s">
        <v>168</v>
      </c>
      <c r="B9915" t="s">
        <v>14</v>
      </c>
      <c r="C9915" t="s">
        <v>15</v>
      </c>
      <c r="D9915" t="s">
        <v>52</v>
      </c>
      <c r="E9915" t="s">
        <v>24</v>
      </c>
      <c r="F9915">
        <v>94122</v>
      </c>
      <c r="G9915" t="s">
        <v>25</v>
      </c>
      <c r="H9915" t="s">
        <v>35</v>
      </c>
      <c r="I9915" t="s">
        <v>162</v>
      </c>
      <c r="J9915">
        <v>2799.96</v>
      </c>
      <c r="K9915">
        <v>5</v>
      </c>
      <c r="L9915">
        <v>0.2</v>
      </c>
      <c r="M9915">
        <v>944.98649999999998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26</v>
      </c>
      <c r="I9916" t="s">
        <v>37</v>
      </c>
      <c r="J9916">
        <v>9.8719999999999999</v>
      </c>
      <c r="K9916">
        <v>2</v>
      </c>
      <c r="L9916">
        <v>0.2</v>
      </c>
      <c r="M9916">
        <v>3.4552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19</v>
      </c>
      <c r="I9917" t="s">
        <v>20</v>
      </c>
      <c r="J9917">
        <v>683.33199999999999</v>
      </c>
      <c r="K9917">
        <v>4</v>
      </c>
      <c r="L9917">
        <v>0.15</v>
      </c>
      <c r="M9917">
        <v>-40.195999999999998</v>
      </c>
    </row>
    <row r="9918" spans="1:13" x14ac:dyDescent="0.3">
      <c r="A9918" t="s">
        <v>28</v>
      </c>
      <c r="B9918" t="s">
        <v>14</v>
      </c>
      <c r="C9918" t="s">
        <v>15</v>
      </c>
      <c r="D9918" t="s">
        <v>358</v>
      </c>
      <c r="E9918" t="s">
        <v>24</v>
      </c>
      <c r="F9918">
        <v>92404</v>
      </c>
      <c r="G9918" t="s">
        <v>25</v>
      </c>
      <c r="H9918" t="s">
        <v>26</v>
      </c>
      <c r="I9918" t="s">
        <v>41</v>
      </c>
      <c r="J9918">
        <v>29.96</v>
      </c>
      <c r="K9918">
        <v>7</v>
      </c>
      <c r="L9918">
        <v>0</v>
      </c>
      <c r="M9918">
        <v>13.481999999999999</v>
      </c>
    </row>
    <row r="9919" spans="1:13" x14ac:dyDescent="0.3">
      <c r="A9919" t="s">
        <v>62</v>
      </c>
      <c r="B9919" t="s">
        <v>14</v>
      </c>
      <c r="C9919" t="s">
        <v>15</v>
      </c>
      <c r="D9919" t="s">
        <v>306</v>
      </c>
      <c r="E9919" t="s">
        <v>76</v>
      </c>
      <c r="F9919">
        <v>14304</v>
      </c>
      <c r="G9919" t="s">
        <v>57</v>
      </c>
      <c r="H9919" t="s">
        <v>35</v>
      </c>
      <c r="I9919" t="s">
        <v>36</v>
      </c>
      <c r="J9919">
        <v>164.85</v>
      </c>
      <c r="K9919">
        <v>3</v>
      </c>
      <c r="L9919">
        <v>0</v>
      </c>
      <c r="M9919">
        <v>47.8065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38</v>
      </c>
      <c r="J9920">
        <v>33.527999999999999</v>
      </c>
      <c r="K9920">
        <v>3</v>
      </c>
      <c r="L9920">
        <v>0.2</v>
      </c>
      <c r="M9920">
        <v>2.5146000000000002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55</v>
      </c>
      <c r="E9921" t="s">
        <v>56</v>
      </c>
      <c r="F9921">
        <v>19120</v>
      </c>
      <c r="G9921" t="s">
        <v>57</v>
      </c>
      <c r="H9921" t="s">
        <v>26</v>
      </c>
      <c r="I9921" t="s">
        <v>32</v>
      </c>
      <c r="J9921">
        <v>36.744</v>
      </c>
      <c r="K9921">
        <v>3</v>
      </c>
      <c r="L9921">
        <v>0.2</v>
      </c>
      <c r="M9921">
        <v>3.6743999999999999</v>
      </c>
    </row>
    <row r="9922" spans="1:13" x14ac:dyDescent="0.3">
      <c r="A9922" t="s">
        <v>28</v>
      </c>
      <c r="B9922" t="s">
        <v>14</v>
      </c>
      <c r="C9922" t="s">
        <v>15</v>
      </c>
      <c r="D9922" t="s">
        <v>485</v>
      </c>
      <c r="E9922" t="s">
        <v>179</v>
      </c>
      <c r="F9922">
        <v>2920</v>
      </c>
      <c r="G9922" t="s">
        <v>57</v>
      </c>
      <c r="H9922" t="s">
        <v>26</v>
      </c>
      <c r="I9922" t="s">
        <v>37</v>
      </c>
      <c r="J9922">
        <v>102.93</v>
      </c>
      <c r="K9922">
        <v>3</v>
      </c>
      <c r="L9922">
        <v>0</v>
      </c>
      <c r="M9922">
        <v>48.377099999999999</v>
      </c>
    </row>
    <row r="9923" spans="1:13" x14ac:dyDescent="0.3">
      <c r="A9923" t="s">
        <v>13</v>
      </c>
      <c r="B9923" t="s">
        <v>22</v>
      </c>
      <c r="C9923" t="s">
        <v>15</v>
      </c>
      <c r="D9923" t="s">
        <v>23</v>
      </c>
      <c r="E9923" t="s">
        <v>24</v>
      </c>
      <c r="F9923">
        <v>90049</v>
      </c>
      <c r="G9923" t="s">
        <v>25</v>
      </c>
      <c r="H9923" t="s">
        <v>19</v>
      </c>
      <c r="I9923" t="s">
        <v>31</v>
      </c>
      <c r="J9923">
        <v>71.087999999999994</v>
      </c>
      <c r="K9923">
        <v>2</v>
      </c>
      <c r="L9923">
        <v>0.2</v>
      </c>
      <c r="M9923">
        <v>-1.7771999999999999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19</v>
      </c>
      <c r="I9924" t="s">
        <v>33</v>
      </c>
      <c r="J9924">
        <v>60.35</v>
      </c>
      <c r="K9924">
        <v>5</v>
      </c>
      <c r="L9924">
        <v>0</v>
      </c>
      <c r="M9924">
        <v>19.915500000000002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110</v>
      </c>
      <c r="J9925">
        <v>35.520000000000003</v>
      </c>
      <c r="K9925">
        <v>4</v>
      </c>
      <c r="L9925">
        <v>0</v>
      </c>
      <c r="M9925">
        <v>9.9456000000000007</v>
      </c>
    </row>
    <row r="9926" spans="1:13" x14ac:dyDescent="0.3">
      <c r="A9926" t="s">
        <v>28</v>
      </c>
      <c r="B9926" t="s">
        <v>22</v>
      </c>
      <c r="C9926" t="s">
        <v>15</v>
      </c>
      <c r="D9926" t="s">
        <v>75</v>
      </c>
      <c r="E9926" t="s">
        <v>76</v>
      </c>
      <c r="F9926">
        <v>10009</v>
      </c>
      <c r="G9926" t="s">
        <v>57</v>
      </c>
      <c r="H9926" t="s">
        <v>26</v>
      </c>
      <c r="I9926" t="s">
        <v>34</v>
      </c>
      <c r="J9926">
        <v>11.2</v>
      </c>
      <c r="K9926">
        <v>7</v>
      </c>
      <c r="L9926">
        <v>0</v>
      </c>
      <c r="M9926">
        <v>4.8159999999999998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52</v>
      </c>
      <c r="E9927" t="s">
        <v>24</v>
      </c>
      <c r="F9927">
        <v>94122</v>
      </c>
      <c r="G9927" t="s">
        <v>25</v>
      </c>
      <c r="H9927" t="s">
        <v>35</v>
      </c>
      <c r="I9927" t="s">
        <v>59</v>
      </c>
      <c r="J9927">
        <v>223.58</v>
      </c>
      <c r="K9927">
        <v>14</v>
      </c>
      <c r="L9927">
        <v>0</v>
      </c>
      <c r="M9927">
        <v>87.196200000000005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32</v>
      </c>
      <c r="J9928">
        <v>998.82</v>
      </c>
      <c r="K9928">
        <v>9</v>
      </c>
      <c r="L9928">
        <v>0</v>
      </c>
      <c r="M9928">
        <v>29.964600000000001</v>
      </c>
    </row>
    <row r="9929" spans="1:13" x14ac:dyDescent="0.3">
      <c r="A9929" t="s">
        <v>28</v>
      </c>
      <c r="B9929" t="s">
        <v>14</v>
      </c>
      <c r="C9929" t="s">
        <v>15</v>
      </c>
      <c r="D9929" t="s">
        <v>208</v>
      </c>
      <c r="E9929" t="s">
        <v>24</v>
      </c>
      <c r="F9929">
        <v>92804</v>
      </c>
      <c r="G9929" t="s">
        <v>25</v>
      </c>
      <c r="H9929" t="s">
        <v>26</v>
      </c>
      <c r="I9929" t="s">
        <v>110</v>
      </c>
      <c r="J9929">
        <v>51.15</v>
      </c>
      <c r="K9929">
        <v>5</v>
      </c>
      <c r="L9929">
        <v>0</v>
      </c>
      <c r="M9929">
        <v>13.298999999999999</v>
      </c>
    </row>
    <row r="9930" spans="1:13" x14ac:dyDescent="0.3">
      <c r="A9930" t="s">
        <v>13</v>
      </c>
      <c r="B9930" t="s">
        <v>44</v>
      </c>
      <c r="C9930" t="s">
        <v>15</v>
      </c>
      <c r="D9930" t="s">
        <v>42</v>
      </c>
      <c r="E9930" t="s">
        <v>43</v>
      </c>
      <c r="F9930">
        <v>98103</v>
      </c>
      <c r="G9930" t="s">
        <v>25</v>
      </c>
      <c r="H9930" t="s">
        <v>26</v>
      </c>
      <c r="I9930" t="s">
        <v>32</v>
      </c>
      <c r="J9930">
        <v>40.74</v>
      </c>
      <c r="K9930">
        <v>3</v>
      </c>
      <c r="L9930">
        <v>0</v>
      </c>
      <c r="M9930">
        <v>0.40739999999999998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26</v>
      </c>
      <c r="I9931" t="s">
        <v>41</v>
      </c>
      <c r="J9931">
        <v>3.4239999999999999</v>
      </c>
      <c r="K9931">
        <v>1</v>
      </c>
      <c r="L9931">
        <v>0.2</v>
      </c>
      <c r="M9931">
        <v>1.07</v>
      </c>
    </row>
    <row r="9932" spans="1:13" x14ac:dyDescent="0.3">
      <c r="A9932" t="s">
        <v>28</v>
      </c>
      <c r="B9932" t="s">
        <v>22</v>
      </c>
      <c r="C9932" t="s">
        <v>15</v>
      </c>
      <c r="D9932" t="s">
        <v>55</v>
      </c>
      <c r="E9932" t="s">
        <v>56</v>
      </c>
      <c r="F9932">
        <v>19120</v>
      </c>
      <c r="G9932" t="s">
        <v>57</v>
      </c>
      <c r="H9932" t="s">
        <v>35</v>
      </c>
      <c r="I9932" t="s">
        <v>59</v>
      </c>
      <c r="J9932">
        <v>151.19999999999999</v>
      </c>
      <c r="K9932">
        <v>3</v>
      </c>
      <c r="L9932">
        <v>0.2</v>
      </c>
      <c r="M9932">
        <v>32.130000000000003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19</v>
      </c>
      <c r="I9933" t="s">
        <v>21</v>
      </c>
      <c r="J9933">
        <v>1925.88</v>
      </c>
      <c r="K9933">
        <v>6</v>
      </c>
      <c r="L9933">
        <v>0</v>
      </c>
      <c r="M9933">
        <v>539.24639999999999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26</v>
      </c>
      <c r="I9934" t="s">
        <v>38</v>
      </c>
      <c r="J9934">
        <v>2405.1999999999998</v>
      </c>
      <c r="K9934">
        <v>8</v>
      </c>
      <c r="L9934">
        <v>0</v>
      </c>
      <c r="M9934">
        <v>793.71600000000001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83.97</v>
      </c>
      <c r="K9935">
        <v>3</v>
      </c>
      <c r="L9935">
        <v>0</v>
      </c>
      <c r="M9935">
        <v>15.9543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35</v>
      </c>
      <c r="I9936" t="s">
        <v>59</v>
      </c>
      <c r="J9936">
        <v>39.89</v>
      </c>
      <c r="K9936">
        <v>1</v>
      </c>
      <c r="L9936">
        <v>0</v>
      </c>
      <c r="M9936">
        <v>14.7593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330</v>
      </c>
      <c r="E9937" t="s">
        <v>74</v>
      </c>
      <c r="F9937">
        <v>46203</v>
      </c>
      <c r="G9937" t="s">
        <v>47</v>
      </c>
      <c r="H9937" t="s">
        <v>26</v>
      </c>
      <c r="I9937" t="s">
        <v>37</v>
      </c>
      <c r="J9937">
        <v>17.38</v>
      </c>
      <c r="K9937">
        <v>2</v>
      </c>
      <c r="L9937">
        <v>0</v>
      </c>
      <c r="M9937">
        <v>8.69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37</v>
      </c>
      <c r="J9938">
        <v>55.264000000000003</v>
      </c>
      <c r="K9938">
        <v>2</v>
      </c>
      <c r="L9938">
        <v>0.2</v>
      </c>
      <c r="M9938">
        <v>20.724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41</v>
      </c>
      <c r="J9939">
        <v>6.48</v>
      </c>
      <c r="K9939">
        <v>1</v>
      </c>
      <c r="L9939">
        <v>0</v>
      </c>
      <c r="M9939">
        <v>3.1103999999999998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26</v>
      </c>
      <c r="I9940" t="s">
        <v>37</v>
      </c>
      <c r="J9940">
        <v>34.247999999999998</v>
      </c>
      <c r="K9940">
        <v>3</v>
      </c>
      <c r="L9940">
        <v>0.2</v>
      </c>
      <c r="M9940">
        <v>11.5587</v>
      </c>
    </row>
    <row r="9941" spans="1:13" x14ac:dyDescent="0.3">
      <c r="A9941" t="s">
        <v>13</v>
      </c>
      <c r="B9941" t="s">
        <v>22</v>
      </c>
      <c r="C9941" t="s">
        <v>15</v>
      </c>
      <c r="D9941" t="s">
        <v>23</v>
      </c>
      <c r="E9941" t="s">
        <v>24</v>
      </c>
      <c r="F9941">
        <v>90045</v>
      </c>
      <c r="G9941" t="s">
        <v>25</v>
      </c>
      <c r="H9941" t="s">
        <v>19</v>
      </c>
      <c r="I9941" t="s">
        <v>31</v>
      </c>
      <c r="J9941">
        <v>273.56799999999998</v>
      </c>
      <c r="K9941">
        <v>2</v>
      </c>
      <c r="L9941">
        <v>0.2</v>
      </c>
      <c r="M9941">
        <v>10.258800000000001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46.35</v>
      </c>
      <c r="K9942">
        <v>5</v>
      </c>
      <c r="L9942">
        <v>0</v>
      </c>
      <c r="M9942">
        <v>21.784500000000001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41</v>
      </c>
      <c r="J9943">
        <v>223.92</v>
      </c>
      <c r="K9943">
        <v>4</v>
      </c>
      <c r="L9943">
        <v>0</v>
      </c>
      <c r="M9943">
        <v>109.7208</v>
      </c>
    </row>
    <row r="9944" spans="1:13" x14ac:dyDescent="0.3">
      <c r="A9944" t="s">
        <v>28</v>
      </c>
      <c r="B9944" t="s">
        <v>44</v>
      </c>
      <c r="C9944" t="s">
        <v>15</v>
      </c>
      <c r="D9944" t="s">
        <v>187</v>
      </c>
      <c r="E9944" t="s">
        <v>76</v>
      </c>
      <c r="F9944">
        <v>10801</v>
      </c>
      <c r="G9944" t="s">
        <v>57</v>
      </c>
      <c r="H9944" t="s">
        <v>26</v>
      </c>
      <c r="I9944" t="s">
        <v>110</v>
      </c>
      <c r="J9944">
        <v>7.3</v>
      </c>
      <c r="K9944">
        <v>2</v>
      </c>
      <c r="L9944">
        <v>0</v>
      </c>
      <c r="M9944">
        <v>2.19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523</v>
      </c>
      <c r="E9945" t="s">
        <v>81</v>
      </c>
      <c r="F9945">
        <v>85224</v>
      </c>
      <c r="G9945" t="s">
        <v>25</v>
      </c>
      <c r="H9945" t="s">
        <v>26</v>
      </c>
      <c r="I9945" t="s">
        <v>34</v>
      </c>
      <c r="J9945">
        <v>9.3439999999999994</v>
      </c>
      <c r="K9945">
        <v>2</v>
      </c>
      <c r="L9945">
        <v>0.2</v>
      </c>
      <c r="M9945">
        <v>1.8688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242</v>
      </c>
      <c r="E9946" t="s">
        <v>17</v>
      </c>
      <c r="F9946">
        <v>41042</v>
      </c>
      <c r="G9946" t="s">
        <v>18</v>
      </c>
      <c r="H9946" t="s">
        <v>35</v>
      </c>
      <c r="I9946" t="s">
        <v>59</v>
      </c>
      <c r="J9946">
        <v>18</v>
      </c>
      <c r="K9946">
        <v>1</v>
      </c>
      <c r="L9946">
        <v>0</v>
      </c>
      <c r="M9946">
        <v>3.24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26</v>
      </c>
      <c r="I9947" t="s">
        <v>41</v>
      </c>
      <c r="J9947">
        <v>65.584000000000003</v>
      </c>
      <c r="K9947">
        <v>2</v>
      </c>
      <c r="L9947">
        <v>0.2</v>
      </c>
      <c r="M9947">
        <v>23.7742</v>
      </c>
    </row>
    <row r="9948" spans="1:13" x14ac:dyDescent="0.3">
      <c r="A9948" t="s">
        <v>62</v>
      </c>
      <c r="B9948" t="s">
        <v>44</v>
      </c>
      <c r="C9948" t="s">
        <v>15</v>
      </c>
      <c r="D9948" t="s">
        <v>61</v>
      </c>
      <c r="E9948" t="s">
        <v>46</v>
      </c>
      <c r="F9948">
        <v>77041</v>
      </c>
      <c r="G9948" t="s">
        <v>47</v>
      </c>
      <c r="H9948" t="s">
        <v>19</v>
      </c>
      <c r="I9948" t="s">
        <v>20</v>
      </c>
      <c r="J9948">
        <v>383.46559999999999</v>
      </c>
      <c r="K9948">
        <v>4</v>
      </c>
      <c r="L9948">
        <v>0.32</v>
      </c>
      <c r="M9948">
        <v>-67.670400000000001</v>
      </c>
    </row>
    <row r="9949" spans="1:13" x14ac:dyDescent="0.3">
      <c r="A9949" t="s">
        <v>168</v>
      </c>
      <c r="B9949" t="s">
        <v>14</v>
      </c>
      <c r="C9949" t="s">
        <v>15</v>
      </c>
      <c r="D9949" t="s">
        <v>55</v>
      </c>
      <c r="E9949" t="s">
        <v>56</v>
      </c>
      <c r="F9949">
        <v>19140</v>
      </c>
      <c r="G9949" t="s">
        <v>57</v>
      </c>
      <c r="H9949" t="s">
        <v>26</v>
      </c>
      <c r="I9949" t="s">
        <v>41</v>
      </c>
      <c r="J9949">
        <v>10.368</v>
      </c>
      <c r="K9949">
        <v>2</v>
      </c>
      <c r="L9949">
        <v>0.2</v>
      </c>
      <c r="M9949">
        <v>3.6288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19</v>
      </c>
      <c r="I9950" t="s">
        <v>33</v>
      </c>
      <c r="J9950">
        <v>13.4</v>
      </c>
      <c r="K9950">
        <v>1</v>
      </c>
      <c r="L9950">
        <v>0</v>
      </c>
      <c r="M9950">
        <v>6.4320000000000004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41</v>
      </c>
      <c r="J9951">
        <v>4.9800000000000004</v>
      </c>
      <c r="K9951">
        <v>1</v>
      </c>
      <c r="L9951">
        <v>0</v>
      </c>
      <c r="M9951">
        <v>2.3405999999999998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114</v>
      </c>
      <c r="E9952" t="s">
        <v>72</v>
      </c>
      <c r="F9952">
        <v>19711</v>
      </c>
      <c r="G9952" t="s">
        <v>57</v>
      </c>
      <c r="H9952" t="s">
        <v>26</v>
      </c>
      <c r="I9952" t="s">
        <v>60</v>
      </c>
      <c r="J9952">
        <v>109.69</v>
      </c>
      <c r="K9952">
        <v>7</v>
      </c>
      <c r="L9952">
        <v>0</v>
      </c>
      <c r="M9952">
        <v>51.554299999999998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40.200000000000003</v>
      </c>
      <c r="K9953">
        <v>5</v>
      </c>
      <c r="L9953">
        <v>0</v>
      </c>
      <c r="M9953">
        <v>18.09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37</v>
      </c>
      <c r="J9954">
        <v>735.98</v>
      </c>
      <c r="K9954">
        <v>2</v>
      </c>
      <c r="L9954">
        <v>0</v>
      </c>
      <c r="M9954">
        <v>331.19099999999997</v>
      </c>
    </row>
    <row r="9955" spans="1:13" x14ac:dyDescent="0.3">
      <c r="A9955" t="s">
        <v>28</v>
      </c>
      <c r="B9955" t="s">
        <v>14</v>
      </c>
      <c r="C9955" t="s">
        <v>15</v>
      </c>
      <c r="D9955" t="s">
        <v>218</v>
      </c>
      <c r="E9955" t="s">
        <v>132</v>
      </c>
      <c r="F9955">
        <v>7060</v>
      </c>
      <c r="G9955" t="s">
        <v>57</v>
      </c>
      <c r="H9955" t="s">
        <v>26</v>
      </c>
      <c r="I9955" t="s">
        <v>38</v>
      </c>
      <c r="J9955">
        <v>22.75</v>
      </c>
      <c r="K9955">
        <v>7</v>
      </c>
      <c r="L9955">
        <v>0</v>
      </c>
      <c r="M9955">
        <v>6.5975000000000001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37</v>
      </c>
      <c r="J9956">
        <v>119.56</v>
      </c>
      <c r="K9956">
        <v>2</v>
      </c>
      <c r="L9956">
        <v>0</v>
      </c>
      <c r="M9956">
        <v>54.997599999999998</v>
      </c>
    </row>
    <row r="9957" spans="1:13" x14ac:dyDescent="0.3">
      <c r="A9957" t="s">
        <v>28</v>
      </c>
      <c r="B9957" t="s">
        <v>44</v>
      </c>
      <c r="C9957" t="s">
        <v>15</v>
      </c>
      <c r="D9957" t="s">
        <v>299</v>
      </c>
      <c r="E9957" t="s">
        <v>167</v>
      </c>
      <c r="F9957">
        <v>30080</v>
      </c>
      <c r="G9957" t="s">
        <v>18</v>
      </c>
      <c r="H9957" t="s">
        <v>26</v>
      </c>
      <c r="I9957" t="s">
        <v>34</v>
      </c>
      <c r="J9957">
        <v>140.75</v>
      </c>
      <c r="K9957">
        <v>5</v>
      </c>
      <c r="L9957">
        <v>0</v>
      </c>
      <c r="M9957">
        <v>42.225000000000001</v>
      </c>
    </row>
    <row r="9958" spans="1:13" x14ac:dyDescent="0.3">
      <c r="A9958" t="s">
        <v>28</v>
      </c>
      <c r="B9958" t="s">
        <v>14</v>
      </c>
      <c r="C9958" t="s">
        <v>15</v>
      </c>
      <c r="D9958" t="s">
        <v>61</v>
      </c>
      <c r="E9958" t="s">
        <v>46</v>
      </c>
      <c r="F9958">
        <v>77041</v>
      </c>
      <c r="G9958" t="s">
        <v>47</v>
      </c>
      <c r="H9958" t="s">
        <v>26</v>
      </c>
      <c r="I9958" t="s">
        <v>60</v>
      </c>
      <c r="J9958">
        <v>99.567999999999998</v>
      </c>
      <c r="K9958">
        <v>2</v>
      </c>
      <c r="L9958">
        <v>0.2</v>
      </c>
      <c r="M9958">
        <v>33.604199999999999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35</v>
      </c>
      <c r="I9959" t="s">
        <v>36</v>
      </c>
      <c r="J9959">
        <v>271.95999999999998</v>
      </c>
      <c r="K9959">
        <v>5</v>
      </c>
      <c r="L9959">
        <v>0.2</v>
      </c>
      <c r="M9959">
        <v>27.196000000000002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34</v>
      </c>
      <c r="J9960">
        <v>18.690000000000001</v>
      </c>
      <c r="K9960">
        <v>7</v>
      </c>
      <c r="L9960">
        <v>0</v>
      </c>
      <c r="M9960">
        <v>5.2332000000000001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26</v>
      </c>
      <c r="I9961" t="s">
        <v>41</v>
      </c>
      <c r="J9961">
        <v>13.36</v>
      </c>
      <c r="K9961">
        <v>2</v>
      </c>
      <c r="L9961">
        <v>0</v>
      </c>
      <c r="M9961">
        <v>6.4127999999999998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35</v>
      </c>
      <c r="I9962" t="s">
        <v>36</v>
      </c>
      <c r="J9962">
        <v>249.584</v>
      </c>
      <c r="K9962">
        <v>2</v>
      </c>
      <c r="L9962">
        <v>0.2</v>
      </c>
      <c r="M9962">
        <v>31.198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77</v>
      </c>
      <c r="J9963">
        <v>13.86</v>
      </c>
      <c r="K9963">
        <v>7</v>
      </c>
      <c r="L9963">
        <v>0</v>
      </c>
      <c r="M9963">
        <v>0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13.375999999999999</v>
      </c>
      <c r="K9964">
        <v>4</v>
      </c>
      <c r="L9964">
        <v>0.2</v>
      </c>
      <c r="M9964">
        <v>4.6816000000000004</v>
      </c>
    </row>
    <row r="9965" spans="1:13" x14ac:dyDescent="0.3">
      <c r="A9965" t="s">
        <v>28</v>
      </c>
      <c r="B9965" t="s">
        <v>44</v>
      </c>
      <c r="C9965" t="s">
        <v>15</v>
      </c>
      <c r="D9965" t="s">
        <v>23</v>
      </c>
      <c r="E9965" t="s">
        <v>24</v>
      </c>
      <c r="F9965">
        <v>90032</v>
      </c>
      <c r="G9965" t="s">
        <v>25</v>
      </c>
      <c r="H9965" t="s">
        <v>26</v>
      </c>
      <c r="I9965" t="s">
        <v>37</v>
      </c>
      <c r="J9965">
        <v>437.47199999999998</v>
      </c>
      <c r="K9965">
        <v>14</v>
      </c>
      <c r="L9965">
        <v>0.2</v>
      </c>
      <c r="M9965">
        <v>153.11519999999999</v>
      </c>
    </row>
    <row r="9966" spans="1:13" x14ac:dyDescent="0.3">
      <c r="A9966" t="s">
        <v>13</v>
      </c>
      <c r="B9966" t="s">
        <v>14</v>
      </c>
      <c r="C9966" t="s">
        <v>15</v>
      </c>
      <c r="D9966" t="s">
        <v>325</v>
      </c>
      <c r="E9966" t="s">
        <v>125</v>
      </c>
      <c r="F9966">
        <v>70506</v>
      </c>
      <c r="G9966" t="s">
        <v>18</v>
      </c>
      <c r="H9966" t="s">
        <v>19</v>
      </c>
      <c r="I9966" t="s">
        <v>31</v>
      </c>
      <c r="J9966">
        <v>85.98</v>
      </c>
      <c r="K9966">
        <v>1</v>
      </c>
      <c r="L9966">
        <v>0</v>
      </c>
      <c r="M9966">
        <v>22.354800000000001</v>
      </c>
    </row>
    <row r="9967" spans="1:13" x14ac:dyDescent="0.3">
      <c r="A9967" t="s">
        <v>62</v>
      </c>
      <c r="B9967" t="s">
        <v>14</v>
      </c>
      <c r="C9967" t="s">
        <v>15</v>
      </c>
      <c r="D9967" t="s">
        <v>126</v>
      </c>
      <c r="E9967" t="s">
        <v>104</v>
      </c>
      <c r="F9967">
        <v>45014</v>
      </c>
      <c r="G9967" t="s">
        <v>57</v>
      </c>
      <c r="H9967" t="s">
        <v>26</v>
      </c>
      <c r="I9967" t="s">
        <v>27</v>
      </c>
      <c r="J9967">
        <v>16.52</v>
      </c>
      <c r="K9967">
        <v>5</v>
      </c>
      <c r="L9967">
        <v>0.2</v>
      </c>
      <c r="M9967">
        <v>5.3689999999999998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26</v>
      </c>
      <c r="I9968" t="s">
        <v>41</v>
      </c>
      <c r="J9968">
        <v>35.56</v>
      </c>
      <c r="K9968">
        <v>7</v>
      </c>
      <c r="L9968">
        <v>0</v>
      </c>
      <c r="M9968">
        <v>16.713200000000001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444</v>
      </c>
      <c r="E9969" t="s">
        <v>70</v>
      </c>
      <c r="F9969">
        <v>49505</v>
      </c>
      <c r="G9969" t="s">
        <v>47</v>
      </c>
      <c r="H9969" t="s">
        <v>35</v>
      </c>
      <c r="I9969" t="s">
        <v>36</v>
      </c>
      <c r="J9969">
        <v>97.98</v>
      </c>
      <c r="K9969">
        <v>2</v>
      </c>
      <c r="L9969">
        <v>0</v>
      </c>
      <c r="M9969">
        <v>27.4344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27</v>
      </c>
      <c r="J9970">
        <v>31.5</v>
      </c>
      <c r="K9970">
        <v>10</v>
      </c>
      <c r="L9970">
        <v>0</v>
      </c>
      <c r="M9970">
        <v>15.12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159</v>
      </c>
      <c r="E9971" t="s">
        <v>76</v>
      </c>
      <c r="F9971">
        <v>11561</v>
      </c>
      <c r="G9971" t="s">
        <v>57</v>
      </c>
      <c r="H9971" t="s">
        <v>26</v>
      </c>
      <c r="I9971" t="s">
        <v>110</v>
      </c>
      <c r="J9971">
        <v>55.6</v>
      </c>
      <c r="K9971">
        <v>4</v>
      </c>
      <c r="L9971">
        <v>0</v>
      </c>
      <c r="M9971">
        <v>16.123999999999999</v>
      </c>
    </row>
    <row r="9972" spans="1:13" x14ac:dyDescent="0.3">
      <c r="A9972" t="s">
        <v>28</v>
      </c>
      <c r="B9972" t="s">
        <v>14</v>
      </c>
      <c r="C9972" t="s">
        <v>15</v>
      </c>
      <c r="D9972" t="s">
        <v>23</v>
      </c>
      <c r="E9972" t="s">
        <v>24</v>
      </c>
      <c r="F9972">
        <v>90008</v>
      </c>
      <c r="G9972" t="s">
        <v>25</v>
      </c>
      <c r="H9972" t="s">
        <v>35</v>
      </c>
      <c r="I9972" t="s">
        <v>59</v>
      </c>
      <c r="J9972">
        <v>36.24</v>
      </c>
      <c r="K9972">
        <v>1</v>
      </c>
      <c r="L9972">
        <v>0</v>
      </c>
      <c r="M9972">
        <v>15.220800000000001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59</v>
      </c>
      <c r="J9973">
        <v>79.989999999999995</v>
      </c>
      <c r="K9973">
        <v>1</v>
      </c>
      <c r="L9973">
        <v>0</v>
      </c>
      <c r="M9973">
        <v>28.796399999999998</v>
      </c>
    </row>
    <row r="9974" spans="1:13" x14ac:dyDescent="0.3">
      <c r="A9974" t="s">
        <v>28</v>
      </c>
      <c r="B9974" t="s">
        <v>22</v>
      </c>
      <c r="C9974" t="s">
        <v>15</v>
      </c>
      <c r="D9974" t="s">
        <v>508</v>
      </c>
      <c r="E9974" t="s">
        <v>167</v>
      </c>
      <c r="F9974">
        <v>30605</v>
      </c>
      <c r="G9974" t="s">
        <v>18</v>
      </c>
      <c r="H9974" t="s">
        <v>35</v>
      </c>
      <c r="I9974" t="s">
        <v>36</v>
      </c>
      <c r="J9974">
        <v>206.1</v>
      </c>
      <c r="K9974">
        <v>5</v>
      </c>
      <c r="L9974">
        <v>0</v>
      </c>
      <c r="M9974">
        <v>55.646999999999998</v>
      </c>
    </row>
    <row r="9975" spans="1:13" x14ac:dyDescent="0.3">
      <c r="A9975" t="s">
        <v>13</v>
      </c>
      <c r="B9975" t="s">
        <v>14</v>
      </c>
      <c r="C9975" t="s">
        <v>15</v>
      </c>
      <c r="D9975" t="s">
        <v>180</v>
      </c>
      <c r="E9975" t="s">
        <v>30</v>
      </c>
      <c r="F9975">
        <v>33180</v>
      </c>
      <c r="G9975" t="s">
        <v>18</v>
      </c>
      <c r="H9975" t="s">
        <v>19</v>
      </c>
      <c r="I9975" t="s">
        <v>33</v>
      </c>
      <c r="J9975">
        <v>25.248000000000001</v>
      </c>
      <c r="K9975">
        <v>3</v>
      </c>
      <c r="L9975">
        <v>0.2</v>
      </c>
      <c r="M9975">
        <v>4.1028000000000002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19</v>
      </c>
      <c r="I9976" t="s">
        <v>33</v>
      </c>
      <c r="J9976">
        <v>91.96</v>
      </c>
      <c r="K9976">
        <v>2</v>
      </c>
      <c r="L9976">
        <v>0</v>
      </c>
      <c r="M9976">
        <v>15.6332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35</v>
      </c>
      <c r="I9977" t="s">
        <v>36</v>
      </c>
      <c r="J9977">
        <v>258.57600000000002</v>
      </c>
      <c r="K9977">
        <v>2</v>
      </c>
      <c r="L9977">
        <v>0.2</v>
      </c>
      <c r="M9977">
        <v>19.3932</v>
      </c>
    </row>
    <row r="9978" spans="1:13" x14ac:dyDescent="0.3">
      <c r="A9978" t="s">
        <v>28</v>
      </c>
      <c r="B9978" t="s">
        <v>14</v>
      </c>
      <c r="C9978" t="s">
        <v>15</v>
      </c>
      <c r="D9978" t="s">
        <v>198</v>
      </c>
      <c r="E9978" t="s">
        <v>24</v>
      </c>
      <c r="F9978">
        <v>92627</v>
      </c>
      <c r="G9978" t="s">
        <v>25</v>
      </c>
      <c r="H9978" t="s">
        <v>26</v>
      </c>
      <c r="I9978" t="s">
        <v>41</v>
      </c>
      <c r="J9978">
        <v>29.6</v>
      </c>
      <c r="K9978">
        <v>4</v>
      </c>
      <c r="L9978">
        <v>0</v>
      </c>
      <c r="M9978">
        <v>13.32</v>
      </c>
    </row>
    <row r="9979" spans="1:13" x14ac:dyDescent="0.3">
      <c r="A9979" t="s">
        <v>13</v>
      </c>
      <c r="B9979" t="s">
        <v>14</v>
      </c>
      <c r="C9979" t="s">
        <v>15</v>
      </c>
      <c r="D9979" t="s">
        <v>308</v>
      </c>
      <c r="E9979" t="s">
        <v>24</v>
      </c>
      <c r="F9979">
        <v>92683</v>
      </c>
      <c r="G9979" t="s">
        <v>25</v>
      </c>
      <c r="H9979" t="s">
        <v>26</v>
      </c>
      <c r="I9979" t="s">
        <v>38</v>
      </c>
      <c r="J9979">
        <v>243.16</v>
      </c>
      <c r="K9979">
        <v>2</v>
      </c>
      <c r="L9979">
        <v>0</v>
      </c>
      <c r="M9979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pane ySplit="5" topLeftCell="A6" activePane="bottomLeft" state="frozen"/>
      <selection pane="bottomLeft" activeCell="B14" sqref="B14"/>
    </sheetView>
  </sheetViews>
  <sheetFormatPr defaultRowHeight="14.4" x14ac:dyDescent="0.3"/>
  <cols>
    <col min="1" max="1" width="24" customWidth="1"/>
    <col min="2" max="2" width="28" customWidth="1"/>
    <col min="3" max="3" width="30" customWidth="1"/>
    <col min="4" max="4" width="18" customWidth="1"/>
  </cols>
  <sheetData>
    <row r="1" spans="1:13" x14ac:dyDescent="0.3">
      <c r="A1" s="13" t="s">
        <v>624</v>
      </c>
      <c r="B1" s="14"/>
      <c r="C1" s="14"/>
      <c r="D1" s="14"/>
    </row>
    <row r="2" spans="1:13" x14ac:dyDescent="0.3">
      <c r="A2" s="15" t="s">
        <v>625</v>
      </c>
      <c r="B2" s="14"/>
      <c r="C2" s="14"/>
      <c r="D2" s="14"/>
    </row>
    <row r="3" spans="1:13" x14ac:dyDescent="0.3">
      <c r="A3" s="1"/>
      <c r="B3" s="1"/>
      <c r="C3" s="1"/>
      <c r="D3" s="1"/>
    </row>
    <row r="4" spans="1:13" x14ac:dyDescent="0.3">
      <c r="A4" s="1" t="s">
        <v>626</v>
      </c>
      <c r="B4" s="1" t="s">
        <v>627</v>
      </c>
      <c r="C4" s="1" t="s">
        <v>628</v>
      </c>
      <c r="D4" s="1">
        <f>COUNT(Sales_Data!J2:J9978)</f>
        <v>9976</v>
      </c>
      <c r="E4" s="16" t="s">
        <v>657</v>
      </c>
      <c r="F4" s="16"/>
      <c r="G4" s="16"/>
      <c r="H4" s="16" t="s">
        <v>658</v>
      </c>
      <c r="I4" s="16"/>
      <c r="J4" s="16"/>
      <c r="K4" s="16" t="s">
        <v>659</v>
      </c>
      <c r="L4" s="16"/>
      <c r="M4" s="16"/>
    </row>
    <row r="5" spans="1:13" x14ac:dyDescent="0.3">
      <c r="A5" s="1"/>
      <c r="B5" s="1"/>
      <c r="C5" s="1"/>
      <c r="D5" s="1"/>
      <c r="E5" s="17">
        <f>SUM(Sales_Data!J:J)</f>
        <v>2296195.5902999551</v>
      </c>
      <c r="F5" s="18"/>
      <c r="H5" s="17">
        <f>AVERAGE(Sales_Data!J:J)</f>
        <v>230.14890150345346</v>
      </c>
      <c r="I5" s="18"/>
      <c r="J5" s="18"/>
      <c r="K5" s="19">
        <f>COUNT(Sales_Data!J:J)</f>
        <v>9977</v>
      </c>
      <c r="L5" s="18"/>
      <c r="M5" s="18"/>
    </row>
    <row r="6" spans="1:13" x14ac:dyDescent="0.3">
      <c r="A6" s="2" t="s">
        <v>629</v>
      </c>
      <c r="B6" s="2" t="s">
        <v>630</v>
      </c>
      <c r="C6" s="2" t="s">
        <v>631</v>
      </c>
      <c r="D6" s="1"/>
      <c r="E6" s="18"/>
      <c r="F6" s="18"/>
      <c r="H6" s="18"/>
      <c r="I6" s="18"/>
      <c r="J6" s="18"/>
      <c r="K6" s="18"/>
      <c r="L6" s="18"/>
      <c r="M6" s="18"/>
    </row>
    <row r="7" spans="1:13" x14ac:dyDescent="0.3">
      <c r="A7" s="3" t="s">
        <v>632</v>
      </c>
      <c r="B7" s="4">
        <f>SUM(Sales_Data!J:J)</f>
        <v>2296195.5902999551</v>
      </c>
      <c r="C7" s="5" t="s">
        <v>633</v>
      </c>
      <c r="D7" s="1"/>
      <c r="E7" s="18"/>
      <c r="F7" s="18"/>
      <c r="H7" s="18"/>
      <c r="I7" s="18"/>
      <c r="J7" s="18"/>
      <c r="K7" s="18"/>
      <c r="L7" s="18"/>
      <c r="M7" s="18"/>
    </row>
    <row r="8" spans="1:13" x14ac:dyDescent="0.3">
      <c r="A8" s="3" t="s">
        <v>634</v>
      </c>
      <c r="B8" s="4">
        <f>AVERAGE(Sales_Data!J:J)</f>
        <v>230.14890150345346</v>
      </c>
      <c r="C8" s="5" t="s">
        <v>635</v>
      </c>
      <c r="D8" s="1"/>
    </row>
    <row r="9" spans="1:13" x14ac:dyDescent="0.3">
      <c r="A9" s="3" t="s">
        <v>636</v>
      </c>
      <c r="B9" s="6">
        <f>COUNT(Sales_Data!J:J)</f>
        <v>9977</v>
      </c>
      <c r="C9" s="5" t="s">
        <v>637</v>
      </c>
      <c r="D9" s="1"/>
    </row>
    <row r="10" spans="1:13" x14ac:dyDescent="0.3">
      <c r="A10" s="1"/>
      <c r="B10" s="1"/>
      <c r="C10" s="1"/>
      <c r="D10" s="1"/>
    </row>
    <row r="11" spans="1:13" x14ac:dyDescent="0.3">
      <c r="A11" s="1"/>
      <c r="B11" s="1"/>
      <c r="C11" s="1"/>
      <c r="D11" s="1"/>
    </row>
    <row r="12" spans="1:13" ht="18" x14ac:dyDescent="0.3">
      <c r="A12" s="7" t="s">
        <v>638</v>
      </c>
      <c r="B12" s="1"/>
      <c r="C12" s="1"/>
      <c r="D12" s="1"/>
    </row>
    <row r="13" spans="1:13" x14ac:dyDescent="0.3">
      <c r="A13" s="1" t="s">
        <v>639</v>
      </c>
      <c r="B13" s="8">
        <f>COUNT(Sales_Data!J:J)</f>
        <v>9977</v>
      </c>
      <c r="C13" s="1">
        <f>COUNT(Sales_Data!J:J)</f>
        <v>9977</v>
      </c>
      <c r="D13" s="1"/>
    </row>
    <row r="14" spans="1:13" x14ac:dyDescent="0.3">
      <c r="A14" s="1" t="s">
        <v>640</v>
      </c>
      <c r="B14" s="8">
        <f>COUNTBLANK(Sales_Data!J2:J9978)</f>
        <v>0</v>
      </c>
      <c r="C14" s="1">
        <f>COUNTBLANK(Sales_Data!J2:J9978)</f>
        <v>0</v>
      </c>
      <c r="D14" s="1"/>
    </row>
    <row r="15" spans="1:13" x14ac:dyDescent="0.3">
      <c r="A15" s="1" t="s">
        <v>641</v>
      </c>
      <c r="B15" s="9">
        <f>MIN(Sales_Data!J2:J9978)</f>
        <v>0.44400000000000001</v>
      </c>
      <c r="C15" s="20">
        <f>MIN(Sales_Data!J2:J9978)</f>
        <v>0.44400000000000001</v>
      </c>
      <c r="D15" s="1"/>
    </row>
    <row r="16" spans="1:13" x14ac:dyDescent="0.3">
      <c r="A16" s="1" t="s">
        <v>642</v>
      </c>
      <c r="B16" s="9">
        <f>MAX(Sales_Data!J2:J9978)</f>
        <v>22638.48</v>
      </c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ht="36" x14ac:dyDescent="0.3">
      <c r="A19" s="10" t="s">
        <v>643</v>
      </c>
      <c r="B19" s="1"/>
      <c r="C19" s="1"/>
      <c r="D19" s="1"/>
    </row>
    <row r="20" spans="1:4" ht="28.8" x14ac:dyDescent="0.3">
      <c r="A20" s="1" t="s">
        <v>632</v>
      </c>
      <c r="B20" s="1" t="s">
        <v>644</v>
      </c>
      <c r="C20" s="1"/>
      <c r="D20" s="1"/>
    </row>
    <row r="21" spans="1:4" ht="28.8" x14ac:dyDescent="0.3">
      <c r="A21" s="1" t="s">
        <v>634</v>
      </c>
      <c r="B21" s="1" t="s">
        <v>645</v>
      </c>
      <c r="C21" s="1"/>
      <c r="D21" s="1"/>
    </row>
    <row r="22" spans="1:4" ht="43.2" x14ac:dyDescent="0.3">
      <c r="A22" s="1" t="s">
        <v>636</v>
      </c>
      <c r="B22" s="1" t="s">
        <v>646</v>
      </c>
      <c r="C22" s="1"/>
      <c r="D22" s="1"/>
    </row>
  </sheetData>
  <mergeCells count="8">
    <mergeCell ref="K4:M4"/>
    <mergeCell ref="K5:M7"/>
    <mergeCell ref="A1:D1"/>
    <mergeCell ref="A2:D2"/>
    <mergeCell ref="E4:G4"/>
    <mergeCell ref="E5:F7"/>
    <mergeCell ref="H4:J4"/>
    <mergeCell ref="H5:J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370B-F55D-4A48-AD3F-318F0794BC50}">
  <dimension ref="A1:H9"/>
  <sheetViews>
    <sheetView tabSelected="1" workbookViewId="0">
      <selection activeCell="B2" sqref="B2"/>
    </sheetView>
  </sheetViews>
  <sheetFormatPr defaultRowHeight="14.4" x14ac:dyDescent="0.3"/>
  <cols>
    <col min="1" max="1" width="19.88671875" customWidth="1"/>
    <col min="2" max="2" width="13.5546875" customWidth="1"/>
    <col min="3" max="3" width="15.77734375" customWidth="1"/>
  </cols>
  <sheetData>
    <row r="1" spans="1:8" x14ac:dyDescent="0.3">
      <c r="A1" s="21" t="s">
        <v>7</v>
      </c>
      <c r="B1" s="21" t="s">
        <v>660</v>
      </c>
      <c r="C1" s="21" t="s">
        <v>662</v>
      </c>
    </row>
    <row r="2" spans="1:8" x14ac:dyDescent="0.3">
      <c r="A2" s="21" t="s">
        <v>19</v>
      </c>
      <c r="B2">
        <f>COUNTIF(Sales_Data!H:H,A2)</f>
        <v>2118</v>
      </c>
      <c r="C2" s="22">
        <f>B2/SUM($B$2:$B$4)</f>
        <v>0.2122882630049113</v>
      </c>
    </row>
    <row r="3" spans="1:8" x14ac:dyDescent="0.3">
      <c r="A3" s="21" t="s">
        <v>26</v>
      </c>
      <c r="B3">
        <f>COUNTIF(Sales_Data!H:H,A3)</f>
        <v>6012</v>
      </c>
      <c r="C3" s="22">
        <f t="shared" ref="C3:C4" si="0">B3/SUM($B$2:$B$4)</f>
        <v>0.60258594767966323</v>
      </c>
    </row>
    <row r="4" spans="1:8" x14ac:dyDescent="0.3">
      <c r="A4" s="21" t="s">
        <v>35</v>
      </c>
      <c r="B4">
        <f>COUNTIF(Sales_Data!H:H,A4)</f>
        <v>1847</v>
      </c>
      <c r="C4" s="22">
        <f t="shared" si="0"/>
        <v>0.18512578931542548</v>
      </c>
    </row>
    <row r="5" spans="1:8" x14ac:dyDescent="0.3">
      <c r="A5" s="21"/>
    </row>
    <row r="6" spans="1:8" x14ac:dyDescent="0.3">
      <c r="A6" s="21" t="s">
        <v>661</v>
      </c>
      <c r="B6" t="str">
        <f>INDEX(A2:A4,MATCH(MAX(B2:B4),B2:B4,0))</f>
        <v>Office Supplies</v>
      </c>
    </row>
    <row r="8" spans="1:8" x14ac:dyDescent="0.3">
      <c r="A8" s="21" t="s">
        <v>663</v>
      </c>
    </row>
    <row r="9" spans="1:8" x14ac:dyDescent="0.3">
      <c r="A9" s="23" t="s">
        <v>664</v>
      </c>
      <c r="B9" s="23"/>
      <c r="C9" s="23"/>
      <c r="D9" s="23"/>
      <c r="E9" s="23"/>
      <c r="F9" s="23"/>
      <c r="G9" s="23"/>
      <c r="H9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22" customWidth="1"/>
    <col min="2" max="2" width="85" customWidth="1"/>
  </cols>
  <sheetData>
    <row r="1" spans="1:2" ht="21" x14ac:dyDescent="0.4">
      <c r="A1" s="11" t="s">
        <v>647</v>
      </c>
    </row>
    <row r="3" spans="1:2" x14ac:dyDescent="0.3">
      <c r="A3" s="12" t="s">
        <v>648</v>
      </c>
      <c r="B3" t="s">
        <v>649</v>
      </c>
    </row>
    <row r="4" spans="1:2" x14ac:dyDescent="0.3">
      <c r="A4" s="12" t="s">
        <v>650</v>
      </c>
      <c r="B4" t="s">
        <v>651</v>
      </c>
    </row>
    <row r="5" spans="1:2" x14ac:dyDescent="0.3">
      <c r="A5" s="12" t="s">
        <v>626</v>
      </c>
      <c r="B5" t="s">
        <v>652</v>
      </c>
    </row>
    <row r="6" spans="1:2" x14ac:dyDescent="0.3">
      <c r="A6" s="12" t="s">
        <v>653</v>
      </c>
      <c r="B6" t="s">
        <v>654</v>
      </c>
    </row>
    <row r="8" spans="1:2" x14ac:dyDescent="0.3">
      <c r="A8" s="12" t="s">
        <v>655</v>
      </c>
      <c r="B8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Sales_Summary</vt:lpstr>
      <vt:lpstr>Product_Count_Analysis</vt:lpstr>
      <vt:lpstr>Task_Notes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thiramdasakhila22@outlook.com</cp:lastModifiedBy>
  <dcterms:created xsi:type="dcterms:W3CDTF">2026-08-26T06:58:32Z</dcterms:created>
  <dcterms:modified xsi:type="dcterms:W3CDTF">2026-08-27T14:32:58Z</dcterms:modified>
</cp:coreProperties>
</file>